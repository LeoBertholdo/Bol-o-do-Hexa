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af7f7fd5a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a29db027d055484f"/>
    <x:sheet xmlns:r="http://schemas.openxmlformats.org/officeDocument/2006/relationships" name="Resultados" sheetId="2" r:id="Rc56233ed4de24818"/>
    <x:sheet xmlns:r="http://schemas.openxmlformats.org/officeDocument/2006/relationships" name="Palpites" sheetId="3" r:id="R22ac8dde3bad4845"/>
    <x:sheet xmlns:r="http://schemas.openxmlformats.org/officeDocument/2006/relationships" name="Pódio" sheetId="4" r:id="R0cd182a81dbf4ebe"/>
    <x:sheet xmlns:r="http://schemas.openxmlformats.org/officeDocument/2006/relationships" name="Ranking" sheetId="5" r:id="Rb1fb1003a1c4406f"/>
    <x:sheet xmlns:r="http://schemas.openxmlformats.org/officeDocument/2006/relationships" name="Config" sheetId="6" r:id="R6089c220fa034fb5"/>
    <x:sheet xmlns:r="http://schemas.openxmlformats.org/officeDocument/2006/relationships" name="Regras" sheetId="7" r:id="Rdc2a4b365cf4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&quot;R$&quot; #,##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sz val="11"/>
      <x:color rgb="FF172033"/>
      <x:name val="Carlito"/>
    </x:font>
    <x:font>
      <x:b/>
      <x:sz val="11"/>
      <x:color rgb="FF002776"/>
      <x:name val="Carlito"/>
    </x:font>
    <x:font>
      <x:b/>
      <x:sz val="12"/>
      <x:color rgb="FF00277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2776"/>
      </x:patternFill>
    </x:fill>
    <x:fill>
      <x:patternFill patternType="solid">
        <x:fgColor rgb="FFEEF5FF"/>
      </x:patternFill>
    </x:fill>
    <x:fill>
      <x:patternFill patternType="solid">
        <x:fgColor rgb="FF00843D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FFDF4"/>
      </x:patternFill>
    </x:fill>
  </x:fills>
  <x:borders count="10">
    <x:border/>
    <x:border>
      <x:left style="thin">
        <x:color rgb="FFB7C7D8"/>
      </x:left>
      <x:right style="thin">
        <x:color rgb="FFB7C7D8"/>
      </x:right>
      <x:top style="thin">
        <x:color rgb="FFB7C7D8"/>
      </x:top>
      <x:bottom style="thin">
        <x:color rgb="FFB7C7D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6" fillId="6" borderId="2" xfId="0" applyNumberFormat="1" applyFont="1" applyFill="1" applyBorder="1"/>
    <x:xf numFmtId="201" fontId="5" fillId="6" borderId="2" xfId="0" applyNumberFormat="1" applyFont="1" applyFill="1" applyBorder="1"/>
    <x:xf numFmtId="0" fontId="0" fillId="7" borderId="0" xfId="0" applyNumberFormat="1" applyFont="1" applyFill="1" applyBorder="1"/>
    <x:xf numFmtId="0" fontId="4" fillId="7" borderId="2" xfId="0" applyNumberFormat="1" applyFont="1" applyFill="1" applyBorder="1" applyAlignment="1">
      <x:alignment vertical="center"/>
    </x:xf>
    <x:xf numFmtId="201" fontId="4" fillId="7" borderId="2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2" fillId="7" borderId="2" xfId="0" applyNumberFormat="1" applyFont="1" applyFill="1" applyBorder="1" applyAlignment="1">
      <x:alignment vertical="center"/>
    </x:xf>
    <x:xf numFmtId="201" fontId="2" fillId="7" borderId="2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vertical="center" wrapText="1"/>
    </x:xf>
    <x:xf numFmtId="201" fontId="2" fillId="7" borderId="2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c88a8a8214e89" /><Relationship Type="http://schemas.openxmlformats.org/officeDocument/2006/relationships/theme" Target="/xl/theme/theme1.xml" Id="Reec6905aa4b648d9" /><Relationship Type="http://schemas.openxmlformats.org/officeDocument/2006/relationships/sharedStrings" Target="/xl/sharedStrings.xml" Id="R971a41580bff4187" /><Relationship Type="http://schemas.openxmlformats.org/officeDocument/2006/relationships/worksheet" Target="/xl/worksheets/sheet1.xml" Id="Ra29db027d055484f" /><Relationship Type="http://schemas.openxmlformats.org/officeDocument/2006/relationships/worksheet" Target="/xl/worksheets/sheet2.xml" Id="Rc56233ed4de24818" /><Relationship Type="http://schemas.openxmlformats.org/officeDocument/2006/relationships/worksheet" Target="/xl/worksheets/sheet3.xml" Id="R22ac8dde3bad4845" /><Relationship Type="http://schemas.openxmlformats.org/officeDocument/2006/relationships/worksheet" Target="/xl/worksheets/sheet4.xml" Id="R0cd182a81dbf4ebe" /><Relationship Type="http://schemas.openxmlformats.org/officeDocument/2006/relationships/worksheet" Target="/xl/worksheets/sheet5.xml" Id="Rb1fb1003a1c4406f" /><Relationship Type="http://schemas.openxmlformats.org/officeDocument/2006/relationships/worksheet" Target="/xl/worksheets/sheet6.xml" Id="R6089c220fa034fb5" /><Relationship Type="http://schemas.openxmlformats.org/officeDocument/2006/relationships/worksheet" Target="/xl/worksheets/sheet7.xml" Id="Rdc2a4b365cf4475e" /></Relationships>
</file>

<file path=xl/tables/table1.xml><?xml version="1.0" encoding="utf-8"?>
<x:table xmlns:x="http://schemas.openxmlformats.org/spreadsheetml/2006/main" id="1" name="TabelaResultados" displayName="TabelaResultados" ref="A4:O108" headerRowCount="1">
  <x:tableColumns count="15">
    <x:tableColumn id="1" name="ID"/>
    <x:tableColumn id="2" name="Jogo nº"/>
    <x:tableColumn id="3" name="Data"/>
    <x:tableColumn id="4" name="Hora"/>
    <x:tableColumn id="5" name="Fase"/>
    <x:tableColumn id="6" name="Grupo"/>
    <x:tableColumn id="7" name="Time 1"/>
    <x:tableColumn id="8" name="Placar 1"/>
    <x:tableColumn id="9" name="Placar 2"/>
    <x:tableColumn id="10" name="Time 2"/>
    <x:tableColumn id="11" name="Mata-mata"/>
    <x:tableColumn id="12" name="Quem passou real"/>
    <x:tableColumn id="13" name="Vencedor/Passou"/>
    <x:tableColumn id="14" name="Status"/>
    <x:tableColumn id="15" name="Origem"/>
  </x:tableColumns>
  <x:tableStyleInfo name="TableStyleMedium2" showRowStripes="1"/>
</x:table>
</file>

<file path=xl/tables/table2.xml><?xml version="1.0" encoding="utf-8"?>
<x:table xmlns:x="http://schemas.openxmlformats.org/spreadsheetml/2006/main" id="2" name="TabelaPalpites" displayName="TabelaPalpites" ref="A4:V732" headerRowCount="1">
  <x:tableColumns count="22">
    <x:tableColumn id="1" name="Participante"/>
    <x:tableColumn id="2" name="ID"/>
    <x:tableColumn id="3" name="Jogo nº"/>
    <x:tableColumn id="4" name="Fase"/>
    <x:tableColumn id="5" name="Data"/>
    <x:tableColumn id="6" name="Time 1"/>
    <x:tableColumn id="7" name="Time 2"/>
    <x:tableColumn id="8" name="Mata-mata"/>
    <x:tableColumn id="9" name="Palpite 1"/>
    <x:tableColumn id="10" name="Palpite 2"/>
    <x:tableColumn id="11" name="Quem passa no palpite"/>
    <x:tableColumn id="12" name="Real 1"/>
    <x:tableColumn id="13" name="Real 2"/>
    <x:tableColumn id="14" name="Quem passou real"/>
    <x:tableColumn id="15" name="Base"/>
    <x:tableColumn id="16" name="Bônus passa"/>
    <x:tableColumn id="17" name="Pontos"/>
    <x:tableColumn id="18" name="Status"/>
    <x:tableColumn id="19" name="Cravada"/>
    <x:tableColumn id="20" name="Invertida"/>
    <x:tableColumn id="21" name="Acerto"/>
    <x:tableColumn id="22" name="Preenchido"/>
  </x:tableColumns>
  <x:tableStyleInfo name="TableStyleMedium2" showRowStripes="1"/>
</x:table>
</file>

<file path=xl/tables/table3.xml><?xml version="1.0" encoding="utf-8"?>
<x:table xmlns:x="http://schemas.openxmlformats.org/spreadsheetml/2006/main" id="3" name="TabelaPodio" displayName="TabelaPodio" ref="A4:J11" headerRowCount="1">
  <x:tableColumns count="10">
    <x:tableColumn id="1" name="Participante"/>
    <x:tableColumn id="2" name="Campeão"/>
    <x:tableColumn id="3" name="Vice-campeão"/>
    <x:tableColumn id="4" name="3º lugar"/>
    <x:tableColumn id="5" name="4º lugar"/>
    <x:tableColumn id="6" name="Pts campeão"/>
    <x:tableColumn id="7" name="Pts vice"/>
    <x:tableColumn id="8" name="Pts 3º"/>
    <x:tableColumn id="9" name="Pts 4º"/>
    <x:tableColumn id="10" name="Pontos pódio"/>
  </x:tableColumns>
  <x:tableStyleInfo name="TableStyleMedium2" showRowStripes="1"/>
</x:table>
</file>

<file path=xl/tables/table4.xml><?xml version="1.0" encoding="utf-8"?>
<x:table xmlns:x="http://schemas.openxmlformats.org/spreadsheetml/2006/main" id="4" name="TabelaRanking" displayName="TabelaRanking" ref="A4:K11" headerRowCount="1">
  <x:tableColumns count="11">
    <x:tableColumn id="1" name="Pos."/>
    <x:tableColumn id="2" name="Participante"/>
    <x:tableColumn id="3" name="Pontos jogos"/>
    <x:tableColumn id="4" name="Pontos pódio"/>
    <x:tableColumn id="5" name="Total"/>
    <x:tableColumn id="6" name="Cravadas"/>
    <x:tableColumn id="7" name="Acertos"/>
    <x:tableColumn id="8" name="Invertidas"/>
    <x:tableColumn id="9" name="Jogos conferidos"/>
    <x:tableColumn id="10" name="Palpites preenchidos"/>
    <x:tableColumn id="11" name="Prêm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60e67038e43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da72162158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7bee5ea9a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388a7639eb4b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.670000076293945" hidden="0" customWidth="1"/>
    <x:col min="3" max="3" width="3.109999895095825" hidden="0" customWidth="1"/>
    <x:col min="4" max="4" width="6.440000057220459" hidden="0" customWidth="1"/>
    <x:col min="5" max="5" width="15.5600004196167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9.779999732971191" hidden="0" customWidth="1"/>
  </x:cols>
  <x:sheetData>
    <x:row r="1" ht="28.5" customHeight="1">
      <x:c r="A1" s="4" t="str">
        <x:v>Bolão do Hexa 2026 - conferência manual</x:v>
      </x:c>
      <x:c r="B1" s="4" t="str">
        <x:v>Bolão do Hexa 2026 - conferência manual</x:v>
      </x:c>
      <x:c r="C1" s="4" t="str">
        <x:v>Bolão do Hexa 2026 - conferência manual</x:v>
      </x:c>
      <x:c r="D1" s="4" t="str">
        <x:v>Bolão do Hexa 2026 - conferência manual</x:v>
      </x:c>
      <x:c r="E1" s="4" t="str">
        <x:v>Bolão do Hexa 2026 - conferência manual</x:v>
      </x:c>
      <x:c r="F1" s="4" t="str">
        <x:v>Bolão do Hexa 2026 - conferência manual</x:v>
      </x:c>
      <x:c r="G1" s="4" t="str">
        <x:v>Bolão do Hexa 2026 - conferência manual</x:v>
      </x:c>
      <x:c r="H1" s="4" t="str">
        <x:v>Bolão do Hexa 2026 - conferência manual</x:v>
      </x:c>
      <x:c r="I1" s="4" t="str">
        <x:v>Bolão do Hexa 2026 - conferência manual</x:v>
      </x:c>
      <x:c r="J1" s="4" t="str">
        <x:v>Bolão do Hexa 2026 - conferência manual</x:v>
      </x:c>
    </x:row>
    <x:row r="2" ht="22.5" customHeight="1">
      <x:c r="A2" s="7" t="str">
        <x:v>Use Resultados para placares oficiais, Palpites para cada aposta, Pódio para bônus finais e Ranking para a classificação automática.</x:v>
      </x:c>
    </x:row>
    <x:row r="4">
      <x:c r="A4" s="28" t="str">
        <x:v>Jogos com resultado</x:v>
      </x:c>
      <x:c r="B4" s="27" t="str">
        <x:f>COUNTIFS('Resultados'!$H$5:$H$108,"&lt;&gt;",'Resultados'!$I$5:$I$108,"&lt;&gt;")&amp;"/104"</x:f>
        <x:v>0/104</x:v>
      </x:c>
      <x:c r="D4" s="13" t="str">
        <x:v>Resumo do ranking</x:v>
      </x:c>
      <x:c r="E4" s="13"/>
      <x:c r="F4" s="13"/>
      <x:c r="G4" s="13"/>
      <x:c r="H4" s="13"/>
      <x:c r="I4" s="13"/>
      <x:c r="J4" s="13"/>
    </x:row>
    <x:row r="5">
      <x:c r="A5" s="28" t="str">
        <x:v>Palpites preenchidos</x:v>
      </x:c>
      <x:c r="B5" s="27" t="str">
        <x:f>SUM('Ranking'!$J$5:$J$11)&amp;"/728"</x:f>
        <x:v>0/728</x:v>
      </x:c>
      <x:c r="D5" s="13" t="str">
        <x:v>Pos.</x:v>
      </x:c>
      <x:c r="E5" s="13" t="str">
        <x:v>Participante</x:v>
      </x:c>
      <x:c r="F5" s="13" t="str">
        <x:v>Total</x:v>
      </x:c>
      <x:c r="G5" s="13" t="str">
        <x:v>Crav.</x:v>
      </x:c>
      <x:c r="H5" s="13" t="str">
        <x:v>Acertos</x:v>
      </x:c>
      <x:c r="I5" s="13" t="str">
        <x:v>Inv.</x:v>
      </x:c>
      <x:c r="J5" s="13" t="str">
        <x:v>Prêmio</x:v>
      </x:c>
    </x:row>
    <x:row r="6">
      <x:c r="A6" s="28" t="str">
        <x:v>Líder atual</x:v>
      </x:c>
      <x:c r="B6" s="27" t="str">
        <x:f>'Ranking'!B5</x:f>
        <x:v>Gabriel</x:v>
      </x:c>
      <x:c r="D6" s="16" t="n">
        <x:f>'Ranking'!A5</x:f>
        <x:v>1</x:v>
      </x:c>
      <x:c r="E6" s="16" t="str">
        <x:f>'Ranking'!B5</x:f>
        <x:v>Gabriel</x:v>
      </x:c>
      <x:c r="F6" s="16" t="n">
        <x:f>'Ranking'!E5</x:f>
        <x:v>0</x:v>
      </x:c>
      <x:c r="G6" s="16" t="n">
        <x:f>'Ranking'!F5</x:f>
        <x:v>0</x:v>
      </x:c>
      <x:c r="H6" s="16" t="n">
        <x:f>'Ranking'!G5</x:f>
        <x:v>0</x:v>
      </x:c>
      <x:c r="I6" s="16" t="n">
        <x:f>'Ranking'!H5</x:f>
        <x:v>0</x:v>
      </x:c>
      <x:c r="J6" s="18" t="n">
        <x:f>'Ranking'!K5</x:f>
        <x:v>840</x:v>
      </x:c>
    </x:row>
    <x:row r="7">
      <x:c r="A7" s="28" t="str">
        <x:v>Pontos do líder</x:v>
      </x:c>
      <x:c r="B7" s="27" t="n">
        <x:f>'Ranking'!E5</x:f>
        <x:v>0</x:v>
      </x:c>
      <x:c r="D7" s="16" t="n">
        <x:f>'Ranking'!A6</x:f>
        <x:v>2</x:v>
      </x:c>
      <x:c r="E7" s="16" t="str">
        <x:f>'Ranking'!B6</x:f>
        <x:v>Gustavo</x:v>
      </x:c>
      <x:c r="F7" s="16" t="n">
        <x:f>'Ranking'!E6</x:f>
        <x:v>0</x:v>
      </x:c>
      <x:c r="G7" s="16" t="n">
        <x:f>'Ranking'!F6</x:f>
        <x:v>0</x:v>
      </x:c>
      <x:c r="H7" s="16" t="n">
        <x:f>'Ranking'!G6</x:f>
        <x:v>0</x:v>
      </x:c>
      <x:c r="I7" s="16" t="n">
        <x:f>'Ranking'!H6</x:f>
        <x:v>0</x:v>
      </x:c>
      <x:c r="J7" s="18" t="n">
        <x:f>'Ranking'!K6</x:f>
        <x:v>350</x:v>
      </x:c>
    </x:row>
    <x:row r="8">
      <x:c r="A8" s="28" t="str">
        <x:v>Total arrecadado</x:v>
      </x:c>
      <x:c r="B8" s="29" t="n">
        <x:f>Config!B7</x:f>
        <x:v>1400</x:v>
      </x:c>
      <x:c r="D8" s="16" t="n">
        <x:f>'Ranking'!A7</x:f>
        <x:v>3</x:v>
      </x:c>
      <x:c r="E8" s="16" t="str">
        <x:f>'Ranking'!B7</x:f>
        <x:v>Leo B.</x:v>
      </x:c>
      <x:c r="F8" s="16" t="n">
        <x:f>'Ranking'!E7</x:f>
        <x:v>0</x:v>
      </x:c>
      <x:c r="G8" s="16" t="n">
        <x:f>'Ranking'!F7</x:f>
        <x:v>0</x:v>
      </x:c>
      <x:c r="H8" s="16" t="n">
        <x:f>'Ranking'!G7</x:f>
        <x:v>0</x:v>
      </x:c>
      <x:c r="I8" s="16" t="n">
        <x:f>'Ranking'!H7</x:f>
        <x:v>0</x:v>
      </x:c>
      <x:c r="J8" s="18" t="n">
        <x:f>'Ranking'!K7</x:f>
        <x:v>210</x:v>
      </x:c>
    </x:row>
    <x:row r="9">
      <x:c r="D9" s="16" t="n">
        <x:f>'Ranking'!A8</x:f>
        <x:v>4</x:v>
      </x:c>
      <x:c r="E9" s="16" t="str">
        <x:f>'Ranking'!B8</x:f>
        <x:v>Leo C.</x:v>
      </x:c>
      <x:c r="F9" s="16" t="n">
        <x:f>'Ranking'!E8</x:f>
        <x:v>0</x:v>
      </x:c>
      <x:c r="G9" s="16" t="n">
        <x:f>'Ranking'!F8</x:f>
        <x:v>0</x:v>
      </x:c>
      <x:c r="H9" s="16" t="n">
        <x:f>'Ranking'!G8</x:f>
        <x:v>0</x:v>
      </x:c>
      <x:c r="I9" s="16" t="n">
        <x:f>'Ranking'!H8</x:f>
        <x:v>0</x:v>
      </x:c>
      <x:c r="J9" s="18" t="n">
        <x:f>'Ranking'!K8</x:f>
        <x:v>0</x:v>
      </x:c>
    </x:row>
    <x:row r="10">
      <x:c r="D10" s="16" t="n">
        <x:f>'Ranking'!A9</x:f>
        <x:v>5</x:v>
      </x:c>
      <x:c r="E10" s="16" t="str">
        <x:f>'Ranking'!B9</x:f>
        <x:v>Otávio</x:v>
      </x:c>
      <x:c r="F10" s="16" t="n">
        <x:f>'Ranking'!E9</x:f>
        <x:v>0</x:v>
      </x:c>
      <x:c r="G10" s="16" t="n">
        <x:f>'Ranking'!F9</x:f>
        <x:v>0</x:v>
      </x:c>
      <x:c r="H10" s="16" t="n">
        <x:f>'Ranking'!G9</x:f>
        <x:v>0</x:v>
      </x:c>
      <x:c r="I10" s="16" t="n">
        <x:f>'Ranking'!H9</x:f>
        <x:v>0</x:v>
      </x:c>
      <x:c r="J10" s="18" t="n">
        <x:f>'Ranking'!K9</x:f>
        <x:v>0</x:v>
      </x:c>
    </x:row>
    <x:row r="11">
      <x:c r="D11" s="16" t="n">
        <x:f>'Ranking'!A10</x:f>
        <x:v>6</x:v>
      </x:c>
      <x:c r="E11" s="16" t="str">
        <x:f>'Ranking'!B10</x:f>
        <x:v>Thyago</x:v>
      </x:c>
      <x:c r="F11" s="16" t="n">
        <x:f>'Ranking'!E10</x:f>
        <x:v>0</x:v>
      </x:c>
      <x:c r="G11" s="16" t="n">
        <x:f>'Ranking'!F10</x:f>
        <x:v>0</x:v>
      </x:c>
      <x:c r="H11" s="16" t="n">
        <x:f>'Ranking'!G10</x:f>
        <x:v>0</x:v>
      </x:c>
      <x:c r="I11" s="16" t="n">
        <x:f>'Ranking'!H10</x:f>
        <x:v>0</x:v>
      </x:c>
      <x:c r="J11" s="18" t="n">
        <x:f>'Ranking'!K10</x:f>
        <x:v>0</x:v>
      </x:c>
    </x:row>
    <x:row r="12">
      <x:c r="A12" s="53" t="str">
        <x:v>Fluxo recomendado</x:v>
      </x:c>
      <x:c r="B12" s="44" t="str"/>
      <x:c r="C12" s="44" t="str"/>
      <x:c r="D12" s="45" t="str"/>
      <x:c r="E12" s="45" t="str"/>
      <x:c r="F12" s="45" t="str"/>
      <x:c r="G12" s="45" t="str"/>
      <x:c r="H12" s="45" t="str"/>
      <x:c r="I12" s="45" t="str"/>
      <x:c r="J12" s="46" t="str"/>
    </x:row>
    <x:row r="13">
      <x:c r="A13" s="47" t="str">
        <x:v>1. Em Resultados, confirme placar e quem passou nos empates do mata-mata.</x:v>
      </x:c>
      <x:c r="B13" s="48" t="str"/>
      <x:c r="C13" s="48" t="str"/>
      <x:c r="D13" s="48" t="str"/>
      <x:c r="E13" s="48" t="str"/>
      <x:c r="F13" s="48" t="str"/>
      <x:c r="G13" s="48" t="str"/>
      <x:c r="H13" s="48" t="str"/>
      <x:c r="I13" s="48" t="str"/>
      <x:c r="J13" s="49" t="str"/>
    </x:row>
    <x:row r="14">
      <x:c r="A14" s="47" t="str">
        <x:v>2. Em Palpites, lance os palpites de cada participante nas colunas amarelas.</x:v>
      </x:c>
      <x:c r="B14" s="48" t="str"/>
      <x:c r="C14" s="48" t="str"/>
      <x:c r="D14" s="48" t="str"/>
      <x:c r="E14" s="48" t="str"/>
      <x:c r="F14" s="48" t="str"/>
      <x:c r="G14" s="48" t="str"/>
      <x:c r="H14" s="48" t="str"/>
      <x:c r="I14" s="48" t="str"/>
      <x:c r="J14" s="49" t="str"/>
    </x:row>
    <x:row r="15">
      <x:c r="A15" s="47" t="str">
        <x:v>3. Em Pódio, preencha o resultado oficial e os palpites para somar os bônus finais.</x:v>
      </x:c>
      <x:c r="B15" s="48" t="str"/>
      <x:c r="C15" s="48" t="str"/>
      <x:c r="D15" s="48" t="str"/>
      <x:c r="E15" s="48" t="str"/>
      <x:c r="F15" s="48" t="str"/>
      <x:c r="G15" s="48" t="str"/>
      <x:c r="H15" s="48" t="str"/>
      <x:c r="I15" s="48" t="str"/>
      <x:c r="J15" s="49" t="str"/>
    </x:row>
    <x:row r="16">
      <x:c r="A16" s="47" t="str">
        <x:v>4. Confira o Ranking; ele já usa os desempates: total, cravadas, menos invertidas e nome.</x:v>
      </x:c>
      <x:c r="B16" s="48" t="str"/>
      <x:c r="C16" s="48" t="str"/>
      <x:c r="D16" s="48" t="str"/>
      <x:c r="E16" s="48" t="str"/>
      <x:c r="F16" s="48" t="str"/>
      <x:c r="G16" s="48" t="str"/>
      <x:c r="H16" s="48" t="str"/>
      <x:c r="I16" s="48" t="str"/>
      <x:c r="J16" s="49" t="str"/>
    </x:row>
    <x:row r="17">
      <x:c r="A17" s="47" t="str"/>
      <x:c r="B17" s="48" t="str"/>
      <x:c r="C17" s="48" t="str"/>
      <x:c r="D17" s="48" t="str"/>
      <x:c r="E17" s="48" t="str"/>
      <x:c r="F17" s="48" t="str"/>
      <x:c r="G17" s="48" t="str"/>
      <x:c r="H17" s="48" t="str"/>
      <x:c r="I17" s="48" t="str"/>
      <x:c r="J17" s="49" t="str"/>
    </x:row>
    <x:row r="18">
      <x:c r="A18" s="50" t="str">
        <x:v>Células amarelas são campos manuais. As demais são fórmulas ou referência.</x:v>
      </x:c>
      <x:c r="B18" s="51" t="str"/>
      <x:c r="C18" s="51" t="str"/>
      <x:c r="D18" s="51" t="str"/>
      <x:c r="E18" s="51" t="str"/>
      <x:c r="F18" s="51" t="str"/>
      <x:c r="G18" s="51" t="str"/>
      <x:c r="H18" s="51" t="str"/>
      <x:c r="I18" s="51" t="str"/>
      <x:c r="J18" s="52" t="str"/>
    </x:row>
  </x:sheetData>
  <x:mergeCells>
    <x:mergeCell ref="A1:J1"/>
    <x:mergeCell ref="A2:J2"/>
    <x:mergeCell ref="D4:J4"/>
    <x:mergeCell ref="A12:J12"/>
    <x:mergeCell ref="A13:J13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559999942779541" hidden="0" customWidth="1"/>
    <x:col min="3" max="3" width="10.4399995803833" hidden="0" customWidth="1"/>
    <x:col min="4" max="4" width="6.889999866485596" hidden="0" customWidth="1"/>
    <x:col min="5" max="5" width="15.329999923706055" hidden="0" customWidth="1"/>
    <x:col min="6" max="6" width="7.559999942779541" hidden="0" customWidth="1"/>
    <x:col min="7" max="7" width="17.780000686645508" hidden="0" customWidth="1"/>
    <x:col min="8" max="8" width="7.78000020980835" hidden="0" customWidth="1"/>
    <x:col min="9" max="9" width="7.78000020980835" hidden="0" customWidth="1"/>
    <x:col min="10" max="10" width="17.780000686645508" hidden="0" customWidth="1"/>
    <x:col min="11" max="11" width="8.670000076293945" hidden="0" customWidth="1"/>
    <x:col min="12" max="12" width="17.780000686645508" hidden="0" customWidth="1"/>
    <x:col min="13" max="13" width="17.780000686645508" hidden="0" customWidth="1"/>
    <x:col min="14" max="14" width="15.779999732971191" hidden="0" customWidth="1"/>
    <x:col min="15" max="15" width="24.440000534057617" hidden="0" customWidth="1"/>
  </x:cols>
  <x:sheetData>
    <x:row r="1" ht="28.5" customHeight="1">
      <x:c r="A1" s="55" t="str">
        <x:v>Resultados oficiais</x:v>
      </x:c>
      <x:c r="B1" s="55" t="str">
        <x:v>Resultados oficiais</x:v>
      </x:c>
      <x:c r="C1" s="55" t="str">
        <x:v>Resultados oficiais</x:v>
      </x:c>
      <x:c r="D1" s="55" t="str">
        <x:v>Resultados oficiais</x:v>
      </x:c>
      <x:c r="E1" s="55" t="str">
        <x:v>Resultados oficiais</x:v>
      </x:c>
      <x:c r="F1" s="55" t="str">
        <x:v>Resultados oficiais</x:v>
      </x:c>
      <x:c r="G1" s="55" t="str">
        <x:v>Resultados oficiais</x:v>
      </x:c>
      <x:c r="H1" s="55" t="str">
        <x:v>Resultados oficiais</x:v>
      </x:c>
      <x:c r="I1" s="55" t="str">
        <x:v>Resultados oficiais</x:v>
      </x:c>
      <x:c r="J1" s="55" t="str">
        <x:v>Resultados oficiais</x:v>
      </x:c>
      <x:c r="K1" s="55" t="str">
        <x:v>Resultados oficiais</x:v>
      </x:c>
      <x:c r="L1" s="55" t="str">
        <x:v>Resultados oficiais</x:v>
      </x:c>
      <x:c r="M1" s="55" t="str">
        <x:v>Resultados oficiais</x:v>
      </x:c>
      <x:c r="N1" s="55" t="str">
        <x:v>Resultados oficiais</x:v>
      </x:c>
      <x:c r="O1" s="55" t="str">
        <x:v>Resultados oficiais</x:v>
      </x:c>
    </x:row>
    <x:row r="2" ht="22.5" customHeight="1">
      <x:c r="A2" s="57" t="str">
        <x:v>Preencha placar oficial, ajuste os times do mata-mata quando forem definidos e informe quem passou se houver empate no mata-mata.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</x:row>
    <x:row r="4">
      <x:c r="A4" s="13" t="str">
        <x:v>ID</x:v>
      </x:c>
      <x:c r="B4" s="13" t="str">
        <x:v>Jogo nº</x:v>
      </x:c>
      <x:c r="C4" s="13" t="str">
        <x:v>Data</x:v>
      </x:c>
      <x:c r="D4" s="13" t="str">
        <x:v>Hora</x:v>
      </x:c>
      <x:c r="E4" s="13" t="str">
        <x:v>Fase</x:v>
      </x:c>
      <x:c r="F4" s="13" t="str">
        <x:v>Grupo</x:v>
      </x:c>
      <x:c r="G4" s="13" t="str">
        <x:v>Time 1</x:v>
      </x:c>
      <x:c r="H4" s="13" t="str">
        <x:v>Placar 1</x:v>
      </x:c>
      <x:c r="I4" s="13" t="str">
        <x:v>Placar 2</x:v>
      </x:c>
      <x:c r="J4" s="13" t="str">
        <x:v>Time 2</x:v>
      </x:c>
      <x:c r="K4" s="13" t="str">
        <x:v>Mata-mata</x:v>
      </x:c>
      <x:c r="L4" s="13" t="str">
        <x:v>Quem passou real</x:v>
      </x:c>
      <x:c r="M4" s="13" t="str">
        <x:v>Vencedor/Passou</x:v>
      </x:c>
      <x:c r="N4" s="13" t="str">
        <x:v>Status</x:v>
      </x:c>
      <x:c r="O4" s="13" t="str">
        <x:v>Origem</x:v>
      </x:c>
    </x:row>
    <x:row r="5">
      <x:c r="A5" s="21" t="str">
        <x:v>GA1</x:v>
      </x:c>
      <x:c r="B5" s="21" t="n">
        <x:v>1</x:v>
      </x:c>
      <x:c r="C5" s="21" t="str">
        <x:v>2026-06-11</x:v>
      </x:c>
      <x:c r="D5" s="21" t="str">
        <x:v>16:00</x:v>
      </x:c>
      <x:c r="E5" s="21" t="str">
        <x:v>Grupo A</x:v>
      </x:c>
      <x:c r="F5" s="21" t="str">
        <x:v>A</x:v>
      </x:c>
      <x:c r="G5" s="21" t="str">
        <x:v>México</x:v>
      </x:c>
      <x:c r="H5" s="22"/>
      <x:c r="I5" s="22"/>
      <x:c r="J5" s="21" t="str">
        <x:v>África do Sul</x:v>
      </x:c>
      <x:c r="K5" s="21" t="str">
        <x:v>Não</x:v>
      </x:c>
      <x:c r="L5" s="23"/>
      <x:c r="M5" s="21" t="str">
        <x:f>IF(OR(H5="",I5=""),"",IF(H5&gt;I5,G5,IF(H5&lt;I5,J5,IF(K5="Sim",IF(L5="","Definir quem passou",L5),"Empate"))))</x:f>
      </x:c>
      <x:c r="N5" s="21" t="str">
        <x:f>IF(OR(H5="",I5=""),"Aguardando placar",IF(AND(K5="Sim",H5=I5,L5=""),"Falta quem passou","Resultado lançado"))</x:f>
        <x:v>Aguardando placar</x:v>
      </x:c>
      <x:c r="O5" s="21" t="str">
        <x:v>Fase de grupos</x:v>
      </x:c>
    </x:row>
    <x:row r="6">
      <x:c r="A6" s="21" t="str">
        <x:v>GA2</x:v>
      </x:c>
      <x:c r="B6" s="21" t="n">
        <x:v>2</x:v>
      </x:c>
      <x:c r="C6" s="21" t="str">
        <x:v>2026-06-11</x:v>
      </x:c>
      <x:c r="D6" s="21" t="str">
        <x:v>23:00</x:v>
      </x:c>
      <x:c r="E6" s="21" t="str">
        <x:v>Grupo A</x:v>
      </x:c>
      <x:c r="F6" s="21" t="str">
        <x:v>A</x:v>
      </x:c>
      <x:c r="G6" s="21" t="str">
        <x:v>Coreia do Sul</x:v>
      </x:c>
      <x:c r="H6" s="22"/>
      <x:c r="I6" s="22"/>
      <x:c r="J6" s="21" t="str">
        <x:v>Rep. Tcheca</x:v>
      </x:c>
      <x:c r="K6" s="21" t="str">
        <x:v>Não</x:v>
      </x:c>
      <x:c r="L6" s="23"/>
      <x:c r="M6" s="21" t="str">
        <x:f>IF(OR(H6="",I6=""),"",IF(H6&gt;I6,G6,IF(H6&lt;I6,J6,IF(K6="Sim",IF(L6="","Definir quem passou",L6),"Empate"))))</x:f>
      </x:c>
      <x:c r="N6" s="21" t="str">
        <x:f>IF(OR(H6="",I6=""),"Aguardando placar",IF(AND(K6="Sim",H6=I6,L6=""),"Falta quem passou","Resultado lançado"))</x:f>
        <x:v>Aguardando placar</x:v>
      </x:c>
      <x:c r="O6" s="21" t="str">
        <x:v>Fase de grupos</x:v>
      </x:c>
    </x:row>
    <x:row r="7">
      <x:c r="A7" s="21" t="str">
        <x:v>GA3</x:v>
      </x:c>
      <x:c r="B7" s="21" t="n">
        <x:v>3</x:v>
      </x:c>
      <x:c r="C7" s="21" t="str">
        <x:v>2026-06-18</x:v>
      </x:c>
      <x:c r="D7" s="21" t="str">
        <x:v>22:00</x:v>
      </x:c>
      <x:c r="E7" s="21" t="str">
        <x:v>Grupo A</x:v>
      </x:c>
      <x:c r="F7" s="21" t="str">
        <x:v>A</x:v>
      </x:c>
      <x:c r="G7" s="21" t="str">
        <x:v>México</x:v>
      </x:c>
      <x:c r="H7" s="22"/>
      <x:c r="I7" s="22"/>
      <x:c r="J7" s="21" t="str">
        <x:v>Coreia do Sul</x:v>
      </x:c>
      <x:c r="K7" s="21" t="str">
        <x:v>Não</x:v>
      </x:c>
      <x:c r="L7" s="23"/>
      <x:c r="M7" s="21" t="str">
        <x:f>IF(OR(H7="",I7=""),"",IF(H7&gt;I7,G7,IF(H7&lt;I7,J7,IF(K7="Sim",IF(L7="","Definir quem passou",L7),"Empate"))))</x:f>
      </x:c>
      <x:c r="N7" s="21" t="str">
        <x:f>IF(OR(H7="",I7=""),"Aguardando placar",IF(AND(K7="Sim",H7=I7,L7=""),"Falta quem passou","Resultado lançado"))</x:f>
        <x:v>Aguardando placar</x:v>
      </x:c>
      <x:c r="O7" s="21" t="str">
        <x:v>Fase de grupos</x:v>
      </x:c>
    </x:row>
    <x:row r="8">
      <x:c r="A8" s="21" t="str">
        <x:v>GA4</x:v>
      </x:c>
      <x:c r="B8" s="21" t="n">
        <x:v>4</x:v>
      </x:c>
      <x:c r="C8" s="21" t="str">
        <x:v>2026-06-18</x:v>
      </x:c>
      <x:c r="D8" s="21" t="str">
        <x:v>13:00</x:v>
      </x:c>
      <x:c r="E8" s="21" t="str">
        <x:v>Grupo A</x:v>
      </x:c>
      <x:c r="F8" s="21" t="str">
        <x:v>A</x:v>
      </x:c>
      <x:c r="G8" s="21" t="str">
        <x:v>África do Sul</x:v>
      </x:c>
      <x:c r="H8" s="22"/>
      <x:c r="I8" s="22"/>
      <x:c r="J8" s="21" t="str">
        <x:v>Rep. Tcheca</x:v>
      </x:c>
      <x:c r="K8" s="21" t="str">
        <x:v>Não</x:v>
      </x:c>
      <x:c r="L8" s="23"/>
      <x:c r="M8" s="21" t="str">
        <x:f>IF(OR(H8="",I8=""),"",IF(H8&gt;I8,G8,IF(H8&lt;I8,J8,IF(K8="Sim",IF(L8="","Definir quem passou",L8),"Empate"))))</x:f>
      </x:c>
      <x:c r="N8" s="21" t="str">
        <x:f>IF(OR(H8="",I8=""),"Aguardando placar",IF(AND(K8="Sim",H8=I8,L8=""),"Falta quem passou","Resultado lançado"))</x:f>
        <x:v>Aguardando placar</x:v>
      </x:c>
      <x:c r="O8" s="21" t="str">
        <x:v>Fase de grupos</x:v>
      </x:c>
    </x:row>
    <x:row r="9">
      <x:c r="A9" s="21" t="str">
        <x:v>GA5</x:v>
      </x:c>
      <x:c r="B9" s="21" t="n">
        <x:v>5</x:v>
      </x:c>
      <x:c r="C9" s="21" t="str">
        <x:v>2026-06-24</x:v>
      </x:c>
      <x:c r="D9" s="21" t="str">
        <x:v>22:00</x:v>
      </x:c>
      <x:c r="E9" s="21" t="str">
        <x:v>Grupo A</x:v>
      </x:c>
      <x:c r="F9" s="21" t="str">
        <x:v>A</x:v>
      </x:c>
      <x:c r="G9" s="21" t="str">
        <x:v>México</x:v>
      </x:c>
      <x:c r="H9" s="22"/>
      <x:c r="I9" s="22"/>
      <x:c r="J9" s="21" t="str">
        <x:v>Rep. Tcheca</x:v>
      </x:c>
      <x:c r="K9" s="21" t="str">
        <x:v>Não</x:v>
      </x:c>
      <x:c r="L9" s="23"/>
      <x:c r="M9" s="21" t="str">
        <x:f>IF(OR(H9="",I9=""),"",IF(H9&gt;I9,G9,IF(H9&lt;I9,J9,IF(K9="Sim",IF(L9="","Definir quem passou",L9),"Empate"))))</x:f>
      </x:c>
      <x:c r="N9" s="21" t="str">
        <x:f>IF(OR(H9="",I9=""),"Aguardando placar",IF(AND(K9="Sim",H9=I9,L9=""),"Falta quem passou","Resultado lançado"))</x:f>
        <x:v>Aguardando placar</x:v>
      </x:c>
      <x:c r="O9" s="21" t="str">
        <x:v>Fase de grupos</x:v>
      </x:c>
    </x:row>
    <x:row r="10">
      <x:c r="A10" s="21" t="str">
        <x:v>GA6</x:v>
      </x:c>
      <x:c r="B10" s="21" t="n">
        <x:v>6</x:v>
      </x:c>
      <x:c r="C10" s="21" t="str">
        <x:v>2026-06-24</x:v>
      </x:c>
      <x:c r="D10" s="21" t="str">
        <x:v>22:00</x:v>
      </x:c>
      <x:c r="E10" s="21" t="str">
        <x:v>Grupo A</x:v>
      </x:c>
      <x:c r="F10" s="21" t="str">
        <x:v>A</x:v>
      </x:c>
      <x:c r="G10" s="21" t="str">
        <x:v>África do Sul</x:v>
      </x:c>
      <x:c r="H10" s="22"/>
      <x:c r="I10" s="22"/>
      <x:c r="J10" s="21" t="str">
        <x:v>Coreia do Sul</x:v>
      </x:c>
      <x:c r="K10" s="21" t="str">
        <x:v>Não</x:v>
      </x:c>
      <x:c r="L10" s="23"/>
      <x:c r="M10" s="21" t="str">
        <x:f>IF(OR(H10="",I10=""),"",IF(H10&gt;I10,G10,IF(H10&lt;I10,J10,IF(K10="Sim",IF(L10="","Definir quem passou",L10),"Empate"))))</x:f>
      </x:c>
      <x:c r="N10" s="21" t="str">
        <x:f>IF(OR(H10="",I10=""),"Aguardando placar",IF(AND(K10="Sim",H10=I10,L10=""),"Falta quem passou","Resultado lançado"))</x:f>
        <x:v>Aguardando placar</x:v>
      </x:c>
      <x:c r="O10" s="21" t="str">
        <x:v>Fase de grupos</x:v>
      </x:c>
    </x:row>
    <x:row r="11">
      <x:c r="A11" s="21" t="str">
        <x:v>GB1</x:v>
      </x:c>
      <x:c r="B11" s="21" t="n">
        <x:v>7</x:v>
      </x:c>
      <x:c r="C11" s="21" t="str">
        <x:v>2026-06-12</x:v>
      </x:c>
      <x:c r="D11" s="21" t="str">
        <x:v>16:00</x:v>
      </x:c>
      <x:c r="E11" s="21" t="str">
        <x:v>Grupo B</x:v>
      </x:c>
      <x:c r="F11" s="21" t="str">
        <x:v>B</x:v>
      </x:c>
      <x:c r="G11" s="21" t="str">
        <x:v>Canadá</x:v>
      </x:c>
      <x:c r="H11" s="22"/>
      <x:c r="I11" s="22"/>
      <x:c r="J11" s="21" t="str">
        <x:v>Bósnia-Herzegovina</x:v>
      </x:c>
      <x:c r="K11" s="21" t="str">
        <x:v>Não</x:v>
      </x:c>
      <x:c r="L11" s="23"/>
      <x:c r="M11" s="21" t="str">
        <x:f>IF(OR(H11="",I11=""),"",IF(H11&gt;I11,G11,IF(H11&lt;I11,J11,IF(K11="Sim",IF(L11="","Definir quem passou",L11),"Empate"))))</x:f>
      </x:c>
      <x:c r="N11" s="21" t="str">
        <x:f>IF(OR(H11="",I11=""),"Aguardando placar",IF(AND(K11="Sim",H11=I11,L11=""),"Falta quem passou","Resultado lançado"))</x:f>
        <x:v>Aguardando placar</x:v>
      </x:c>
      <x:c r="O11" s="21" t="str">
        <x:v>Fase de grupos</x:v>
      </x:c>
    </x:row>
    <x:row r="12">
      <x:c r="A12" s="21" t="str">
        <x:v>GB2</x:v>
      </x:c>
      <x:c r="B12" s="21" t="n">
        <x:v>8</x:v>
      </x:c>
      <x:c r="C12" s="21" t="str">
        <x:v>2026-06-13</x:v>
      </x:c>
      <x:c r="D12" s="21" t="str">
        <x:v>16:00</x:v>
      </x:c>
      <x:c r="E12" s="21" t="str">
        <x:v>Grupo B</x:v>
      </x:c>
      <x:c r="F12" s="21" t="str">
        <x:v>B</x:v>
      </x:c>
      <x:c r="G12" s="21" t="str">
        <x:v>Catar</x:v>
      </x:c>
      <x:c r="H12" s="22"/>
      <x:c r="I12" s="22"/>
      <x:c r="J12" s="21" t="str">
        <x:v>Suíça</x:v>
      </x:c>
      <x:c r="K12" s="21" t="str">
        <x:v>Não</x:v>
      </x:c>
      <x:c r="L12" s="23"/>
      <x:c r="M12" s="21" t="str">
        <x:f>IF(OR(H12="",I12=""),"",IF(H12&gt;I12,G12,IF(H12&lt;I12,J12,IF(K12="Sim",IF(L12="","Definir quem passou",L12),"Empate"))))</x:f>
      </x:c>
      <x:c r="N12" s="21" t="str">
        <x:f>IF(OR(H12="",I12=""),"Aguardando placar",IF(AND(K12="Sim",H12=I12,L12=""),"Falta quem passou","Resultado lançado"))</x:f>
        <x:v>Aguardando placar</x:v>
      </x:c>
      <x:c r="O12" s="21" t="str">
        <x:v>Fase de grupos</x:v>
      </x:c>
    </x:row>
    <x:row r="13">
      <x:c r="A13" s="21" t="str">
        <x:v>GB3</x:v>
      </x:c>
      <x:c r="B13" s="21" t="n">
        <x:v>9</x:v>
      </x:c>
      <x:c r="C13" s="21" t="str">
        <x:v>2026-06-18</x:v>
      </x:c>
      <x:c r="D13" s="21" t="str">
        <x:v>19:00</x:v>
      </x:c>
      <x:c r="E13" s="21" t="str">
        <x:v>Grupo B</x:v>
      </x:c>
      <x:c r="F13" s="21" t="str">
        <x:v>B</x:v>
      </x:c>
      <x:c r="G13" s="21" t="str">
        <x:v>Canadá</x:v>
      </x:c>
      <x:c r="H13" s="22"/>
      <x:c r="I13" s="22"/>
      <x:c r="J13" s="21" t="str">
        <x:v>Catar</x:v>
      </x:c>
      <x:c r="K13" s="21" t="str">
        <x:v>Não</x:v>
      </x:c>
      <x:c r="L13" s="23"/>
      <x:c r="M13" s="21" t="str">
        <x:f>IF(OR(H13="",I13=""),"",IF(H13&gt;I13,G13,IF(H13&lt;I13,J13,IF(K13="Sim",IF(L13="","Definir quem passou",L13),"Empate"))))</x:f>
      </x:c>
      <x:c r="N13" s="21" t="str">
        <x:f>IF(OR(H13="",I13=""),"Aguardando placar",IF(AND(K13="Sim",H13=I13,L13=""),"Falta quem passou","Resultado lançado"))</x:f>
        <x:v>Aguardando placar</x:v>
      </x:c>
      <x:c r="O13" s="21" t="str">
        <x:v>Fase de grupos</x:v>
      </x:c>
    </x:row>
    <x:row r="14">
      <x:c r="A14" s="21" t="str">
        <x:v>GB4</x:v>
      </x:c>
      <x:c r="B14" s="21" t="n">
        <x:v>10</x:v>
      </x:c>
      <x:c r="C14" s="21" t="str">
        <x:v>2026-06-18</x:v>
      </x:c>
      <x:c r="D14" s="21" t="str">
        <x:v>16:00</x:v>
      </x:c>
      <x:c r="E14" s="21" t="str">
        <x:v>Grupo B</x:v>
      </x:c>
      <x:c r="F14" s="21" t="str">
        <x:v>B</x:v>
      </x:c>
      <x:c r="G14" s="21" t="str">
        <x:v>Bósnia-Herzegovina</x:v>
      </x:c>
      <x:c r="H14" s="22"/>
      <x:c r="I14" s="22"/>
      <x:c r="J14" s="21" t="str">
        <x:v>Suíça</x:v>
      </x:c>
      <x:c r="K14" s="21" t="str">
        <x:v>Não</x:v>
      </x:c>
      <x:c r="L14" s="23"/>
      <x:c r="M14" s="21" t="str">
        <x:f>IF(OR(H14="",I14=""),"",IF(H14&gt;I14,G14,IF(H14&lt;I14,J14,IF(K14="Sim",IF(L14="","Definir quem passou",L14),"Empate"))))</x:f>
      </x:c>
      <x:c r="N14" s="21" t="str">
        <x:f>IF(OR(H14="",I14=""),"Aguardando placar",IF(AND(K14="Sim",H14=I14,L14=""),"Falta quem passou","Resultado lançado"))</x:f>
        <x:v>Aguardando placar</x:v>
      </x:c>
      <x:c r="O14" s="21" t="str">
        <x:v>Fase de grupos</x:v>
      </x:c>
    </x:row>
    <x:row r="15">
      <x:c r="A15" s="21" t="str">
        <x:v>GB5</x:v>
      </x:c>
      <x:c r="B15" s="21" t="n">
        <x:v>11</x:v>
      </x:c>
      <x:c r="C15" s="21" t="str">
        <x:v>2026-06-24</x:v>
      </x:c>
      <x:c r="D15" s="21" t="str">
        <x:v>16:00</x:v>
      </x:c>
      <x:c r="E15" s="21" t="str">
        <x:v>Grupo B</x:v>
      </x:c>
      <x:c r="F15" s="21" t="str">
        <x:v>B</x:v>
      </x:c>
      <x:c r="G15" s="21" t="str">
        <x:v>Canadá</x:v>
      </x:c>
      <x:c r="H15" s="22"/>
      <x:c r="I15" s="22"/>
      <x:c r="J15" s="21" t="str">
        <x:v>Suíça</x:v>
      </x:c>
      <x:c r="K15" s="21" t="str">
        <x:v>Não</x:v>
      </x:c>
      <x:c r="L15" s="23"/>
      <x:c r="M15" s="21" t="str">
        <x:f>IF(OR(H15="",I15=""),"",IF(H15&gt;I15,G15,IF(H15&lt;I15,J15,IF(K15="Sim",IF(L15="","Definir quem passou",L15),"Empate"))))</x:f>
      </x:c>
      <x:c r="N15" s="21" t="str">
        <x:f>IF(OR(H15="",I15=""),"Aguardando placar",IF(AND(K15="Sim",H15=I15,L15=""),"Falta quem passou","Resultado lançado"))</x:f>
        <x:v>Aguardando placar</x:v>
      </x:c>
      <x:c r="O15" s="21" t="str">
        <x:v>Fase de grupos</x:v>
      </x:c>
    </x:row>
    <x:row r="16">
      <x:c r="A16" s="21" t="str">
        <x:v>GB6</x:v>
      </x:c>
      <x:c r="B16" s="21" t="n">
        <x:v>12</x:v>
      </x:c>
      <x:c r="C16" s="21" t="str">
        <x:v>2026-06-24</x:v>
      </x:c>
      <x:c r="D16" s="21" t="str">
        <x:v>16:00</x:v>
      </x:c>
      <x:c r="E16" s="21" t="str">
        <x:v>Grupo B</x:v>
      </x:c>
      <x:c r="F16" s="21" t="str">
        <x:v>B</x:v>
      </x:c>
      <x:c r="G16" s="21" t="str">
        <x:v>Bósnia-Herzegovina</x:v>
      </x:c>
      <x:c r="H16" s="22"/>
      <x:c r="I16" s="22"/>
      <x:c r="J16" s="21" t="str">
        <x:v>Catar</x:v>
      </x:c>
      <x:c r="K16" s="21" t="str">
        <x:v>Não</x:v>
      </x:c>
      <x:c r="L16" s="23"/>
      <x:c r="M16" s="21" t="str">
        <x:f>IF(OR(H16="",I16=""),"",IF(H16&gt;I16,G16,IF(H16&lt;I16,J16,IF(K16="Sim",IF(L16="","Definir quem passou",L16),"Empate"))))</x:f>
      </x:c>
      <x:c r="N16" s="21" t="str">
        <x:f>IF(OR(H16="",I16=""),"Aguardando placar",IF(AND(K16="Sim",H16=I16,L16=""),"Falta quem passou","Resultado lançado"))</x:f>
        <x:v>Aguardando placar</x:v>
      </x:c>
      <x:c r="O16" s="21" t="str">
        <x:v>Fase de grupos</x:v>
      </x:c>
    </x:row>
    <x:row r="17">
      <x:c r="A17" s="21" t="str">
        <x:v>GC1</x:v>
      </x:c>
      <x:c r="B17" s="21" t="n">
        <x:v>13</x:v>
      </x:c>
      <x:c r="C17" s="21" t="str">
        <x:v>2026-06-13</x:v>
      </x:c>
      <x:c r="D17" s="21" t="str">
        <x:v>19:00</x:v>
      </x:c>
      <x:c r="E17" s="21" t="str">
        <x:v>Grupo C</x:v>
      </x:c>
      <x:c r="F17" s="21" t="str">
        <x:v>C</x:v>
      </x:c>
      <x:c r="G17" s="21" t="str">
        <x:v>Brasil</x:v>
      </x:c>
      <x:c r="H17" s="22"/>
      <x:c r="I17" s="22"/>
      <x:c r="J17" s="21" t="str">
        <x:v>Marrocos</x:v>
      </x:c>
      <x:c r="K17" s="21" t="str">
        <x:v>Não</x:v>
      </x:c>
      <x:c r="L17" s="23"/>
      <x:c r="M17" s="21" t="str">
        <x:f>IF(OR(H17="",I17=""),"",IF(H17&gt;I17,G17,IF(H17&lt;I17,J17,IF(K17="Sim",IF(L17="","Definir quem passou",L17),"Empate"))))</x:f>
      </x:c>
      <x:c r="N17" s="21" t="str">
        <x:f>IF(OR(H17="",I17=""),"Aguardando placar",IF(AND(K17="Sim",H17=I17,L17=""),"Falta quem passou","Resultado lançado"))</x:f>
        <x:v>Aguardando placar</x:v>
      </x:c>
      <x:c r="O17" s="21" t="str">
        <x:v>Fase de grupos</x:v>
      </x:c>
    </x:row>
    <x:row r="18">
      <x:c r="A18" s="21" t="str">
        <x:v>GC2</x:v>
      </x:c>
      <x:c r="B18" s="21" t="n">
        <x:v>14</x:v>
      </x:c>
      <x:c r="C18" s="21" t="str">
        <x:v>2026-06-13</x:v>
      </x:c>
      <x:c r="D18" s="21" t="str">
        <x:v>22:00</x:v>
      </x:c>
      <x:c r="E18" s="21" t="str">
        <x:v>Grupo C</x:v>
      </x:c>
      <x:c r="F18" s="21" t="str">
        <x:v>C</x:v>
      </x:c>
      <x:c r="G18" s="21" t="str">
        <x:v>Haiti</x:v>
      </x:c>
      <x:c r="H18" s="22"/>
      <x:c r="I18" s="22"/>
      <x:c r="J18" s="21" t="str">
        <x:v>Escócia</x:v>
      </x:c>
      <x:c r="K18" s="21" t="str">
        <x:v>Não</x:v>
      </x:c>
      <x:c r="L18" s="23"/>
      <x:c r="M18" s="21" t="str">
        <x:f>IF(OR(H18="",I18=""),"",IF(H18&gt;I18,G18,IF(H18&lt;I18,J18,IF(K18="Sim",IF(L18="","Definir quem passou",L18),"Empate"))))</x:f>
      </x:c>
      <x:c r="N18" s="21" t="str">
        <x:f>IF(OR(H18="",I18=""),"Aguardando placar",IF(AND(K18="Sim",H18=I18,L18=""),"Falta quem passou","Resultado lançado"))</x:f>
        <x:v>Aguardando placar</x:v>
      </x:c>
      <x:c r="O18" s="21" t="str">
        <x:v>Fase de grupos</x:v>
      </x:c>
    </x:row>
    <x:row r="19">
      <x:c r="A19" s="21" t="str">
        <x:v>GC3</x:v>
      </x:c>
      <x:c r="B19" s="21" t="n">
        <x:v>15</x:v>
      </x:c>
      <x:c r="C19" s="21" t="str">
        <x:v>2026-06-19</x:v>
      </x:c>
      <x:c r="D19" s="21" t="str">
        <x:v>21:30</x:v>
      </x:c>
      <x:c r="E19" s="21" t="str">
        <x:v>Grupo C</x:v>
      </x:c>
      <x:c r="F19" s="21" t="str">
        <x:v>C</x:v>
      </x:c>
      <x:c r="G19" s="21" t="str">
        <x:v>Brasil</x:v>
      </x:c>
      <x:c r="H19" s="22"/>
      <x:c r="I19" s="22"/>
      <x:c r="J19" s="21" t="str">
        <x:v>Haiti</x:v>
      </x:c>
      <x:c r="K19" s="21" t="str">
        <x:v>Não</x:v>
      </x:c>
      <x:c r="L19" s="23"/>
      <x:c r="M19" s="21" t="str">
        <x:f>IF(OR(H19="",I19=""),"",IF(H19&gt;I19,G19,IF(H19&lt;I19,J19,IF(K19="Sim",IF(L19="","Definir quem passou",L19),"Empate"))))</x:f>
      </x:c>
      <x:c r="N19" s="21" t="str">
        <x:f>IF(OR(H19="",I19=""),"Aguardando placar",IF(AND(K19="Sim",H19=I19,L19=""),"Falta quem passou","Resultado lançado"))</x:f>
        <x:v>Aguardando placar</x:v>
      </x:c>
      <x:c r="O19" s="21" t="str">
        <x:v>Fase de grupos</x:v>
      </x:c>
    </x:row>
    <x:row r="20">
      <x:c r="A20" s="21" t="str">
        <x:v>GC4</x:v>
      </x:c>
      <x:c r="B20" s="21" t="n">
        <x:v>16</x:v>
      </x:c>
      <x:c r="C20" s="21" t="str">
        <x:v>2026-06-19</x:v>
      </x:c>
      <x:c r="D20" s="21" t="str">
        <x:v>19:00</x:v>
      </x:c>
      <x:c r="E20" s="21" t="str">
        <x:v>Grupo C</x:v>
      </x:c>
      <x:c r="F20" s="21" t="str">
        <x:v>C</x:v>
      </x:c>
      <x:c r="G20" s="21" t="str">
        <x:v>Marrocos</x:v>
      </x:c>
      <x:c r="H20" s="22"/>
      <x:c r="I20" s="22"/>
      <x:c r="J20" s="21" t="str">
        <x:v>Escócia</x:v>
      </x:c>
      <x:c r="K20" s="21" t="str">
        <x:v>Não</x:v>
      </x:c>
      <x:c r="L20" s="23"/>
      <x:c r="M20" s="21" t="str">
        <x:f>IF(OR(H20="",I20=""),"",IF(H20&gt;I20,G20,IF(H20&lt;I20,J20,IF(K20="Sim",IF(L20="","Definir quem passou",L20),"Empate"))))</x:f>
      </x:c>
      <x:c r="N20" s="21" t="str">
        <x:f>IF(OR(H20="",I20=""),"Aguardando placar",IF(AND(K20="Sim",H20=I20,L20=""),"Falta quem passou","Resultado lançado"))</x:f>
        <x:v>Aguardando placar</x:v>
      </x:c>
      <x:c r="O20" s="21" t="str">
        <x:v>Fase de grupos</x:v>
      </x:c>
    </x:row>
    <x:row r="21">
      <x:c r="A21" s="21" t="str">
        <x:v>GC5</x:v>
      </x:c>
      <x:c r="B21" s="21" t="n">
        <x:v>17</x:v>
      </x:c>
      <x:c r="C21" s="21" t="str">
        <x:v>2026-06-24</x:v>
      </x:c>
      <x:c r="D21" s="21" t="str">
        <x:v>19:00</x:v>
      </x:c>
      <x:c r="E21" s="21" t="str">
        <x:v>Grupo C</x:v>
      </x:c>
      <x:c r="F21" s="21" t="str">
        <x:v>C</x:v>
      </x:c>
      <x:c r="G21" s="21" t="str">
        <x:v>Brasil</x:v>
      </x:c>
      <x:c r="H21" s="22"/>
      <x:c r="I21" s="22"/>
      <x:c r="J21" s="21" t="str">
        <x:v>Escócia</x:v>
      </x:c>
      <x:c r="K21" s="21" t="str">
        <x:v>Não</x:v>
      </x:c>
      <x:c r="L21" s="23"/>
      <x:c r="M21" s="21" t="str">
        <x:f>IF(OR(H21="",I21=""),"",IF(H21&gt;I21,G21,IF(H21&lt;I21,J21,IF(K21="Sim",IF(L21="","Definir quem passou",L21),"Empate"))))</x:f>
      </x:c>
      <x:c r="N21" s="21" t="str">
        <x:f>IF(OR(H21="",I21=""),"Aguardando placar",IF(AND(K21="Sim",H21=I21,L21=""),"Falta quem passou","Resultado lançado"))</x:f>
        <x:v>Aguardando placar</x:v>
      </x:c>
      <x:c r="O21" s="21" t="str">
        <x:v>Fase de grupos</x:v>
      </x:c>
    </x:row>
    <x:row r="22">
      <x:c r="A22" s="21" t="str">
        <x:v>GC6</x:v>
      </x:c>
      <x:c r="B22" s="21" t="n">
        <x:v>18</x:v>
      </x:c>
      <x:c r="C22" s="21" t="str">
        <x:v>2026-06-24</x:v>
      </x:c>
      <x:c r="D22" s="21" t="str">
        <x:v>19:00</x:v>
      </x:c>
      <x:c r="E22" s="21" t="str">
        <x:v>Grupo C</x:v>
      </x:c>
      <x:c r="F22" s="21" t="str">
        <x:v>C</x:v>
      </x:c>
      <x:c r="G22" s="21" t="str">
        <x:v>Marrocos</x:v>
      </x:c>
      <x:c r="H22" s="22"/>
      <x:c r="I22" s="22"/>
      <x:c r="J22" s="21" t="str">
        <x:v>Haiti</x:v>
      </x:c>
      <x:c r="K22" s="21" t="str">
        <x:v>Não</x:v>
      </x:c>
      <x:c r="L22" s="23"/>
      <x:c r="M22" s="21" t="str">
        <x:f>IF(OR(H22="",I22=""),"",IF(H22&gt;I22,G22,IF(H22&lt;I22,J22,IF(K22="Sim",IF(L22="","Definir quem passou",L22),"Empate"))))</x:f>
      </x:c>
      <x:c r="N22" s="21" t="str">
        <x:f>IF(OR(H22="",I22=""),"Aguardando placar",IF(AND(K22="Sim",H22=I22,L22=""),"Falta quem passou","Resultado lançado"))</x:f>
        <x:v>Aguardando placar</x:v>
      </x:c>
      <x:c r="O22" s="21" t="str">
        <x:v>Fase de grupos</x:v>
      </x:c>
    </x:row>
    <x:row r="23">
      <x:c r="A23" s="21" t="str">
        <x:v>GD1</x:v>
      </x:c>
      <x:c r="B23" s="21" t="n">
        <x:v>19</x:v>
      </x:c>
      <x:c r="C23" s="21" t="str">
        <x:v>2026-06-12</x:v>
      </x:c>
      <x:c r="D23" s="21" t="str">
        <x:v>22:00</x:v>
      </x:c>
      <x:c r="E23" s="21" t="str">
        <x:v>Grupo D</x:v>
      </x:c>
      <x:c r="F23" s="21" t="str">
        <x:v>D</x:v>
      </x:c>
      <x:c r="G23" s="21" t="str">
        <x:v>EUA</x:v>
      </x:c>
      <x:c r="H23" s="22"/>
      <x:c r="I23" s="22"/>
      <x:c r="J23" s="21" t="str">
        <x:v>Paraguai</x:v>
      </x:c>
      <x:c r="K23" s="21" t="str">
        <x:v>Não</x:v>
      </x:c>
      <x:c r="L23" s="23"/>
      <x:c r="M23" s="21" t="str">
        <x:f>IF(OR(H23="",I23=""),"",IF(H23&gt;I23,G23,IF(H23&lt;I23,J23,IF(K23="Sim",IF(L23="","Definir quem passou",L23),"Empate"))))</x:f>
      </x:c>
      <x:c r="N23" s="21" t="str">
        <x:f>IF(OR(H23="",I23=""),"Aguardando placar",IF(AND(K23="Sim",H23=I23,L23=""),"Falta quem passou","Resultado lançado"))</x:f>
        <x:v>Aguardando placar</x:v>
      </x:c>
      <x:c r="O23" s="21" t="str">
        <x:v>Fase de grupos</x:v>
      </x:c>
    </x:row>
    <x:row r="24">
      <x:c r="A24" s="21" t="str">
        <x:v>GD2</x:v>
      </x:c>
      <x:c r="B24" s="21" t="n">
        <x:v>20</x:v>
      </x:c>
      <x:c r="C24" s="21" t="str">
        <x:v>2026-06-14</x:v>
      </x:c>
      <x:c r="D24" s="21" t="str">
        <x:v>01:00</x:v>
      </x:c>
      <x:c r="E24" s="21" t="str">
        <x:v>Grupo D</x:v>
      </x:c>
      <x:c r="F24" s="21" t="str">
        <x:v>D</x:v>
      </x:c>
      <x:c r="G24" s="21" t="str">
        <x:v>Austrália</x:v>
      </x:c>
      <x:c r="H24" s="22"/>
      <x:c r="I24" s="22"/>
      <x:c r="J24" s="21" t="str">
        <x:v>Turquia</x:v>
      </x:c>
      <x:c r="K24" s="21" t="str">
        <x:v>Não</x:v>
      </x:c>
      <x:c r="L24" s="23"/>
      <x:c r="M24" s="21" t="str">
        <x:f>IF(OR(H24="",I24=""),"",IF(H24&gt;I24,G24,IF(H24&lt;I24,J24,IF(K24="Sim",IF(L24="","Definir quem passou",L24),"Empate"))))</x:f>
      </x:c>
      <x:c r="N24" s="21" t="str">
        <x:f>IF(OR(H24="",I24=""),"Aguardando placar",IF(AND(K24="Sim",H24=I24,L24=""),"Falta quem passou","Resultado lançado"))</x:f>
        <x:v>Aguardando placar</x:v>
      </x:c>
      <x:c r="O24" s="21" t="str">
        <x:v>Fase de grupos</x:v>
      </x:c>
    </x:row>
    <x:row r="25">
      <x:c r="A25" s="21" t="str">
        <x:v>GD3</x:v>
      </x:c>
      <x:c r="B25" s="21" t="n">
        <x:v>21</x:v>
      </x:c>
      <x:c r="C25" s="21" t="str">
        <x:v>2026-06-19</x:v>
      </x:c>
      <x:c r="D25" s="21" t="str">
        <x:v>16:00</x:v>
      </x:c>
      <x:c r="E25" s="21" t="str">
        <x:v>Grupo D</x:v>
      </x:c>
      <x:c r="F25" s="21" t="str">
        <x:v>D</x:v>
      </x:c>
      <x:c r="G25" s="21" t="str">
        <x:v>EUA</x:v>
      </x:c>
      <x:c r="H25" s="22"/>
      <x:c r="I25" s="22"/>
      <x:c r="J25" s="21" t="str">
        <x:v>Austrália</x:v>
      </x:c>
      <x:c r="K25" s="21" t="str">
        <x:v>Não</x:v>
      </x:c>
      <x:c r="L25" s="23"/>
      <x:c r="M25" s="21" t="str">
        <x:f>IF(OR(H25="",I25=""),"",IF(H25&gt;I25,G25,IF(H25&lt;I25,J25,IF(K25="Sim",IF(L25="","Definir quem passou",L25),"Empate"))))</x:f>
      </x:c>
      <x:c r="N25" s="21" t="str">
        <x:f>IF(OR(H25="",I25=""),"Aguardando placar",IF(AND(K25="Sim",H25=I25,L25=""),"Falta quem passou","Resultado lançado"))</x:f>
        <x:v>Aguardando placar</x:v>
      </x:c>
      <x:c r="O25" s="21" t="str">
        <x:v>Fase de grupos</x:v>
      </x:c>
    </x:row>
    <x:row r="26">
      <x:c r="A26" s="21" t="str">
        <x:v>GD4</x:v>
      </x:c>
      <x:c r="B26" s="21" t="n">
        <x:v>22</x:v>
      </x:c>
      <x:c r="C26" s="21" t="str">
        <x:v>2026-06-20</x:v>
      </x:c>
      <x:c r="D26" s="21" t="str">
        <x:v>00:00</x:v>
      </x:c>
      <x:c r="E26" s="21" t="str">
        <x:v>Grupo D</x:v>
      </x:c>
      <x:c r="F26" s="21" t="str">
        <x:v>D</x:v>
      </x:c>
      <x:c r="G26" s="21" t="str">
        <x:v>Paraguai</x:v>
      </x:c>
      <x:c r="H26" s="22"/>
      <x:c r="I26" s="22"/>
      <x:c r="J26" s="21" t="str">
        <x:v>Turquia</x:v>
      </x:c>
      <x:c r="K26" s="21" t="str">
        <x:v>Não</x:v>
      </x:c>
      <x:c r="L26" s="23"/>
      <x:c r="M26" s="21" t="str">
        <x:f>IF(OR(H26="",I26=""),"",IF(H26&gt;I26,G26,IF(H26&lt;I26,J26,IF(K26="Sim",IF(L26="","Definir quem passou",L26),"Empate"))))</x:f>
      </x:c>
      <x:c r="N26" s="21" t="str">
        <x:f>IF(OR(H26="",I26=""),"Aguardando placar",IF(AND(K26="Sim",H26=I26,L26=""),"Falta quem passou","Resultado lançado"))</x:f>
        <x:v>Aguardando placar</x:v>
      </x:c>
      <x:c r="O26" s="21" t="str">
        <x:v>Fase de grupos</x:v>
      </x:c>
    </x:row>
    <x:row r="27">
      <x:c r="A27" s="21" t="str">
        <x:v>GD5</x:v>
      </x:c>
      <x:c r="B27" s="21" t="n">
        <x:v>23</x:v>
      </x:c>
      <x:c r="C27" s="21" t="str">
        <x:v>2026-06-25</x:v>
      </x:c>
      <x:c r="D27" s="21" t="str">
        <x:v>23:00</x:v>
      </x:c>
      <x:c r="E27" s="21" t="str">
        <x:v>Grupo D</x:v>
      </x:c>
      <x:c r="F27" s="21" t="str">
        <x:v>D</x:v>
      </x:c>
      <x:c r="G27" s="21" t="str">
        <x:v>EUA</x:v>
      </x:c>
      <x:c r="H27" s="22"/>
      <x:c r="I27" s="22"/>
      <x:c r="J27" s="21" t="str">
        <x:v>Turquia</x:v>
      </x:c>
      <x:c r="K27" s="21" t="str">
        <x:v>Não</x:v>
      </x:c>
      <x:c r="L27" s="23"/>
      <x:c r="M27" s="21" t="str">
        <x:f>IF(OR(H27="",I27=""),"",IF(H27&gt;I27,G27,IF(H27&lt;I27,J27,IF(K27="Sim",IF(L27="","Definir quem passou",L27),"Empate"))))</x:f>
      </x:c>
      <x:c r="N27" s="21" t="str">
        <x:f>IF(OR(H27="",I27=""),"Aguardando placar",IF(AND(K27="Sim",H27=I27,L27=""),"Falta quem passou","Resultado lançado"))</x:f>
        <x:v>Aguardando placar</x:v>
      </x:c>
      <x:c r="O27" s="21" t="str">
        <x:v>Fase de grupos</x:v>
      </x:c>
    </x:row>
    <x:row r="28">
      <x:c r="A28" s="21" t="str">
        <x:v>GD6</x:v>
      </x:c>
      <x:c r="B28" s="21" t="n">
        <x:v>24</x:v>
      </x:c>
      <x:c r="C28" s="21" t="str">
        <x:v>2026-06-25</x:v>
      </x:c>
      <x:c r="D28" s="21" t="str">
        <x:v>23:00</x:v>
      </x:c>
      <x:c r="E28" s="21" t="str">
        <x:v>Grupo D</x:v>
      </x:c>
      <x:c r="F28" s="21" t="str">
        <x:v>D</x:v>
      </x:c>
      <x:c r="G28" s="21" t="str">
        <x:v>Paraguai</x:v>
      </x:c>
      <x:c r="H28" s="22"/>
      <x:c r="I28" s="22"/>
      <x:c r="J28" s="21" t="str">
        <x:v>Austrália</x:v>
      </x:c>
      <x:c r="K28" s="21" t="str">
        <x:v>Não</x:v>
      </x:c>
      <x:c r="L28" s="23"/>
      <x:c r="M28" s="21" t="str">
        <x:f>IF(OR(H28="",I28=""),"",IF(H28&gt;I28,G28,IF(H28&lt;I28,J28,IF(K28="Sim",IF(L28="","Definir quem passou",L28),"Empate"))))</x:f>
      </x:c>
      <x:c r="N28" s="21" t="str">
        <x:f>IF(OR(H28="",I28=""),"Aguardando placar",IF(AND(K28="Sim",H28=I28,L28=""),"Falta quem passou","Resultado lançado"))</x:f>
        <x:v>Aguardando placar</x:v>
      </x:c>
      <x:c r="O28" s="21" t="str">
        <x:v>Fase de grupos</x:v>
      </x:c>
    </x:row>
    <x:row r="29">
      <x:c r="A29" s="21" t="str">
        <x:v>GE1</x:v>
      </x:c>
      <x:c r="B29" s="21" t="n">
        <x:v>25</x:v>
      </x:c>
      <x:c r="C29" s="21" t="str">
        <x:v>2026-06-14</x:v>
      </x:c>
      <x:c r="D29" s="21" t="str">
        <x:v>14:00</x:v>
      </x:c>
      <x:c r="E29" s="21" t="str">
        <x:v>Grupo E</x:v>
      </x:c>
      <x:c r="F29" s="21" t="str">
        <x:v>E</x:v>
      </x:c>
      <x:c r="G29" s="21" t="str">
        <x:v>Alemanha</x:v>
      </x:c>
      <x:c r="H29" s="22"/>
      <x:c r="I29" s="22"/>
      <x:c r="J29" s="21" t="str">
        <x:v>Curaçau</x:v>
      </x:c>
      <x:c r="K29" s="21" t="str">
        <x:v>Não</x:v>
      </x:c>
      <x:c r="L29" s="23"/>
      <x:c r="M29" s="21" t="str">
        <x:f>IF(OR(H29="",I29=""),"",IF(H29&gt;I29,G29,IF(H29&lt;I29,J29,IF(K29="Sim",IF(L29="","Definir quem passou",L29),"Empate"))))</x:f>
      </x:c>
      <x:c r="N29" s="21" t="str">
        <x:f>IF(OR(H29="",I29=""),"Aguardando placar",IF(AND(K29="Sim",H29=I29,L29=""),"Falta quem passou","Resultado lançado"))</x:f>
        <x:v>Aguardando placar</x:v>
      </x:c>
      <x:c r="O29" s="21" t="str">
        <x:v>Fase de grupos</x:v>
      </x:c>
    </x:row>
    <x:row r="30">
      <x:c r="A30" s="21" t="str">
        <x:v>GE2</x:v>
      </x:c>
      <x:c r="B30" s="21" t="n">
        <x:v>26</x:v>
      </x:c>
      <x:c r="C30" s="21" t="str">
        <x:v>2026-06-14</x:v>
      </x:c>
      <x:c r="D30" s="21" t="str">
        <x:v>20:00</x:v>
      </x:c>
      <x:c r="E30" s="21" t="str">
        <x:v>Grupo E</x:v>
      </x:c>
      <x:c r="F30" s="21" t="str">
        <x:v>E</x:v>
      </x:c>
      <x:c r="G30" s="21" t="str">
        <x:v>Costa do Marfim</x:v>
      </x:c>
      <x:c r="H30" s="22"/>
      <x:c r="I30" s="22"/>
      <x:c r="J30" s="21" t="str">
        <x:v>Equador</x:v>
      </x:c>
      <x:c r="K30" s="21" t="str">
        <x:v>Não</x:v>
      </x:c>
      <x:c r="L30" s="23"/>
      <x:c r="M30" s="21" t="str">
        <x:f>IF(OR(H30="",I30=""),"",IF(H30&gt;I30,G30,IF(H30&lt;I30,J30,IF(K30="Sim",IF(L30="","Definir quem passou",L30),"Empate"))))</x:f>
      </x:c>
      <x:c r="N30" s="21" t="str">
        <x:f>IF(OR(H30="",I30=""),"Aguardando placar",IF(AND(K30="Sim",H30=I30,L30=""),"Falta quem passou","Resultado lançado"))</x:f>
        <x:v>Aguardando placar</x:v>
      </x:c>
      <x:c r="O30" s="21" t="str">
        <x:v>Fase de grupos</x:v>
      </x:c>
    </x:row>
    <x:row r="31">
      <x:c r="A31" s="21" t="str">
        <x:v>GE3</x:v>
      </x:c>
      <x:c r="B31" s="21" t="n">
        <x:v>27</x:v>
      </x:c>
      <x:c r="C31" s="21" t="str">
        <x:v>2026-06-20</x:v>
      </x:c>
      <x:c r="D31" s="21" t="str">
        <x:v>17:00</x:v>
      </x:c>
      <x:c r="E31" s="21" t="str">
        <x:v>Grupo E</x:v>
      </x:c>
      <x:c r="F31" s="21" t="str">
        <x:v>E</x:v>
      </x:c>
      <x:c r="G31" s="21" t="str">
        <x:v>Alemanha</x:v>
      </x:c>
      <x:c r="H31" s="22"/>
      <x:c r="I31" s="22"/>
      <x:c r="J31" s="21" t="str">
        <x:v>Costa do Marfim</x:v>
      </x:c>
      <x:c r="K31" s="21" t="str">
        <x:v>Não</x:v>
      </x:c>
      <x:c r="L31" s="23"/>
      <x:c r="M31" s="21" t="str">
        <x:f>IF(OR(H31="",I31=""),"",IF(H31&gt;I31,G31,IF(H31&lt;I31,J31,IF(K31="Sim",IF(L31="","Definir quem passou",L31),"Empate"))))</x:f>
      </x:c>
      <x:c r="N31" s="21" t="str">
        <x:f>IF(OR(H31="",I31=""),"Aguardando placar",IF(AND(K31="Sim",H31=I31,L31=""),"Falta quem passou","Resultado lançado"))</x:f>
        <x:v>Aguardando placar</x:v>
      </x:c>
      <x:c r="O31" s="21" t="str">
        <x:v>Fase de grupos</x:v>
      </x:c>
    </x:row>
    <x:row r="32">
      <x:c r="A32" s="21" t="str">
        <x:v>GE4</x:v>
      </x:c>
      <x:c r="B32" s="21" t="n">
        <x:v>28</x:v>
      </x:c>
      <x:c r="C32" s="21" t="str">
        <x:v>2026-06-20</x:v>
      </x:c>
      <x:c r="D32" s="21" t="str">
        <x:v>21:00</x:v>
      </x:c>
      <x:c r="E32" s="21" t="str">
        <x:v>Grupo E</x:v>
      </x:c>
      <x:c r="F32" s="21" t="str">
        <x:v>E</x:v>
      </x:c>
      <x:c r="G32" s="21" t="str">
        <x:v>Curaçau</x:v>
      </x:c>
      <x:c r="H32" s="22"/>
      <x:c r="I32" s="22"/>
      <x:c r="J32" s="21" t="str">
        <x:v>Equador</x:v>
      </x:c>
      <x:c r="K32" s="21" t="str">
        <x:v>Não</x:v>
      </x:c>
      <x:c r="L32" s="23"/>
      <x:c r="M32" s="21" t="str">
        <x:f>IF(OR(H32="",I32=""),"",IF(H32&gt;I32,G32,IF(H32&lt;I32,J32,IF(K32="Sim",IF(L32="","Definir quem passou",L32),"Empate"))))</x:f>
      </x:c>
      <x:c r="N32" s="21" t="str">
        <x:f>IF(OR(H32="",I32=""),"Aguardando placar",IF(AND(K32="Sim",H32=I32,L32=""),"Falta quem passou","Resultado lançado"))</x:f>
        <x:v>Aguardando placar</x:v>
      </x:c>
      <x:c r="O32" s="21" t="str">
        <x:v>Fase de grupos</x:v>
      </x:c>
    </x:row>
    <x:row r="33">
      <x:c r="A33" s="21" t="str">
        <x:v>GE5</x:v>
      </x:c>
      <x:c r="B33" s="21" t="n">
        <x:v>29</x:v>
      </x:c>
      <x:c r="C33" s="21" t="str">
        <x:v>2026-06-25</x:v>
      </x:c>
      <x:c r="D33" s="21" t="str">
        <x:v>17:00</x:v>
      </x:c>
      <x:c r="E33" s="21" t="str">
        <x:v>Grupo E</x:v>
      </x:c>
      <x:c r="F33" s="21" t="str">
        <x:v>E</x:v>
      </x:c>
      <x:c r="G33" s="21" t="str">
        <x:v>Alemanha</x:v>
      </x:c>
      <x:c r="H33" s="22"/>
      <x:c r="I33" s="22"/>
      <x:c r="J33" s="21" t="str">
        <x:v>Equador</x:v>
      </x:c>
      <x:c r="K33" s="21" t="str">
        <x:v>Não</x:v>
      </x:c>
      <x:c r="L33" s="23"/>
      <x:c r="M33" s="21" t="str">
        <x:f>IF(OR(H33="",I33=""),"",IF(H33&gt;I33,G33,IF(H33&lt;I33,J33,IF(K33="Sim",IF(L33="","Definir quem passou",L33),"Empate"))))</x:f>
      </x:c>
      <x:c r="N33" s="21" t="str">
        <x:f>IF(OR(H33="",I33=""),"Aguardando placar",IF(AND(K33="Sim",H33=I33,L33=""),"Falta quem passou","Resultado lançado"))</x:f>
        <x:v>Aguardando placar</x:v>
      </x:c>
      <x:c r="O33" s="21" t="str">
        <x:v>Fase de grupos</x:v>
      </x:c>
    </x:row>
    <x:row r="34">
      <x:c r="A34" s="21" t="str">
        <x:v>GE6</x:v>
      </x:c>
      <x:c r="B34" s="21" t="n">
        <x:v>30</x:v>
      </x:c>
      <x:c r="C34" s="21" t="str">
        <x:v>2026-06-25</x:v>
      </x:c>
      <x:c r="D34" s="21" t="str">
        <x:v>17:00</x:v>
      </x:c>
      <x:c r="E34" s="21" t="str">
        <x:v>Grupo E</x:v>
      </x:c>
      <x:c r="F34" s="21" t="str">
        <x:v>E</x:v>
      </x:c>
      <x:c r="G34" s="21" t="str">
        <x:v>Curaçau</x:v>
      </x:c>
      <x:c r="H34" s="22"/>
      <x:c r="I34" s="22"/>
      <x:c r="J34" s="21" t="str">
        <x:v>Costa do Marfim</x:v>
      </x:c>
      <x:c r="K34" s="21" t="str">
        <x:v>Não</x:v>
      </x:c>
      <x:c r="L34" s="23"/>
      <x:c r="M34" s="21" t="str">
        <x:f>IF(OR(H34="",I34=""),"",IF(H34&gt;I34,G34,IF(H34&lt;I34,J34,IF(K34="Sim",IF(L34="","Definir quem passou",L34),"Empate"))))</x:f>
      </x:c>
      <x:c r="N34" s="21" t="str">
        <x:f>IF(OR(H34="",I34=""),"Aguardando placar",IF(AND(K34="Sim",H34=I34,L34=""),"Falta quem passou","Resultado lançado"))</x:f>
        <x:v>Aguardando placar</x:v>
      </x:c>
      <x:c r="O34" s="21" t="str">
        <x:v>Fase de grupos</x:v>
      </x:c>
    </x:row>
    <x:row r="35">
      <x:c r="A35" s="21" t="str">
        <x:v>GF1</x:v>
      </x:c>
      <x:c r="B35" s="21" t="n">
        <x:v>31</x:v>
      </x:c>
      <x:c r="C35" s="21" t="str">
        <x:v>2026-06-14</x:v>
      </x:c>
      <x:c r="D35" s="21" t="str">
        <x:v>17:00</x:v>
      </x:c>
      <x:c r="E35" s="21" t="str">
        <x:v>Grupo F</x:v>
      </x:c>
      <x:c r="F35" s="21" t="str">
        <x:v>F</x:v>
      </x:c>
      <x:c r="G35" s="21" t="str">
        <x:v>Holanda</x:v>
      </x:c>
      <x:c r="H35" s="22"/>
      <x:c r="I35" s="22"/>
      <x:c r="J35" s="21" t="str">
        <x:v>Japão</x:v>
      </x:c>
      <x:c r="K35" s="21" t="str">
        <x:v>Não</x:v>
      </x:c>
      <x:c r="L35" s="23"/>
      <x:c r="M35" s="21" t="str">
        <x:f>IF(OR(H35="",I35=""),"",IF(H35&gt;I35,G35,IF(H35&lt;I35,J35,IF(K35="Sim",IF(L35="","Definir quem passou",L35),"Empate"))))</x:f>
      </x:c>
      <x:c r="N35" s="21" t="str">
        <x:f>IF(OR(H35="",I35=""),"Aguardando placar",IF(AND(K35="Sim",H35=I35,L35=""),"Falta quem passou","Resultado lançado"))</x:f>
        <x:v>Aguardando placar</x:v>
      </x:c>
      <x:c r="O35" s="21" t="str">
        <x:v>Fase de grupos</x:v>
      </x:c>
    </x:row>
    <x:row r="36">
      <x:c r="A36" s="21" t="str">
        <x:v>GF2</x:v>
      </x:c>
      <x:c r="B36" s="21" t="n">
        <x:v>32</x:v>
      </x:c>
      <x:c r="C36" s="21" t="str">
        <x:v>2026-06-14</x:v>
      </x:c>
      <x:c r="D36" s="21" t="str">
        <x:v>23:00</x:v>
      </x:c>
      <x:c r="E36" s="21" t="str">
        <x:v>Grupo F</x:v>
      </x:c>
      <x:c r="F36" s="21" t="str">
        <x:v>F</x:v>
      </x:c>
      <x:c r="G36" s="21" t="str">
        <x:v>Suécia</x:v>
      </x:c>
      <x:c r="H36" s="22"/>
      <x:c r="I36" s="22"/>
      <x:c r="J36" s="21" t="str">
        <x:v>Tunísia</x:v>
      </x:c>
      <x:c r="K36" s="21" t="str">
        <x:v>Não</x:v>
      </x:c>
      <x:c r="L36" s="23"/>
      <x:c r="M36" s="21" t="str">
        <x:f>IF(OR(H36="",I36=""),"",IF(H36&gt;I36,G36,IF(H36&lt;I36,J36,IF(K36="Sim",IF(L36="","Definir quem passou",L36),"Empate"))))</x:f>
      </x:c>
      <x:c r="N36" s="21" t="str">
        <x:f>IF(OR(H36="",I36=""),"Aguardando placar",IF(AND(K36="Sim",H36=I36,L36=""),"Falta quem passou","Resultado lançado"))</x:f>
        <x:v>Aguardando placar</x:v>
      </x:c>
      <x:c r="O36" s="21" t="str">
        <x:v>Fase de grupos</x:v>
      </x:c>
    </x:row>
    <x:row r="37">
      <x:c r="A37" s="21" t="str">
        <x:v>GF3</x:v>
      </x:c>
      <x:c r="B37" s="21" t="n">
        <x:v>33</x:v>
      </x:c>
      <x:c r="C37" s="21" t="str">
        <x:v>2026-06-20</x:v>
      </x:c>
      <x:c r="D37" s="21" t="str">
        <x:v>14:00</x:v>
      </x:c>
      <x:c r="E37" s="21" t="str">
        <x:v>Grupo F</x:v>
      </x:c>
      <x:c r="F37" s="21" t="str">
        <x:v>F</x:v>
      </x:c>
      <x:c r="G37" s="21" t="str">
        <x:v>Holanda</x:v>
      </x:c>
      <x:c r="H37" s="22"/>
      <x:c r="I37" s="22"/>
      <x:c r="J37" s="21" t="str">
        <x:v>Suécia</x:v>
      </x:c>
      <x:c r="K37" s="21" t="str">
        <x:v>Não</x:v>
      </x:c>
      <x:c r="L37" s="23"/>
      <x:c r="M37" s="21" t="str">
        <x:f>IF(OR(H37="",I37=""),"",IF(H37&gt;I37,G37,IF(H37&lt;I37,J37,IF(K37="Sim",IF(L37="","Definir quem passou",L37),"Empate"))))</x:f>
      </x:c>
      <x:c r="N37" s="21" t="str">
        <x:f>IF(OR(H37="",I37=""),"Aguardando placar",IF(AND(K37="Sim",H37=I37,L37=""),"Falta quem passou","Resultado lançado"))</x:f>
        <x:v>Aguardando placar</x:v>
      </x:c>
      <x:c r="O37" s="21" t="str">
        <x:v>Fase de grupos</x:v>
      </x:c>
    </x:row>
    <x:row r="38">
      <x:c r="A38" s="21" t="str">
        <x:v>GF4</x:v>
      </x:c>
      <x:c r="B38" s="21" t="n">
        <x:v>34</x:v>
      </x:c>
      <x:c r="C38" s="21" t="str">
        <x:v>2026-06-21</x:v>
      </x:c>
      <x:c r="D38" s="21" t="str">
        <x:v>01:00</x:v>
      </x:c>
      <x:c r="E38" s="21" t="str">
        <x:v>Grupo F</x:v>
      </x:c>
      <x:c r="F38" s="21" t="str">
        <x:v>F</x:v>
      </x:c>
      <x:c r="G38" s="21" t="str">
        <x:v>Japão</x:v>
      </x:c>
      <x:c r="H38" s="22"/>
      <x:c r="I38" s="22"/>
      <x:c r="J38" s="21" t="str">
        <x:v>Tunísia</x:v>
      </x:c>
      <x:c r="K38" s="21" t="str">
        <x:v>Não</x:v>
      </x:c>
      <x:c r="L38" s="23"/>
      <x:c r="M38" s="21" t="str">
        <x:f>IF(OR(H38="",I38=""),"",IF(H38&gt;I38,G38,IF(H38&lt;I38,J38,IF(K38="Sim",IF(L38="","Definir quem passou",L38),"Empate"))))</x:f>
      </x:c>
      <x:c r="N38" s="21" t="str">
        <x:f>IF(OR(H38="",I38=""),"Aguardando placar",IF(AND(K38="Sim",H38=I38,L38=""),"Falta quem passou","Resultado lançado"))</x:f>
        <x:v>Aguardando placar</x:v>
      </x:c>
      <x:c r="O38" s="21" t="str">
        <x:v>Fase de grupos</x:v>
      </x:c>
    </x:row>
    <x:row r="39">
      <x:c r="A39" s="21" t="str">
        <x:v>GF5</x:v>
      </x:c>
      <x:c r="B39" s="21" t="n">
        <x:v>35</x:v>
      </x:c>
      <x:c r="C39" s="21" t="str">
        <x:v>2026-06-25</x:v>
      </x:c>
      <x:c r="D39" s="21" t="str">
        <x:v>20:00</x:v>
      </x:c>
      <x:c r="E39" s="21" t="str">
        <x:v>Grupo F</x:v>
      </x:c>
      <x:c r="F39" s="21" t="str">
        <x:v>F</x:v>
      </x:c>
      <x:c r="G39" s="21" t="str">
        <x:v>Holanda</x:v>
      </x:c>
      <x:c r="H39" s="22"/>
      <x:c r="I39" s="22"/>
      <x:c r="J39" s="21" t="str">
        <x:v>Tunísia</x:v>
      </x:c>
      <x:c r="K39" s="21" t="str">
        <x:v>Não</x:v>
      </x:c>
      <x:c r="L39" s="23"/>
      <x:c r="M39" s="21" t="str">
        <x:f>IF(OR(H39="",I39=""),"",IF(H39&gt;I39,G39,IF(H39&lt;I39,J39,IF(K39="Sim",IF(L39="","Definir quem passou",L39),"Empate"))))</x:f>
      </x:c>
      <x:c r="N39" s="21" t="str">
        <x:f>IF(OR(H39="",I39=""),"Aguardando placar",IF(AND(K39="Sim",H39=I39,L39=""),"Falta quem passou","Resultado lançado"))</x:f>
        <x:v>Aguardando placar</x:v>
      </x:c>
      <x:c r="O39" s="21" t="str">
        <x:v>Fase de grupos</x:v>
      </x:c>
    </x:row>
    <x:row r="40">
      <x:c r="A40" s="21" t="str">
        <x:v>GF6</x:v>
      </x:c>
      <x:c r="B40" s="21" t="n">
        <x:v>36</x:v>
      </x:c>
      <x:c r="C40" s="21" t="str">
        <x:v>2026-06-25</x:v>
      </x:c>
      <x:c r="D40" s="21" t="str">
        <x:v>20:00</x:v>
      </x:c>
      <x:c r="E40" s="21" t="str">
        <x:v>Grupo F</x:v>
      </x:c>
      <x:c r="F40" s="21" t="str">
        <x:v>F</x:v>
      </x:c>
      <x:c r="G40" s="21" t="str">
        <x:v>Japão</x:v>
      </x:c>
      <x:c r="H40" s="22"/>
      <x:c r="I40" s="22"/>
      <x:c r="J40" s="21" t="str">
        <x:v>Suécia</x:v>
      </x:c>
      <x:c r="K40" s="21" t="str">
        <x:v>Não</x:v>
      </x:c>
      <x:c r="L40" s="23"/>
      <x:c r="M40" s="21" t="str">
        <x:f>IF(OR(H40="",I40=""),"",IF(H40&gt;I40,G40,IF(H40&lt;I40,J40,IF(K40="Sim",IF(L40="","Definir quem passou",L40),"Empate"))))</x:f>
      </x:c>
      <x:c r="N40" s="21" t="str">
        <x:f>IF(OR(H40="",I40=""),"Aguardando placar",IF(AND(K40="Sim",H40=I40,L40=""),"Falta quem passou","Resultado lançado"))</x:f>
        <x:v>Aguardando placar</x:v>
      </x:c>
      <x:c r="O40" s="21" t="str">
        <x:v>Fase de grupos</x:v>
      </x:c>
    </x:row>
    <x:row r="41">
      <x:c r="A41" s="21" t="str">
        <x:v>GG1</x:v>
      </x:c>
      <x:c r="B41" s="21" t="n">
        <x:v>37</x:v>
      </x:c>
      <x:c r="C41" s="21" t="str">
        <x:v>2026-06-15</x:v>
      </x:c>
      <x:c r="D41" s="21" t="str">
        <x:v>16:00</x:v>
      </x:c>
      <x:c r="E41" s="21" t="str">
        <x:v>Grupo G</x:v>
      </x:c>
      <x:c r="F41" s="21" t="str">
        <x:v>G</x:v>
      </x:c>
      <x:c r="G41" s="21" t="str">
        <x:v>Bélgica</x:v>
      </x:c>
      <x:c r="H41" s="22"/>
      <x:c r="I41" s="22"/>
      <x:c r="J41" s="21" t="str">
        <x:v>Egito</x:v>
      </x:c>
      <x:c r="K41" s="21" t="str">
        <x:v>Não</x:v>
      </x:c>
      <x:c r="L41" s="23"/>
      <x:c r="M41" s="21" t="str">
        <x:f>IF(OR(H41="",I41=""),"",IF(H41&gt;I41,G41,IF(H41&lt;I41,J41,IF(K41="Sim",IF(L41="","Definir quem passou",L41),"Empate"))))</x:f>
      </x:c>
      <x:c r="N41" s="21" t="str">
        <x:f>IF(OR(H41="",I41=""),"Aguardando placar",IF(AND(K41="Sim",H41=I41,L41=""),"Falta quem passou","Resultado lançado"))</x:f>
        <x:v>Aguardando placar</x:v>
      </x:c>
      <x:c r="O41" s="21" t="str">
        <x:v>Fase de grupos</x:v>
      </x:c>
    </x:row>
    <x:row r="42">
      <x:c r="A42" s="21" t="str">
        <x:v>GG2</x:v>
      </x:c>
      <x:c r="B42" s="21" t="n">
        <x:v>38</x:v>
      </x:c>
      <x:c r="C42" s="21" t="str">
        <x:v>2026-06-15</x:v>
      </x:c>
      <x:c r="D42" s="21" t="str">
        <x:v>22:00</x:v>
      </x:c>
      <x:c r="E42" s="21" t="str">
        <x:v>Grupo G</x:v>
      </x:c>
      <x:c r="F42" s="21" t="str">
        <x:v>G</x:v>
      </x:c>
      <x:c r="G42" s="21" t="str">
        <x:v>Irã</x:v>
      </x:c>
      <x:c r="H42" s="22"/>
      <x:c r="I42" s="22"/>
      <x:c r="J42" s="21" t="str">
        <x:v>Nova Zelândia</x:v>
      </x:c>
      <x:c r="K42" s="21" t="str">
        <x:v>Não</x:v>
      </x:c>
      <x:c r="L42" s="23"/>
      <x:c r="M42" s="21" t="str">
        <x:f>IF(OR(H42="",I42=""),"",IF(H42&gt;I42,G42,IF(H42&lt;I42,J42,IF(K42="Sim",IF(L42="","Definir quem passou",L42),"Empate"))))</x:f>
      </x:c>
      <x:c r="N42" s="21" t="str">
        <x:f>IF(OR(H42="",I42=""),"Aguardando placar",IF(AND(K42="Sim",H42=I42,L42=""),"Falta quem passou","Resultado lançado"))</x:f>
        <x:v>Aguardando placar</x:v>
      </x:c>
      <x:c r="O42" s="21" t="str">
        <x:v>Fase de grupos</x:v>
      </x:c>
    </x:row>
    <x:row r="43">
      <x:c r="A43" s="21" t="str">
        <x:v>GG3</x:v>
      </x:c>
      <x:c r="B43" s="21" t="n">
        <x:v>39</x:v>
      </x:c>
      <x:c r="C43" s="21" t="str">
        <x:v>2026-06-21</x:v>
      </x:c>
      <x:c r="D43" s="21" t="str">
        <x:v>16:00</x:v>
      </x:c>
      <x:c r="E43" s="21" t="str">
        <x:v>Grupo G</x:v>
      </x:c>
      <x:c r="F43" s="21" t="str">
        <x:v>G</x:v>
      </x:c>
      <x:c r="G43" s="21" t="str">
        <x:v>Bélgica</x:v>
      </x:c>
      <x:c r="H43" s="22"/>
      <x:c r="I43" s="22"/>
      <x:c r="J43" s="21" t="str">
        <x:v>Irã</x:v>
      </x:c>
      <x:c r="K43" s="21" t="str">
        <x:v>Não</x:v>
      </x:c>
      <x:c r="L43" s="23"/>
      <x:c r="M43" s="21" t="str">
        <x:f>IF(OR(H43="",I43=""),"",IF(H43&gt;I43,G43,IF(H43&lt;I43,J43,IF(K43="Sim",IF(L43="","Definir quem passou",L43),"Empate"))))</x:f>
      </x:c>
      <x:c r="N43" s="21" t="str">
        <x:f>IF(OR(H43="",I43=""),"Aguardando placar",IF(AND(K43="Sim",H43=I43,L43=""),"Falta quem passou","Resultado lançado"))</x:f>
        <x:v>Aguardando placar</x:v>
      </x:c>
      <x:c r="O43" s="21" t="str">
        <x:v>Fase de grupos</x:v>
      </x:c>
    </x:row>
    <x:row r="44">
      <x:c r="A44" s="21" t="str">
        <x:v>GG4</x:v>
      </x:c>
      <x:c r="B44" s="21" t="n">
        <x:v>40</x:v>
      </x:c>
      <x:c r="C44" s="21" t="str">
        <x:v>2026-06-21</x:v>
      </x:c>
      <x:c r="D44" s="21" t="str">
        <x:v>22:00</x:v>
      </x:c>
      <x:c r="E44" s="21" t="str">
        <x:v>Grupo G</x:v>
      </x:c>
      <x:c r="F44" s="21" t="str">
        <x:v>G</x:v>
      </x:c>
      <x:c r="G44" s="21" t="str">
        <x:v>Egito</x:v>
      </x:c>
      <x:c r="H44" s="22"/>
      <x:c r="I44" s="22"/>
      <x:c r="J44" s="21" t="str">
        <x:v>Nova Zelândia</x:v>
      </x:c>
      <x:c r="K44" s="21" t="str">
        <x:v>Não</x:v>
      </x:c>
      <x:c r="L44" s="23"/>
      <x:c r="M44" s="21" t="str">
        <x:f>IF(OR(H44="",I44=""),"",IF(H44&gt;I44,G44,IF(H44&lt;I44,J44,IF(K44="Sim",IF(L44="","Definir quem passou",L44),"Empate"))))</x:f>
      </x:c>
      <x:c r="N44" s="21" t="str">
        <x:f>IF(OR(H44="",I44=""),"Aguardando placar",IF(AND(K44="Sim",H44=I44,L44=""),"Falta quem passou","Resultado lançado"))</x:f>
        <x:v>Aguardando placar</x:v>
      </x:c>
      <x:c r="O44" s="21" t="str">
        <x:v>Fase de grupos</x:v>
      </x:c>
    </x:row>
    <x:row r="45">
      <x:c r="A45" s="21" t="str">
        <x:v>GG5</x:v>
      </x:c>
      <x:c r="B45" s="21" t="n">
        <x:v>41</x:v>
      </x:c>
      <x:c r="C45" s="21" t="str">
        <x:v>2026-06-27</x:v>
      </x:c>
      <x:c r="D45" s="21" t="str">
        <x:v>00:00</x:v>
      </x:c>
      <x:c r="E45" s="21" t="str">
        <x:v>Grupo G</x:v>
      </x:c>
      <x:c r="F45" s="21" t="str">
        <x:v>G</x:v>
      </x:c>
      <x:c r="G45" s="21" t="str">
        <x:v>Bélgica</x:v>
      </x:c>
      <x:c r="H45" s="22"/>
      <x:c r="I45" s="22"/>
      <x:c r="J45" s="21" t="str">
        <x:v>Nova Zelândia</x:v>
      </x:c>
      <x:c r="K45" s="21" t="str">
        <x:v>Não</x:v>
      </x:c>
      <x:c r="L45" s="23"/>
      <x:c r="M45" s="21" t="str">
        <x:f>IF(OR(H45="",I45=""),"",IF(H45&gt;I45,G45,IF(H45&lt;I45,J45,IF(K45="Sim",IF(L45="","Definir quem passou",L45),"Empate"))))</x:f>
      </x:c>
      <x:c r="N45" s="21" t="str">
        <x:f>IF(OR(H45="",I45=""),"Aguardando placar",IF(AND(K45="Sim",H45=I45,L45=""),"Falta quem passou","Resultado lançado"))</x:f>
        <x:v>Aguardando placar</x:v>
      </x:c>
      <x:c r="O45" s="21" t="str">
        <x:v>Fase de grupos</x:v>
      </x:c>
    </x:row>
    <x:row r="46">
      <x:c r="A46" s="21" t="str">
        <x:v>GG6</x:v>
      </x:c>
      <x:c r="B46" s="21" t="n">
        <x:v>42</x:v>
      </x:c>
      <x:c r="C46" s="21" t="str">
        <x:v>2026-06-27</x:v>
      </x:c>
      <x:c r="D46" s="21" t="str">
        <x:v>00:00</x:v>
      </x:c>
      <x:c r="E46" s="21" t="str">
        <x:v>Grupo G</x:v>
      </x:c>
      <x:c r="F46" s="21" t="str">
        <x:v>G</x:v>
      </x:c>
      <x:c r="G46" s="21" t="str">
        <x:v>Egito</x:v>
      </x:c>
      <x:c r="H46" s="22"/>
      <x:c r="I46" s="22"/>
      <x:c r="J46" s="21" t="str">
        <x:v>Irã</x:v>
      </x:c>
      <x:c r="K46" s="21" t="str">
        <x:v>Não</x:v>
      </x:c>
      <x:c r="L46" s="23"/>
      <x:c r="M46" s="21" t="str">
        <x:f>IF(OR(H46="",I46=""),"",IF(H46&gt;I46,G46,IF(H46&lt;I46,J46,IF(K46="Sim",IF(L46="","Definir quem passou",L46),"Empate"))))</x:f>
      </x:c>
      <x:c r="N46" s="21" t="str">
        <x:f>IF(OR(H46="",I46=""),"Aguardando placar",IF(AND(K46="Sim",H46=I46,L46=""),"Falta quem passou","Resultado lançado"))</x:f>
        <x:v>Aguardando placar</x:v>
      </x:c>
      <x:c r="O46" s="21" t="str">
        <x:v>Fase de grupos</x:v>
      </x:c>
    </x:row>
    <x:row r="47">
      <x:c r="A47" s="21" t="str">
        <x:v>GH1</x:v>
      </x:c>
      <x:c r="B47" s="21" t="n">
        <x:v>43</x:v>
      </x:c>
      <x:c r="C47" s="21" t="str">
        <x:v>2026-06-15</x:v>
      </x:c>
      <x:c r="D47" s="21" t="str">
        <x:v>13:00</x:v>
      </x:c>
      <x:c r="E47" s="21" t="str">
        <x:v>Grupo H</x:v>
      </x:c>
      <x:c r="F47" s="21" t="str">
        <x:v>H</x:v>
      </x:c>
      <x:c r="G47" s="21" t="str">
        <x:v>Espanha</x:v>
      </x:c>
      <x:c r="H47" s="22"/>
      <x:c r="I47" s="22"/>
      <x:c r="J47" s="21" t="str">
        <x:v>Cabo Verde</x:v>
      </x:c>
      <x:c r="K47" s="21" t="str">
        <x:v>Não</x:v>
      </x:c>
      <x:c r="L47" s="23"/>
      <x:c r="M47" s="21" t="str">
        <x:f>IF(OR(H47="",I47=""),"",IF(H47&gt;I47,G47,IF(H47&lt;I47,J47,IF(K47="Sim",IF(L47="","Definir quem passou",L47),"Empate"))))</x:f>
      </x:c>
      <x:c r="N47" s="21" t="str">
        <x:f>IF(OR(H47="",I47=""),"Aguardando placar",IF(AND(K47="Sim",H47=I47,L47=""),"Falta quem passou","Resultado lançado"))</x:f>
        <x:v>Aguardando placar</x:v>
      </x:c>
      <x:c r="O47" s="21" t="str">
        <x:v>Fase de grupos</x:v>
      </x:c>
    </x:row>
    <x:row r="48">
      <x:c r="A48" s="21" t="str">
        <x:v>GH2</x:v>
      </x:c>
      <x:c r="B48" s="21" t="n">
        <x:v>44</x:v>
      </x:c>
      <x:c r="C48" s="21" t="str">
        <x:v>2026-06-15</x:v>
      </x:c>
      <x:c r="D48" s="21" t="str">
        <x:v>19:00</x:v>
      </x:c>
      <x:c r="E48" s="21" t="str">
        <x:v>Grupo H</x:v>
      </x:c>
      <x:c r="F48" s="21" t="str">
        <x:v>H</x:v>
      </x:c>
      <x:c r="G48" s="21" t="str">
        <x:v>Arábia Saudita</x:v>
      </x:c>
      <x:c r="H48" s="22"/>
      <x:c r="I48" s="22"/>
      <x:c r="J48" s="21" t="str">
        <x:v>Uruguai</x:v>
      </x:c>
      <x:c r="K48" s="21" t="str">
        <x:v>Não</x:v>
      </x:c>
      <x:c r="L48" s="23"/>
      <x:c r="M48" s="21" t="str">
        <x:f>IF(OR(H48="",I48=""),"",IF(H48&gt;I48,G48,IF(H48&lt;I48,J48,IF(K48="Sim",IF(L48="","Definir quem passou",L48),"Empate"))))</x:f>
      </x:c>
      <x:c r="N48" s="21" t="str">
        <x:f>IF(OR(H48="",I48=""),"Aguardando placar",IF(AND(K48="Sim",H48=I48,L48=""),"Falta quem passou","Resultado lançado"))</x:f>
        <x:v>Aguardando placar</x:v>
      </x:c>
      <x:c r="O48" s="21" t="str">
        <x:v>Fase de grupos</x:v>
      </x:c>
    </x:row>
    <x:row r="49">
      <x:c r="A49" s="21" t="str">
        <x:v>GH3</x:v>
      </x:c>
      <x:c r="B49" s="21" t="n">
        <x:v>45</x:v>
      </x:c>
      <x:c r="C49" s="21" t="str">
        <x:v>2026-06-21</x:v>
      </x:c>
      <x:c r="D49" s="21" t="str">
        <x:v>13:00</x:v>
      </x:c>
      <x:c r="E49" s="21" t="str">
        <x:v>Grupo H</x:v>
      </x:c>
      <x:c r="F49" s="21" t="str">
        <x:v>H</x:v>
      </x:c>
      <x:c r="G49" s="21" t="str">
        <x:v>Espanha</x:v>
      </x:c>
      <x:c r="H49" s="22"/>
      <x:c r="I49" s="22"/>
      <x:c r="J49" s="21" t="str">
        <x:v>Arábia Saudita</x:v>
      </x:c>
      <x:c r="K49" s="21" t="str">
        <x:v>Não</x:v>
      </x:c>
      <x:c r="L49" s="23"/>
      <x:c r="M49" s="21" t="str">
        <x:f>IF(OR(H49="",I49=""),"",IF(H49&gt;I49,G49,IF(H49&lt;I49,J49,IF(K49="Sim",IF(L49="","Definir quem passou",L49),"Empate"))))</x:f>
      </x:c>
      <x:c r="N49" s="21" t="str">
        <x:f>IF(OR(H49="",I49=""),"Aguardando placar",IF(AND(K49="Sim",H49=I49,L49=""),"Falta quem passou","Resultado lançado"))</x:f>
        <x:v>Aguardando placar</x:v>
      </x:c>
      <x:c r="O49" s="21" t="str">
        <x:v>Fase de grupos</x:v>
      </x:c>
    </x:row>
    <x:row r="50">
      <x:c r="A50" s="21" t="str">
        <x:v>GH4</x:v>
      </x:c>
      <x:c r="B50" s="21" t="n">
        <x:v>46</x:v>
      </x:c>
      <x:c r="C50" s="21" t="str">
        <x:v>2026-06-21</x:v>
      </x:c>
      <x:c r="D50" s="21" t="str">
        <x:v>19:00</x:v>
      </x:c>
      <x:c r="E50" s="21" t="str">
        <x:v>Grupo H</x:v>
      </x:c>
      <x:c r="F50" s="21" t="str">
        <x:v>H</x:v>
      </x:c>
      <x:c r="G50" s="21" t="str">
        <x:v>Cabo Verde</x:v>
      </x:c>
      <x:c r="H50" s="22"/>
      <x:c r="I50" s="22"/>
      <x:c r="J50" s="21" t="str">
        <x:v>Uruguai</x:v>
      </x:c>
      <x:c r="K50" s="21" t="str">
        <x:v>Não</x:v>
      </x:c>
      <x:c r="L50" s="23"/>
      <x:c r="M50" s="21" t="str">
        <x:f>IF(OR(H50="",I50=""),"",IF(H50&gt;I50,G50,IF(H50&lt;I50,J50,IF(K50="Sim",IF(L50="","Definir quem passou",L50),"Empate"))))</x:f>
      </x:c>
      <x:c r="N50" s="21" t="str">
        <x:f>IF(OR(H50="",I50=""),"Aguardando placar",IF(AND(K50="Sim",H50=I50,L50=""),"Falta quem passou","Resultado lançado"))</x:f>
        <x:v>Aguardando placar</x:v>
      </x:c>
      <x:c r="O50" s="21" t="str">
        <x:v>Fase de grupos</x:v>
      </x:c>
    </x:row>
    <x:row r="51">
      <x:c r="A51" s="21" t="str">
        <x:v>GH5</x:v>
      </x:c>
      <x:c r="B51" s="21" t="n">
        <x:v>47</x:v>
      </x:c>
      <x:c r="C51" s="21" t="str">
        <x:v>2026-06-26</x:v>
      </x:c>
      <x:c r="D51" s="21" t="str">
        <x:v>21:00</x:v>
      </x:c>
      <x:c r="E51" s="21" t="str">
        <x:v>Grupo H</x:v>
      </x:c>
      <x:c r="F51" s="21" t="str">
        <x:v>H</x:v>
      </x:c>
      <x:c r="G51" s="21" t="str">
        <x:v>Espanha</x:v>
      </x:c>
      <x:c r="H51" s="22"/>
      <x:c r="I51" s="22"/>
      <x:c r="J51" s="21" t="str">
        <x:v>Uruguai</x:v>
      </x:c>
      <x:c r="K51" s="21" t="str">
        <x:v>Não</x:v>
      </x:c>
      <x:c r="L51" s="23"/>
      <x:c r="M51" s="21" t="str">
        <x:f>IF(OR(H51="",I51=""),"",IF(H51&gt;I51,G51,IF(H51&lt;I51,J51,IF(K51="Sim",IF(L51="","Definir quem passou",L51),"Empate"))))</x:f>
      </x:c>
      <x:c r="N51" s="21" t="str">
        <x:f>IF(OR(H51="",I51=""),"Aguardando placar",IF(AND(K51="Sim",H51=I51,L51=""),"Falta quem passou","Resultado lançado"))</x:f>
        <x:v>Aguardando placar</x:v>
      </x:c>
      <x:c r="O51" s="21" t="str">
        <x:v>Fase de grupos</x:v>
      </x:c>
    </x:row>
    <x:row r="52">
      <x:c r="A52" s="21" t="str">
        <x:v>GH6</x:v>
      </x:c>
      <x:c r="B52" s="21" t="n">
        <x:v>48</x:v>
      </x:c>
      <x:c r="C52" s="21" t="str">
        <x:v>2026-06-26</x:v>
      </x:c>
      <x:c r="D52" s="21" t="str">
        <x:v>21:00</x:v>
      </x:c>
      <x:c r="E52" s="21" t="str">
        <x:v>Grupo H</x:v>
      </x:c>
      <x:c r="F52" s="21" t="str">
        <x:v>H</x:v>
      </x:c>
      <x:c r="G52" s="21" t="str">
        <x:v>Cabo Verde</x:v>
      </x:c>
      <x:c r="H52" s="22"/>
      <x:c r="I52" s="22"/>
      <x:c r="J52" s="21" t="str">
        <x:v>Arábia Saudita</x:v>
      </x:c>
      <x:c r="K52" s="21" t="str">
        <x:v>Não</x:v>
      </x:c>
      <x:c r="L52" s="23"/>
      <x:c r="M52" s="21" t="str">
        <x:f>IF(OR(H52="",I52=""),"",IF(H52&gt;I52,G52,IF(H52&lt;I52,J52,IF(K52="Sim",IF(L52="","Definir quem passou",L52),"Empate"))))</x:f>
      </x:c>
      <x:c r="N52" s="21" t="str">
        <x:f>IF(OR(H52="",I52=""),"Aguardando placar",IF(AND(K52="Sim",H52=I52,L52=""),"Falta quem passou","Resultado lançado"))</x:f>
        <x:v>Aguardando placar</x:v>
      </x:c>
      <x:c r="O52" s="21" t="str">
        <x:v>Fase de grupos</x:v>
      </x:c>
    </x:row>
    <x:row r="53">
      <x:c r="A53" s="21" t="str">
        <x:v>GI1</x:v>
      </x:c>
      <x:c r="B53" s="21" t="n">
        <x:v>49</x:v>
      </x:c>
      <x:c r="C53" s="21" t="str">
        <x:v>2026-06-16</x:v>
      </x:c>
      <x:c r="D53" s="21" t="str">
        <x:v>16:00</x:v>
      </x:c>
      <x:c r="E53" s="21" t="str">
        <x:v>Grupo I</x:v>
      </x:c>
      <x:c r="F53" s="21" t="str">
        <x:v>I</x:v>
      </x:c>
      <x:c r="G53" s="21" t="str">
        <x:v>França</x:v>
      </x:c>
      <x:c r="H53" s="22"/>
      <x:c r="I53" s="22"/>
      <x:c r="J53" s="21" t="str">
        <x:v>Senegal</x:v>
      </x:c>
      <x:c r="K53" s="21" t="str">
        <x:v>Não</x:v>
      </x:c>
      <x:c r="L53" s="23"/>
      <x:c r="M53" s="21" t="str">
        <x:f>IF(OR(H53="",I53=""),"",IF(H53&gt;I53,G53,IF(H53&lt;I53,J53,IF(K53="Sim",IF(L53="","Definir quem passou",L53),"Empate"))))</x:f>
      </x:c>
      <x:c r="N53" s="21" t="str">
        <x:f>IF(OR(H53="",I53=""),"Aguardando placar",IF(AND(K53="Sim",H53=I53,L53=""),"Falta quem passou","Resultado lançado"))</x:f>
        <x:v>Aguardando placar</x:v>
      </x:c>
      <x:c r="O53" s="21" t="str">
        <x:v>Fase de grupos</x:v>
      </x:c>
    </x:row>
    <x:row r="54">
      <x:c r="A54" s="21" t="str">
        <x:v>GI2</x:v>
      </x:c>
      <x:c r="B54" s="21" t="n">
        <x:v>50</x:v>
      </x:c>
      <x:c r="C54" s="21" t="str">
        <x:v>2026-06-16</x:v>
      </x:c>
      <x:c r="D54" s="21" t="str">
        <x:v>19:00</x:v>
      </x:c>
      <x:c r="E54" s="21" t="str">
        <x:v>Grupo I</x:v>
      </x:c>
      <x:c r="F54" s="21" t="str">
        <x:v>I</x:v>
      </x:c>
      <x:c r="G54" s="21" t="str">
        <x:v>Iraque</x:v>
      </x:c>
      <x:c r="H54" s="22"/>
      <x:c r="I54" s="22"/>
      <x:c r="J54" s="21" t="str">
        <x:v>Noruega</x:v>
      </x:c>
      <x:c r="K54" s="21" t="str">
        <x:v>Não</x:v>
      </x:c>
      <x:c r="L54" s="23"/>
      <x:c r="M54" s="21" t="str">
        <x:f>IF(OR(H54="",I54=""),"",IF(H54&gt;I54,G54,IF(H54&lt;I54,J54,IF(K54="Sim",IF(L54="","Definir quem passou",L54),"Empate"))))</x:f>
      </x:c>
      <x:c r="N54" s="21" t="str">
        <x:f>IF(OR(H54="",I54=""),"Aguardando placar",IF(AND(K54="Sim",H54=I54,L54=""),"Falta quem passou","Resultado lançado"))</x:f>
        <x:v>Aguardando placar</x:v>
      </x:c>
      <x:c r="O54" s="21" t="str">
        <x:v>Fase de grupos</x:v>
      </x:c>
    </x:row>
    <x:row r="55">
      <x:c r="A55" s="21" t="str">
        <x:v>GI3</x:v>
      </x:c>
      <x:c r="B55" s="21" t="n">
        <x:v>51</x:v>
      </x:c>
      <x:c r="C55" s="21" t="str">
        <x:v>2026-06-22</x:v>
      </x:c>
      <x:c r="D55" s="21" t="str">
        <x:v>18:00</x:v>
      </x:c>
      <x:c r="E55" s="21" t="str">
        <x:v>Grupo I</x:v>
      </x:c>
      <x:c r="F55" s="21" t="str">
        <x:v>I</x:v>
      </x:c>
      <x:c r="G55" s="21" t="str">
        <x:v>França</x:v>
      </x:c>
      <x:c r="H55" s="22"/>
      <x:c r="I55" s="22"/>
      <x:c r="J55" s="21" t="str">
        <x:v>Iraque</x:v>
      </x:c>
      <x:c r="K55" s="21" t="str">
        <x:v>Não</x:v>
      </x:c>
      <x:c r="L55" s="23"/>
      <x:c r="M55" s="21" t="str">
        <x:f>IF(OR(H55="",I55=""),"",IF(H55&gt;I55,G55,IF(H55&lt;I55,J55,IF(K55="Sim",IF(L55="","Definir quem passou",L55),"Empate"))))</x:f>
      </x:c>
      <x:c r="N55" s="21" t="str">
        <x:f>IF(OR(H55="",I55=""),"Aguardando placar",IF(AND(K55="Sim",H55=I55,L55=""),"Falta quem passou","Resultado lançado"))</x:f>
        <x:v>Aguardando placar</x:v>
      </x:c>
      <x:c r="O55" s="21" t="str">
        <x:v>Fase de grupos</x:v>
      </x:c>
    </x:row>
    <x:row r="56">
      <x:c r="A56" s="21" t="str">
        <x:v>GI4</x:v>
      </x:c>
      <x:c r="B56" s="21" t="n">
        <x:v>52</x:v>
      </x:c>
      <x:c r="C56" s="21" t="str">
        <x:v>2026-06-22</x:v>
      </x:c>
      <x:c r="D56" s="21" t="str">
        <x:v>21:00</x:v>
      </x:c>
      <x:c r="E56" s="21" t="str">
        <x:v>Grupo I</x:v>
      </x:c>
      <x:c r="F56" s="21" t="str">
        <x:v>I</x:v>
      </x:c>
      <x:c r="G56" s="21" t="str">
        <x:v>Senegal</x:v>
      </x:c>
      <x:c r="H56" s="22"/>
      <x:c r="I56" s="22"/>
      <x:c r="J56" s="21" t="str">
        <x:v>Noruega</x:v>
      </x:c>
      <x:c r="K56" s="21" t="str">
        <x:v>Não</x:v>
      </x:c>
      <x:c r="L56" s="23"/>
      <x:c r="M56" s="21" t="str">
        <x:f>IF(OR(H56="",I56=""),"",IF(H56&gt;I56,G56,IF(H56&lt;I56,J56,IF(K56="Sim",IF(L56="","Definir quem passou",L56),"Empate"))))</x:f>
      </x:c>
      <x:c r="N56" s="21" t="str">
        <x:f>IF(OR(H56="",I56=""),"Aguardando placar",IF(AND(K56="Sim",H56=I56,L56=""),"Falta quem passou","Resultado lançado"))</x:f>
        <x:v>Aguardando placar</x:v>
      </x:c>
      <x:c r="O56" s="21" t="str">
        <x:v>Fase de grupos</x:v>
      </x:c>
    </x:row>
    <x:row r="57">
      <x:c r="A57" s="21" t="str">
        <x:v>GI5</x:v>
      </x:c>
      <x:c r="B57" s="21" t="n">
        <x:v>53</x:v>
      </x:c>
      <x:c r="C57" s="21" t="str">
        <x:v>2026-06-26</x:v>
      </x:c>
      <x:c r="D57" s="21" t="str">
        <x:v>16:00</x:v>
      </x:c>
      <x:c r="E57" s="21" t="str">
        <x:v>Grupo I</x:v>
      </x:c>
      <x:c r="F57" s="21" t="str">
        <x:v>I</x:v>
      </x:c>
      <x:c r="G57" s="21" t="str">
        <x:v>França</x:v>
      </x:c>
      <x:c r="H57" s="22"/>
      <x:c r="I57" s="22"/>
      <x:c r="J57" s="21" t="str">
        <x:v>Noruega</x:v>
      </x:c>
      <x:c r="K57" s="21" t="str">
        <x:v>Não</x:v>
      </x:c>
      <x:c r="L57" s="23"/>
      <x:c r="M57" s="21" t="str">
        <x:f>IF(OR(H57="",I57=""),"",IF(H57&gt;I57,G57,IF(H57&lt;I57,J57,IF(K57="Sim",IF(L57="","Definir quem passou",L57),"Empate"))))</x:f>
      </x:c>
      <x:c r="N57" s="21" t="str">
        <x:f>IF(OR(H57="",I57=""),"Aguardando placar",IF(AND(K57="Sim",H57=I57,L57=""),"Falta quem passou","Resultado lançado"))</x:f>
        <x:v>Aguardando placar</x:v>
      </x:c>
      <x:c r="O57" s="21" t="str">
        <x:v>Fase de grupos</x:v>
      </x:c>
    </x:row>
    <x:row r="58">
      <x:c r="A58" s="21" t="str">
        <x:v>GI6</x:v>
      </x:c>
      <x:c r="B58" s="21" t="n">
        <x:v>54</x:v>
      </x:c>
      <x:c r="C58" s="21" t="str">
        <x:v>2026-06-26</x:v>
      </x:c>
      <x:c r="D58" s="21" t="str">
        <x:v>16:00</x:v>
      </x:c>
      <x:c r="E58" s="21" t="str">
        <x:v>Grupo I</x:v>
      </x:c>
      <x:c r="F58" s="21" t="str">
        <x:v>I</x:v>
      </x:c>
      <x:c r="G58" s="21" t="str">
        <x:v>Senegal</x:v>
      </x:c>
      <x:c r="H58" s="22"/>
      <x:c r="I58" s="22"/>
      <x:c r="J58" s="21" t="str">
        <x:v>Iraque</x:v>
      </x:c>
      <x:c r="K58" s="21" t="str">
        <x:v>Não</x:v>
      </x:c>
      <x:c r="L58" s="23"/>
      <x:c r="M58" s="21" t="str">
        <x:f>IF(OR(H58="",I58=""),"",IF(H58&gt;I58,G58,IF(H58&lt;I58,J58,IF(K58="Sim",IF(L58="","Definir quem passou",L58),"Empate"))))</x:f>
      </x:c>
      <x:c r="N58" s="21" t="str">
        <x:f>IF(OR(H58="",I58=""),"Aguardando placar",IF(AND(K58="Sim",H58=I58,L58=""),"Falta quem passou","Resultado lançado"))</x:f>
        <x:v>Aguardando placar</x:v>
      </x:c>
      <x:c r="O58" s="21" t="str">
        <x:v>Fase de grupos</x:v>
      </x:c>
    </x:row>
    <x:row r="59">
      <x:c r="A59" s="21" t="str">
        <x:v>GJ1</x:v>
      </x:c>
      <x:c r="B59" s="21" t="n">
        <x:v>55</x:v>
      </x:c>
      <x:c r="C59" s="21" t="str">
        <x:v>2026-06-16</x:v>
      </x:c>
      <x:c r="D59" s="21" t="str">
        <x:v>22:00</x:v>
      </x:c>
      <x:c r="E59" s="21" t="str">
        <x:v>Grupo J</x:v>
      </x:c>
      <x:c r="F59" s="21" t="str">
        <x:v>J</x:v>
      </x:c>
      <x:c r="G59" s="21" t="str">
        <x:v>Argentina</x:v>
      </x:c>
      <x:c r="H59" s="22"/>
      <x:c r="I59" s="22"/>
      <x:c r="J59" s="21" t="str">
        <x:v>Argélia</x:v>
      </x:c>
      <x:c r="K59" s="21" t="str">
        <x:v>Não</x:v>
      </x:c>
      <x:c r="L59" s="23"/>
      <x:c r="M59" s="21" t="str">
        <x:f>IF(OR(H59="",I59=""),"",IF(H59&gt;I59,G59,IF(H59&lt;I59,J59,IF(K59="Sim",IF(L59="","Definir quem passou",L59),"Empate"))))</x:f>
      </x:c>
      <x:c r="N59" s="21" t="str">
        <x:f>IF(OR(H59="",I59=""),"Aguardando placar",IF(AND(K59="Sim",H59=I59,L59=""),"Falta quem passou","Resultado lançado"))</x:f>
        <x:v>Aguardando placar</x:v>
      </x:c>
      <x:c r="O59" s="21" t="str">
        <x:v>Fase de grupos</x:v>
      </x:c>
    </x:row>
    <x:row r="60">
      <x:c r="A60" s="21" t="str">
        <x:v>GJ2</x:v>
      </x:c>
      <x:c r="B60" s="21" t="n">
        <x:v>56</x:v>
      </x:c>
      <x:c r="C60" s="21" t="str">
        <x:v>2026-06-17</x:v>
      </x:c>
      <x:c r="D60" s="21" t="str">
        <x:v>01:00</x:v>
      </x:c>
      <x:c r="E60" s="21" t="str">
        <x:v>Grupo J</x:v>
      </x:c>
      <x:c r="F60" s="21" t="str">
        <x:v>J</x:v>
      </x:c>
      <x:c r="G60" s="21" t="str">
        <x:v>Áustria</x:v>
      </x:c>
      <x:c r="H60" s="22"/>
      <x:c r="I60" s="22"/>
      <x:c r="J60" s="21" t="str">
        <x:v>Jordânia</x:v>
      </x:c>
      <x:c r="K60" s="21" t="str">
        <x:v>Não</x:v>
      </x:c>
      <x:c r="L60" s="23"/>
      <x:c r="M60" s="21" t="str">
        <x:f>IF(OR(H60="",I60=""),"",IF(H60&gt;I60,G60,IF(H60&lt;I60,J60,IF(K60="Sim",IF(L60="","Definir quem passou",L60),"Empate"))))</x:f>
      </x:c>
      <x:c r="N60" s="21" t="str">
        <x:f>IF(OR(H60="",I60=""),"Aguardando placar",IF(AND(K60="Sim",H60=I60,L60=""),"Falta quem passou","Resultado lançado"))</x:f>
        <x:v>Aguardando placar</x:v>
      </x:c>
      <x:c r="O60" s="21" t="str">
        <x:v>Fase de grupos</x:v>
      </x:c>
    </x:row>
    <x:row r="61">
      <x:c r="A61" s="21" t="str">
        <x:v>GJ3</x:v>
      </x:c>
      <x:c r="B61" s="21" t="n">
        <x:v>57</x:v>
      </x:c>
      <x:c r="C61" s="21" t="str">
        <x:v>2026-06-22</x:v>
      </x:c>
      <x:c r="D61" s="21" t="str">
        <x:v>14:00</x:v>
      </x:c>
      <x:c r="E61" s="21" t="str">
        <x:v>Grupo J</x:v>
      </x:c>
      <x:c r="F61" s="21" t="str">
        <x:v>J</x:v>
      </x:c>
      <x:c r="G61" s="21" t="str">
        <x:v>Argentina</x:v>
      </x:c>
      <x:c r="H61" s="22"/>
      <x:c r="I61" s="22"/>
      <x:c r="J61" s="21" t="str">
        <x:v>Áustria</x:v>
      </x:c>
      <x:c r="K61" s="21" t="str">
        <x:v>Não</x:v>
      </x:c>
      <x:c r="L61" s="23"/>
      <x:c r="M61" s="21" t="str">
        <x:f>IF(OR(H61="",I61=""),"",IF(H61&gt;I61,G61,IF(H61&lt;I61,J61,IF(K61="Sim",IF(L61="","Definir quem passou",L61),"Empate"))))</x:f>
      </x:c>
      <x:c r="N61" s="21" t="str">
        <x:f>IF(OR(H61="",I61=""),"Aguardando placar",IF(AND(K61="Sim",H61=I61,L61=""),"Falta quem passou","Resultado lançado"))</x:f>
        <x:v>Aguardando placar</x:v>
      </x:c>
      <x:c r="O61" s="21" t="str">
        <x:v>Fase de grupos</x:v>
      </x:c>
    </x:row>
    <x:row r="62">
      <x:c r="A62" s="21" t="str">
        <x:v>GJ4</x:v>
      </x:c>
      <x:c r="B62" s="21" t="n">
        <x:v>58</x:v>
      </x:c>
      <x:c r="C62" s="21" t="str">
        <x:v>2026-06-23</x:v>
      </x:c>
      <x:c r="D62" s="21" t="str">
        <x:v>00:00</x:v>
      </x:c>
      <x:c r="E62" s="21" t="str">
        <x:v>Grupo J</x:v>
      </x:c>
      <x:c r="F62" s="21" t="str">
        <x:v>J</x:v>
      </x:c>
      <x:c r="G62" s="21" t="str">
        <x:v>Argélia</x:v>
      </x:c>
      <x:c r="H62" s="22"/>
      <x:c r="I62" s="22"/>
      <x:c r="J62" s="21" t="str">
        <x:v>Jordânia</x:v>
      </x:c>
      <x:c r="K62" s="21" t="str">
        <x:v>Não</x:v>
      </x:c>
      <x:c r="L62" s="23"/>
      <x:c r="M62" s="21" t="str">
        <x:f>IF(OR(H62="",I62=""),"",IF(H62&gt;I62,G62,IF(H62&lt;I62,J62,IF(K62="Sim",IF(L62="","Definir quem passou",L62),"Empate"))))</x:f>
      </x:c>
      <x:c r="N62" s="21" t="str">
        <x:f>IF(OR(H62="",I62=""),"Aguardando placar",IF(AND(K62="Sim",H62=I62,L62=""),"Falta quem passou","Resultado lançado"))</x:f>
        <x:v>Aguardando placar</x:v>
      </x:c>
      <x:c r="O62" s="21" t="str">
        <x:v>Fase de grupos</x:v>
      </x:c>
    </x:row>
    <x:row r="63">
      <x:c r="A63" s="21" t="str">
        <x:v>GJ5</x:v>
      </x:c>
      <x:c r="B63" s="21" t="n">
        <x:v>59</x:v>
      </x:c>
      <x:c r="C63" s="21" t="str">
        <x:v>2026-06-27</x:v>
      </x:c>
      <x:c r="D63" s="21" t="str">
        <x:v>23:00</x:v>
      </x:c>
      <x:c r="E63" s="21" t="str">
        <x:v>Grupo J</x:v>
      </x:c>
      <x:c r="F63" s="21" t="str">
        <x:v>J</x:v>
      </x:c>
      <x:c r="G63" s="21" t="str">
        <x:v>Argentina</x:v>
      </x:c>
      <x:c r="H63" s="22"/>
      <x:c r="I63" s="22"/>
      <x:c r="J63" s="21" t="str">
        <x:v>Jordânia</x:v>
      </x:c>
      <x:c r="K63" s="21" t="str">
        <x:v>Não</x:v>
      </x:c>
      <x:c r="L63" s="23"/>
      <x:c r="M63" s="21" t="str">
        <x:f>IF(OR(H63="",I63=""),"",IF(H63&gt;I63,G63,IF(H63&lt;I63,J63,IF(K63="Sim",IF(L63="","Definir quem passou",L63),"Empate"))))</x:f>
      </x:c>
      <x:c r="N63" s="21" t="str">
        <x:f>IF(OR(H63="",I63=""),"Aguardando placar",IF(AND(K63="Sim",H63=I63,L63=""),"Falta quem passou","Resultado lançado"))</x:f>
        <x:v>Aguardando placar</x:v>
      </x:c>
      <x:c r="O63" s="21" t="str">
        <x:v>Fase de grupos</x:v>
      </x:c>
    </x:row>
    <x:row r="64">
      <x:c r="A64" s="21" t="str">
        <x:v>GJ6</x:v>
      </x:c>
      <x:c r="B64" s="21" t="n">
        <x:v>60</x:v>
      </x:c>
      <x:c r="C64" s="21" t="str">
        <x:v>2026-06-27</x:v>
      </x:c>
      <x:c r="D64" s="21" t="str">
        <x:v>23:00</x:v>
      </x:c>
      <x:c r="E64" s="21" t="str">
        <x:v>Grupo J</x:v>
      </x:c>
      <x:c r="F64" s="21" t="str">
        <x:v>J</x:v>
      </x:c>
      <x:c r="G64" s="21" t="str">
        <x:v>Argélia</x:v>
      </x:c>
      <x:c r="H64" s="22"/>
      <x:c r="I64" s="22"/>
      <x:c r="J64" s="21" t="str">
        <x:v>Áustria</x:v>
      </x:c>
      <x:c r="K64" s="21" t="str">
        <x:v>Não</x:v>
      </x:c>
      <x:c r="L64" s="23"/>
      <x:c r="M64" s="21" t="str">
        <x:f>IF(OR(H64="",I64=""),"",IF(H64&gt;I64,G64,IF(H64&lt;I64,J64,IF(K64="Sim",IF(L64="","Definir quem passou",L64),"Empate"))))</x:f>
      </x:c>
      <x:c r="N64" s="21" t="str">
        <x:f>IF(OR(H64="",I64=""),"Aguardando placar",IF(AND(K64="Sim",H64=I64,L64=""),"Falta quem passou","Resultado lançado"))</x:f>
        <x:v>Aguardando placar</x:v>
      </x:c>
      <x:c r="O64" s="21" t="str">
        <x:v>Fase de grupos</x:v>
      </x:c>
    </x:row>
    <x:row r="65">
      <x:c r="A65" s="21" t="str">
        <x:v>GK1</x:v>
      </x:c>
      <x:c r="B65" s="21" t="n">
        <x:v>61</x:v>
      </x:c>
      <x:c r="C65" s="21" t="str">
        <x:v>2026-06-17</x:v>
      </x:c>
      <x:c r="D65" s="21" t="str">
        <x:v>14:00</x:v>
      </x:c>
      <x:c r="E65" s="21" t="str">
        <x:v>Grupo K</x:v>
      </x:c>
      <x:c r="F65" s="21" t="str">
        <x:v>K</x:v>
      </x:c>
      <x:c r="G65" s="21" t="str">
        <x:v>Portugal</x:v>
      </x:c>
      <x:c r="H65" s="22"/>
      <x:c r="I65" s="22"/>
      <x:c r="J65" s="21" t="str">
        <x:v>Rep. D. do Congo</x:v>
      </x:c>
      <x:c r="K65" s="21" t="str">
        <x:v>Não</x:v>
      </x:c>
      <x:c r="L65" s="23"/>
      <x:c r="M65" s="21" t="str">
        <x:f>IF(OR(H65="",I65=""),"",IF(H65&gt;I65,G65,IF(H65&lt;I65,J65,IF(K65="Sim",IF(L65="","Definir quem passou",L65),"Empate"))))</x:f>
      </x:c>
      <x:c r="N65" s="21" t="str">
        <x:f>IF(OR(H65="",I65=""),"Aguardando placar",IF(AND(K65="Sim",H65=I65,L65=""),"Falta quem passou","Resultado lançado"))</x:f>
        <x:v>Aguardando placar</x:v>
      </x:c>
      <x:c r="O65" s="21" t="str">
        <x:v>Fase de grupos</x:v>
      </x:c>
    </x:row>
    <x:row r="66">
      <x:c r="A66" s="21" t="str">
        <x:v>GK2</x:v>
      </x:c>
      <x:c r="B66" s="21" t="n">
        <x:v>62</x:v>
      </x:c>
      <x:c r="C66" s="21" t="str">
        <x:v>2026-06-17</x:v>
      </x:c>
      <x:c r="D66" s="21" t="str">
        <x:v>23:00</x:v>
      </x:c>
      <x:c r="E66" s="21" t="str">
        <x:v>Grupo K</x:v>
      </x:c>
      <x:c r="F66" s="21" t="str">
        <x:v>K</x:v>
      </x:c>
      <x:c r="G66" s="21" t="str">
        <x:v>Uzbequistão</x:v>
      </x:c>
      <x:c r="H66" s="22"/>
      <x:c r="I66" s="22"/>
      <x:c r="J66" s="21" t="str">
        <x:v>Colômbia</x:v>
      </x:c>
      <x:c r="K66" s="21" t="str">
        <x:v>Não</x:v>
      </x:c>
      <x:c r="L66" s="23"/>
      <x:c r="M66" s="21" t="str">
        <x:f>IF(OR(H66="",I66=""),"",IF(H66&gt;I66,G66,IF(H66&lt;I66,J66,IF(K66="Sim",IF(L66="","Definir quem passou",L66),"Empate"))))</x:f>
      </x:c>
      <x:c r="N66" s="21" t="str">
        <x:f>IF(OR(H66="",I66=""),"Aguardando placar",IF(AND(K66="Sim",H66=I66,L66=""),"Falta quem passou","Resultado lançado"))</x:f>
        <x:v>Aguardando placar</x:v>
      </x:c>
      <x:c r="O66" s="21" t="str">
        <x:v>Fase de grupos</x:v>
      </x:c>
    </x:row>
    <x:row r="67">
      <x:c r="A67" s="21" t="str">
        <x:v>GK3</x:v>
      </x:c>
      <x:c r="B67" s="21" t="n">
        <x:v>63</x:v>
      </x:c>
      <x:c r="C67" s="21" t="str">
        <x:v>2026-06-23</x:v>
      </x:c>
      <x:c r="D67" s="21" t="str">
        <x:v>14:00</x:v>
      </x:c>
      <x:c r="E67" s="21" t="str">
        <x:v>Grupo K</x:v>
      </x:c>
      <x:c r="F67" s="21" t="str">
        <x:v>K</x:v>
      </x:c>
      <x:c r="G67" s="21" t="str">
        <x:v>Portugal</x:v>
      </x:c>
      <x:c r="H67" s="22"/>
      <x:c r="I67" s="22"/>
      <x:c r="J67" s="21" t="str">
        <x:v>Uzbequistão</x:v>
      </x:c>
      <x:c r="K67" s="21" t="str">
        <x:v>Não</x:v>
      </x:c>
      <x:c r="L67" s="23"/>
      <x:c r="M67" s="21" t="str">
        <x:f>IF(OR(H67="",I67=""),"",IF(H67&gt;I67,G67,IF(H67&lt;I67,J67,IF(K67="Sim",IF(L67="","Definir quem passou",L67),"Empate"))))</x:f>
      </x:c>
      <x:c r="N67" s="21" t="str">
        <x:f>IF(OR(H67="",I67=""),"Aguardando placar",IF(AND(K67="Sim",H67=I67,L67=""),"Falta quem passou","Resultado lançado"))</x:f>
        <x:v>Aguardando placar</x:v>
      </x:c>
      <x:c r="O67" s="21" t="str">
        <x:v>Fase de grupos</x:v>
      </x:c>
    </x:row>
    <x:row r="68">
      <x:c r="A68" s="21" t="str">
        <x:v>GK4</x:v>
      </x:c>
      <x:c r="B68" s="21" t="n">
        <x:v>64</x:v>
      </x:c>
      <x:c r="C68" s="21" t="str">
        <x:v>2026-06-23</x:v>
      </x:c>
      <x:c r="D68" s="21" t="str">
        <x:v>23:00</x:v>
      </x:c>
      <x:c r="E68" s="21" t="str">
        <x:v>Grupo K</x:v>
      </x:c>
      <x:c r="F68" s="21" t="str">
        <x:v>K</x:v>
      </x:c>
      <x:c r="G68" s="21" t="str">
        <x:v>Rep. D. do Congo</x:v>
      </x:c>
      <x:c r="H68" s="22"/>
      <x:c r="I68" s="22"/>
      <x:c r="J68" s="21" t="str">
        <x:v>Colômbia</x:v>
      </x:c>
      <x:c r="K68" s="21" t="str">
        <x:v>Não</x:v>
      </x:c>
      <x:c r="L68" s="23"/>
      <x:c r="M68" s="21" t="str">
        <x:f>IF(OR(H68="",I68=""),"",IF(H68&gt;I68,G68,IF(H68&lt;I68,J68,IF(K68="Sim",IF(L68="","Definir quem passou",L68),"Empate"))))</x:f>
      </x:c>
      <x:c r="N68" s="21" t="str">
        <x:f>IF(OR(H68="",I68=""),"Aguardando placar",IF(AND(K68="Sim",H68=I68,L68=""),"Falta quem passou","Resultado lançado"))</x:f>
        <x:v>Aguardando placar</x:v>
      </x:c>
      <x:c r="O68" s="21" t="str">
        <x:v>Fase de grupos</x:v>
      </x:c>
    </x:row>
    <x:row r="69">
      <x:c r="A69" s="21" t="str">
        <x:v>GK5</x:v>
      </x:c>
      <x:c r="B69" s="21" t="n">
        <x:v>65</x:v>
      </x:c>
      <x:c r="C69" s="21" t="str">
        <x:v>2026-06-27</x:v>
      </x:c>
      <x:c r="D69" s="21" t="str">
        <x:v>20:30</x:v>
      </x:c>
      <x:c r="E69" s="21" t="str">
        <x:v>Grupo K</x:v>
      </x:c>
      <x:c r="F69" s="21" t="str">
        <x:v>K</x:v>
      </x:c>
      <x:c r="G69" s="21" t="str">
        <x:v>Portugal</x:v>
      </x:c>
      <x:c r="H69" s="22"/>
      <x:c r="I69" s="22"/>
      <x:c r="J69" s="21" t="str">
        <x:v>Colômbia</x:v>
      </x:c>
      <x:c r="K69" s="21" t="str">
        <x:v>Não</x:v>
      </x:c>
      <x:c r="L69" s="23"/>
      <x:c r="M69" s="21" t="str">
        <x:f>IF(OR(H69="",I69=""),"",IF(H69&gt;I69,G69,IF(H69&lt;I69,J69,IF(K69="Sim",IF(L69="","Definir quem passou",L69),"Empate"))))</x:f>
      </x:c>
      <x:c r="N69" s="21" t="str">
        <x:f>IF(OR(H69="",I69=""),"Aguardando placar",IF(AND(K69="Sim",H69=I69,L69=""),"Falta quem passou","Resultado lançado"))</x:f>
        <x:v>Aguardando placar</x:v>
      </x:c>
      <x:c r="O69" s="21" t="str">
        <x:v>Fase de grupos</x:v>
      </x:c>
    </x:row>
    <x:row r="70">
      <x:c r="A70" s="21" t="str">
        <x:v>GK6</x:v>
      </x:c>
      <x:c r="B70" s="21" t="n">
        <x:v>66</x:v>
      </x:c>
      <x:c r="C70" s="21" t="str">
        <x:v>2026-06-27</x:v>
      </x:c>
      <x:c r="D70" s="21" t="str">
        <x:v>20:30</x:v>
      </x:c>
      <x:c r="E70" s="21" t="str">
        <x:v>Grupo K</x:v>
      </x:c>
      <x:c r="F70" s="21" t="str">
        <x:v>K</x:v>
      </x:c>
      <x:c r="G70" s="21" t="str">
        <x:v>Rep. D. do Congo</x:v>
      </x:c>
      <x:c r="H70" s="22"/>
      <x:c r="I70" s="22"/>
      <x:c r="J70" s="21" t="str">
        <x:v>Uzbequistão</x:v>
      </x:c>
      <x:c r="K70" s="21" t="str">
        <x:v>Não</x:v>
      </x:c>
      <x:c r="L70" s="23"/>
      <x:c r="M70" s="21" t="str">
        <x:f>IF(OR(H70="",I70=""),"",IF(H70&gt;I70,G70,IF(H70&lt;I70,J70,IF(K70="Sim",IF(L70="","Definir quem passou",L70),"Empate"))))</x:f>
      </x:c>
      <x:c r="N70" s="21" t="str">
        <x:f>IF(OR(H70="",I70=""),"Aguardando placar",IF(AND(K70="Sim",H70=I70,L70=""),"Falta quem passou","Resultado lançado"))</x:f>
        <x:v>Aguardando placar</x:v>
      </x:c>
      <x:c r="O70" s="21" t="str">
        <x:v>Fase de grupos</x:v>
      </x:c>
    </x:row>
    <x:row r="71">
      <x:c r="A71" s="21" t="str">
        <x:v>GL1</x:v>
      </x:c>
      <x:c r="B71" s="21" t="n">
        <x:v>67</x:v>
      </x:c>
      <x:c r="C71" s="21" t="str">
        <x:v>2026-06-17</x:v>
      </x:c>
      <x:c r="D71" s="21" t="str">
        <x:v>17:00</x:v>
      </x:c>
      <x:c r="E71" s="21" t="str">
        <x:v>Grupo L</x:v>
      </x:c>
      <x:c r="F71" s="21" t="str">
        <x:v>L</x:v>
      </x:c>
      <x:c r="G71" s="21" t="str">
        <x:v>Inglaterra</x:v>
      </x:c>
      <x:c r="H71" s="22"/>
      <x:c r="I71" s="22"/>
      <x:c r="J71" s="21" t="str">
        <x:v>Croácia</x:v>
      </x:c>
      <x:c r="K71" s="21" t="str">
        <x:v>Não</x:v>
      </x:c>
      <x:c r="L71" s="23"/>
      <x:c r="M71" s="21" t="str">
        <x:f>IF(OR(H71="",I71=""),"",IF(H71&gt;I71,G71,IF(H71&lt;I71,J71,IF(K71="Sim",IF(L71="","Definir quem passou",L71),"Empate"))))</x:f>
      </x:c>
      <x:c r="N71" s="21" t="str">
        <x:f>IF(OR(H71="",I71=""),"Aguardando placar",IF(AND(K71="Sim",H71=I71,L71=""),"Falta quem passou","Resultado lançado"))</x:f>
        <x:v>Aguardando placar</x:v>
      </x:c>
      <x:c r="O71" s="21" t="str">
        <x:v>Fase de grupos</x:v>
      </x:c>
    </x:row>
    <x:row r="72">
      <x:c r="A72" s="21" t="str">
        <x:v>GL2</x:v>
      </x:c>
      <x:c r="B72" s="21" t="n">
        <x:v>68</x:v>
      </x:c>
      <x:c r="C72" s="21" t="str">
        <x:v>2026-06-17</x:v>
      </x:c>
      <x:c r="D72" s="21" t="str">
        <x:v>20:00</x:v>
      </x:c>
      <x:c r="E72" s="21" t="str">
        <x:v>Grupo L</x:v>
      </x:c>
      <x:c r="F72" s="21" t="str">
        <x:v>L</x:v>
      </x:c>
      <x:c r="G72" s="21" t="str">
        <x:v>Gana</x:v>
      </x:c>
      <x:c r="H72" s="22"/>
      <x:c r="I72" s="22"/>
      <x:c r="J72" s="21" t="str">
        <x:v>Panamá</x:v>
      </x:c>
      <x:c r="K72" s="21" t="str">
        <x:v>Não</x:v>
      </x:c>
      <x:c r="L72" s="23"/>
      <x:c r="M72" s="21" t="str">
        <x:f>IF(OR(H72="",I72=""),"",IF(H72&gt;I72,G72,IF(H72&lt;I72,J72,IF(K72="Sim",IF(L72="","Definir quem passou",L72),"Empate"))))</x:f>
      </x:c>
      <x:c r="N72" s="21" t="str">
        <x:f>IF(OR(H72="",I72=""),"Aguardando placar",IF(AND(K72="Sim",H72=I72,L72=""),"Falta quem passou","Resultado lançado"))</x:f>
        <x:v>Aguardando placar</x:v>
      </x:c>
      <x:c r="O72" s="21" t="str">
        <x:v>Fase de grupos</x:v>
      </x:c>
    </x:row>
    <x:row r="73">
      <x:c r="A73" s="21" t="str">
        <x:v>GL3</x:v>
      </x:c>
      <x:c r="B73" s="21" t="n">
        <x:v>69</x:v>
      </x:c>
      <x:c r="C73" s="21" t="str">
        <x:v>2026-06-23</x:v>
      </x:c>
      <x:c r="D73" s="21" t="str">
        <x:v>17:00</x:v>
      </x:c>
      <x:c r="E73" s="21" t="str">
        <x:v>Grupo L</x:v>
      </x:c>
      <x:c r="F73" s="21" t="str">
        <x:v>L</x:v>
      </x:c>
      <x:c r="G73" s="21" t="str">
        <x:v>Inglaterra</x:v>
      </x:c>
      <x:c r="H73" s="22"/>
      <x:c r="I73" s="22"/>
      <x:c r="J73" s="21" t="str">
        <x:v>Gana</x:v>
      </x:c>
      <x:c r="K73" s="21" t="str">
        <x:v>Não</x:v>
      </x:c>
      <x:c r="L73" s="23"/>
      <x:c r="M73" s="21" t="str">
        <x:f>IF(OR(H73="",I73=""),"",IF(H73&gt;I73,G73,IF(H73&lt;I73,J73,IF(K73="Sim",IF(L73="","Definir quem passou",L73),"Empate"))))</x:f>
      </x:c>
      <x:c r="N73" s="21" t="str">
        <x:f>IF(OR(H73="",I73=""),"Aguardando placar",IF(AND(K73="Sim",H73=I73,L73=""),"Falta quem passou","Resultado lançado"))</x:f>
        <x:v>Aguardando placar</x:v>
      </x:c>
      <x:c r="O73" s="21" t="str">
        <x:v>Fase de grupos</x:v>
      </x:c>
    </x:row>
    <x:row r="74">
      <x:c r="A74" s="21" t="str">
        <x:v>GL4</x:v>
      </x:c>
      <x:c r="B74" s="21" t="n">
        <x:v>70</x:v>
      </x:c>
      <x:c r="C74" s="21" t="str">
        <x:v>2026-06-23</x:v>
      </x:c>
      <x:c r="D74" s="21" t="str">
        <x:v>20:00</x:v>
      </x:c>
      <x:c r="E74" s="21" t="str">
        <x:v>Grupo L</x:v>
      </x:c>
      <x:c r="F74" s="21" t="str">
        <x:v>L</x:v>
      </x:c>
      <x:c r="G74" s="21" t="str">
        <x:v>Croácia</x:v>
      </x:c>
      <x:c r="H74" s="22"/>
      <x:c r="I74" s="22"/>
      <x:c r="J74" s="21" t="str">
        <x:v>Panamá</x:v>
      </x:c>
      <x:c r="K74" s="21" t="str">
        <x:v>Não</x:v>
      </x:c>
      <x:c r="L74" s="23"/>
      <x:c r="M74" s="21" t="str">
        <x:f>IF(OR(H74="",I74=""),"",IF(H74&gt;I74,G74,IF(H74&lt;I74,J74,IF(K74="Sim",IF(L74="","Definir quem passou",L74),"Empate"))))</x:f>
      </x:c>
      <x:c r="N74" s="21" t="str">
        <x:f>IF(OR(H74="",I74=""),"Aguardando placar",IF(AND(K74="Sim",H74=I74,L74=""),"Falta quem passou","Resultado lançado"))</x:f>
        <x:v>Aguardando placar</x:v>
      </x:c>
      <x:c r="O74" s="21" t="str">
        <x:v>Fase de grupos</x:v>
      </x:c>
    </x:row>
    <x:row r="75">
      <x:c r="A75" s="21" t="str">
        <x:v>GL5</x:v>
      </x:c>
      <x:c r="B75" s="21" t="n">
        <x:v>71</x:v>
      </x:c>
      <x:c r="C75" s="21" t="str">
        <x:v>2026-06-27</x:v>
      </x:c>
      <x:c r="D75" s="21" t="str">
        <x:v>18:00</x:v>
      </x:c>
      <x:c r="E75" s="21" t="str">
        <x:v>Grupo L</x:v>
      </x:c>
      <x:c r="F75" s="21" t="str">
        <x:v>L</x:v>
      </x:c>
      <x:c r="G75" s="21" t="str">
        <x:v>Inglaterra</x:v>
      </x:c>
      <x:c r="H75" s="22"/>
      <x:c r="I75" s="22"/>
      <x:c r="J75" s="21" t="str">
        <x:v>Panamá</x:v>
      </x:c>
      <x:c r="K75" s="21" t="str">
        <x:v>Não</x:v>
      </x:c>
      <x:c r="L75" s="23"/>
      <x:c r="M75" s="21" t="str">
        <x:f>IF(OR(H75="",I75=""),"",IF(H75&gt;I75,G75,IF(H75&lt;I75,J75,IF(K75="Sim",IF(L75="","Definir quem passou",L75),"Empate"))))</x:f>
      </x:c>
      <x:c r="N75" s="21" t="str">
        <x:f>IF(OR(H75="",I75=""),"Aguardando placar",IF(AND(K75="Sim",H75=I75,L75=""),"Falta quem passou","Resultado lançado"))</x:f>
        <x:v>Aguardando placar</x:v>
      </x:c>
      <x:c r="O75" s="21" t="str">
        <x:v>Fase de grupos</x:v>
      </x:c>
    </x:row>
    <x:row r="76">
      <x:c r="A76" s="21" t="str">
        <x:v>GL6</x:v>
      </x:c>
      <x:c r="B76" s="21" t="n">
        <x:v>72</x:v>
      </x:c>
      <x:c r="C76" s="21" t="str">
        <x:v>2026-06-27</x:v>
      </x:c>
      <x:c r="D76" s="21" t="str">
        <x:v>18:00</x:v>
      </x:c>
      <x:c r="E76" s="21" t="str">
        <x:v>Grupo L</x:v>
      </x:c>
      <x:c r="F76" s="21" t="str">
        <x:v>L</x:v>
      </x:c>
      <x:c r="G76" s="21" t="str">
        <x:v>Croácia</x:v>
      </x:c>
      <x:c r="H76" s="22"/>
      <x:c r="I76" s="22"/>
      <x:c r="J76" s="21" t="str">
        <x:v>Gana</x:v>
      </x:c>
      <x:c r="K76" s="21" t="str">
        <x:v>Não</x:v>
      </x:c>
      <x:c r="L76" s="23"/>
      <x:c r="M76" s="21" t="str">
        <x:f>IF(OR(H76="",I76=""),"",IF(H76&gt;I76,G76,IF(H76&lt;I76,J76,IF(K76="Sim",IF(L76="","Definir quem passou",L76),"Empate"))))</x:f>
      </x:c>
      <x:c r="N76" s="21" t="str">
        <x:f>IF(OR(H76="",I76=""),"Aguardando placar",IF(AND(K76="Sim",H76=I76,L76=""),"Falta quem passou","Resultado lançado"))</x:f>
        <x:v>Aguardando placar</x:v>
      </x:c>
      <x:c r="O76" s="21" t="str">
        <x:v>Fase de grupos</x:v>
      </x:c>
    </x:row>
    <x:row r="77">
      <x:c r="A77" s="21" t="str">
        <x:v>R32_01</x:v>
      </x:c>
      <x:c r="B77" s="21" t="n">
        <x:v>73</x:v>
      </x:c>
      <x:c r="C77" s="21" t="str">
        <x:v>2026-06-28</x:v>
      </x:c>
      <x:c r="D77" s="21" t="str">
        <x:v>16:00</x:v>
      </x:c>
      <x:c r="E77" s="21" t="str">
        <x:v>16-avos de final</x:v>
      </x:c>
      <x:c r="F77" s="21" t="str"/>
      <x:c r="G77" s="21" t="str">
        <x:v>2º Grupo A</x:v>
      </x:c>
      <x:c r="H77" s="22"/>
      <x:c r="I77" s="22"/>
      <x:c r="J77" s="21" t="str">
        <x:v>2º Grupo B</x:v>
      </x:c>
      <x:c r="K77" s="21" t="str">
        <x:v>Sim</x:v>
      </x:c>
      <x:c r="L77" s="23"/>
      <x:c r="M77" s="21" t="str">
        <x:f>IF(OR(H77="",I77=""),"",IF(H77&gt;I77,G77,IF(H77&lt;I77,J77,IF(K77="Sim",IF(L77="","Definir quem passou",L77),"Empate"))))</x:f>
      </x:c>
      <x:c r="N77" s="21" t="str">
        <x:f>IF(OR(H77="",I77=""),"Aguardando placar",IF(AND(K77="Sim",H77=I77,L77=""),"Falta quem passou","Resultado lançado"))</x:f>
        <x:v>Aguardando placar</x:v>
      </x:c>
      <x:c r="O77" s="21" t="str">
        <x:v>2º Grupo A x 2º Grupo B</x:v>
      </x:c>
    </x:row>
    <x:row r="78">
      <x:c r="A78" s="21" t="str">
        <x:v>R32_02</x:v>
      </x:c>
      <x:c r="B78" s="21" t="n">
        <x:v>74</x:v>
      </x:c>
      <x:c r="C78" s="21" t="str">
        <x:v>2026-06-29</x:v>
      </x:c>
      <x:c r="D78" s="21" t="str">
        <x:v>17:30</x:v>
      </x:c>
      <x:c r="E78" s="21" t="str">
        <x:v>16-avos de final</x:v>
      </x:c>
      <x:c r="F78" s="21" t="str"/>
      <x:c r="G78" s="21" t="str">
        <x:v>1º Grupo E</x:v>
      </x:c>
      <x:c r="H78" s="22"/>
      <x:c r="I78" s="22"/>
      <x:c r="J78" s="21" t="str">
        <x:v>3º A/B/C/D/F</x:v>
      </x:c>
      <x:c r="K78" s="21" t="str">
        <x:v>Sim</x:v>
      </x:c>
      <x:c r="L78" s="23"/>
      <x:c r="M78" s="21" t="str">
        <x:f>IF(OR(H78="",I78=""),"",IF(H78&gt;I78,G78,IF(H78&lt;I78,J78,IF(K78="Sim",IF(L78="","Definir quem passou",L78),"Empate"))))</x:f>
      </x:c>
      <x:c r="N78" s="21" t="str">
        <x:f>IF(OR(H78="",I78=""),"Aguardando placar",IF(AND(K78="Sim",H78=I78,L78=""),"Falta quem passou","Resultado lançado"))</x:f>
        <x:v>Aguardando placar</x:v>
      </x:c>
      <x:c r="O78" s="21" t="str">
        <x:v>1º Grupo E x 3º A/B/C/D/F; chave 3º: E</x:v>
      </x:c>
    </x:row>
    <x:row r="79">
      <x:c r="A79" s="21" t="str">
        <x:v>R32_03</x:v>
      </x:c>
      <x:c r="B79" s="21" t="n">
        <x:v>75</x:v>
      </x:c>
      <x:c r="C79" s="21" t="str">
        <x:v>2026-06-29</x:v>
      </x:c>
      <x:c r="D79" s="21" t="str">
        <x:v>22:00</x:v>
      </x:c>
      <x:c r="E79" s="21" t="str">
        <x:v>16-avos de final</x:v>
      </x:c>
      <x:c r="F79" s="21" t="str"/>
      <x:c r="G79" s="21" t="str">
        <x:v>1º Grupo F</x:v>
      </x:c>
      <x:c r="H79" s="22"/>
      <x:c r="I79" s="22"/>
      <x:c r="J79" s="21" t="str">
        <x:v>2º Grupo C</x:v>
      </x:c>
      <x:c r="K79" s="21" t="str">
        <x:v>Sim</x:v>
      </x:c>
      <x:c r="L79" s="23"/>
      <x:c r="M79" s="21" t="str">
        <x:f>IF(OR(H79="",I79=""),"",IF(H79&gt;I79,G79,IF(H79&lt;I79,J79,IF(K79="Sim",IF(L79="","Definir quem passou",L79),"Empate"))))</x:f>
      </x:c>
      <x:c r="N79" s="21" t="str">
        <x:f>IF(OR(H79="",I79=""),"Aguardando placar",IF(AND(K79="Sim",H79=I79,L79=""),"Falta quem passou","Resultado lançado"))</x:f>
        <x:v>Aguardando placar</x:v>
      </x:c>
      <x:c r="O79" s="21" t="str">
        <x:v>1º Grupo F x 2º Grupo C</x:v>
      </x:c>
    </x:row>
    <x:row r="80">
      <x:c r="A80" s="21" t="str">
        <x:v>R32_04</x:v>
      </x:c>
      <x:c r="B80" s="21" t="n">
        <x:v>76</x:v>
      </x:c>
      <x:c r="C80" s="21" t="str">
        <x:v>2026-06-29</x:v>
      </x:c>
      <x:c r="D80" s="21" t="str">
        <x:v>14:00</x:v>
      </x:c>
      <x:c r="E80" s="21" t="str">
        <x:v>16-avos de final</x:v>
      </x:c>
      <x:c r="F80" s="21" t="str"/>
      <x:c r="G80" s="21" t="str">
        <x:v>1º Grupo C</x:v>
      </x:c>
      <x:c r="H80" s="22"/>
      <x:c r="I80" s="22"/>
      <x:c r="J80" s="21" t="str">
        <x:v>2º Grupo F</x:v>
      </x:c>
      <x:c r="K80" s="21" t="str">
        <x:v>Sim</x:v>
      </x:c>
      <x:c r="L80" s="23"/>
      <x:c r="M80" s="21" t="str">
        <x:f>IF(OR(H80="",I80=""),"",IF(H80&gt;I80,G80,IF(H80&lt;I80,J80,IF(K80="Sim",IF(L80="","Definir quem passou",L80),"Empate"))))</x:f>
      </x:c>
      <x:c r="N80" s="21" t="str">
        <x:f>IF(OR(H80="",I80=""),"Aguardando placar",IF(AND(K80="Sim",H80=I80,L80=""),"Falta quem passou","Resultado lançado"))</x:f>
        <x:v>Aguardando placar</x:v>
      </x:c>
      <x:c r="O80" s="21" t="str">
        <x:v>1º Grupo C x 2º Grupo F</x:v>
      </x:c>
    </x:row>
    <x:row r="81">
      <x:c r="A81" s="21" t="str">
        <x:v>R32_05</x:v>
      </x:c>
      <x:c r="B81" s="21" t="n">
        <x:v>77</x:v>
      </x:c>
      <x:c r="C81" s="21" t="str">
        <x:v>2026-06-30</x:v>
      </x:c>
      <x:c r="D81" s="21" t="str">
        <x:v>18:00</x:v>
      </x:c>
      <x:c r="E81" s="21" t="str">
        <x:v>16-avos de final</x:v>
      </x:c>
      <x:c r="F81" s="21" t="str"/>
      <x:c r="G81" s="21" t="str">
        <x:v>1º Grupo I</x:v>
      </x:c>
      <x:c r="H81" s="22"/>
      <x:c r="I81" s="22"/>
      <x:c r="J81" s="21" t="str">
        <x:v>3º C/D/F/G/H</x:v>
      </x:c>
      <x:c r="K81" s="21" t="str">
        <x:v>Sim</x:v>
      </x:c>
      <x:c r="L81" s="23"/>
      <x:c r="M81" s="21" t="str">
        <x:f>IF(OR(H81="",I81=""),"",IF(H81&gt;I81,G81,IF(H81&lt;I81,J81,IF(K81="Sim",IF(L81="","Definir quem passou",L81),"Empate"))))</x:f>
      </x:c>
      <x:c r="N81" s="21" t="str">
        <x:f>IF(OR(H81="",I81=""),"Aguardando placar",IF(AND(K81="Sim",H81=I81,L81=""),"Falta quem passou","Resultado lançado"))</x:f>
        <x:v>Aguardando placar</x:v>
      </x:c>
      <x:c r="O81" s="21" t="str">
        <x:v>1º Grupo I x 3º C/D/F/G/H; chave 3º: I</x:v>
      </x:c>
    </x:row>
    <x:row r="82">
      <x:c r="A82" s="21" t="str">
        <x:v>R32_06</x:v>
      </x:c>
      <x:c r="B82" s="21" t="n">
        <x:v>78</x:v>
      </x:c>
      <x:c r="C82" s="21" t="str">
        <x:v>2026-06-30</x:v>
      </x:c>
      <x:c r="D82" s="21" t="str">
        <x:v>14:00</x:v>
      </x:c>
      <x:c r="E82" s="21" t="str">
        <x:v>16-avos de final</x:v>
      </x:c>
      <x:c r="F82" s="21" t="str"/>
      <x:c r="G82" s="21" t="str">
        <x:v>2º Grupo E</x:v>
      </x:c>
      <x:c r="H82" s="22"/>
      <x:c r="I82" s="22"/>
      <x:c r="J82" s="21" t="str">
        <x:v>2º Grupo I</x:v>
      </x:c>
      <x:c r="K82" s="21" t="str">
        <x:v>Sim</x:v>
      </x:c>
      <x:c r="L82" s="23"/>
      <x:c r="M82" s="21" t="str">
        <x:f>IF(OR(H82="",I82=""),"",IF(H82&gt;I82,G82,IF(H82&lt;I82,J82,IF(K82="Sim",IF(L82="","Definir quem passou",L82),"Empate"))))</x:f>
      </x:c>
      <x:c r="N82" s="21" t="str">
        <x:f>IF(OR(H82="",I82=""),"Aguardando placar",IF(AND(K82="Sim",H82=I82,L82=""),"Falta quem passou","Resultado lançado"))</x:f>
        <x:v>Aguardando placar</x:v>
      </x:c>
      <x:c r="O82" s="21" t="str">
        <x:v>2º Grupo E x 2º Grupo I</x:v>
      </x:c>
    </x:row>
    <x:row r="83">
      <x:c r="A83" s="21" t="str">
        <x:v>R32_07</x:v>
      </x:c>
      <x:c r="B83" s="21" t="n">
        <x:v>79</x:v>
      </x:c>
      <x:c r="C83" s="21" t="str">
        <x:v>2026-06-30</x:v>
      </x:c>
      <x:c r="D83" s="21" t="str">
        <x:v>22:00</x:v>
      </x:c>
      <x:c r="E83" s="21" t="str">
        <x:v>16-avos de final</x:v>
      </x:c>
      <x:c r="F83" s="21" t="str"/>
      <x:c r="G83" s="21" t="str">
        <x:v>1º Grupo A</x:v>
      </x:c>
      <x:c r="H83" s="22"/>
      <x:c r="I83" s="22"/>
      <x:c r="J83" s="21" t="str">
        <x:v>3º C/E/F/H/I</x:v>
      </x:c>
      <x:c r="K83" s="21" t="str">
        <x:v>Sim</x:v>
      </x:c>
      <x:c r="L83" s="23"/>
      <x:c r="M83" s="21" t="str">
        <x:f>IF(OR(H83="",I83=""),"",IF(H83&gt;I83,G83,IF(H83&lt;I83,J83,IF(K83="Sim",IF(L83="","Definir quem passou",L83),"Empate"))))</x:f>
      </x:c>
      <x:c r="N83" s="21" t="str">
        <x:f>IF(OR(H83="",I83=""),"Aguardando placar",IF(AND(K83="Sim",H83=I83,L83=""),"Falta quem passou","Resultado lançado"))</x:f>
        <x:v>Aguardando placar</x:v>
      </x:c>
      <x:c r="O83" s="21" t="str">
        <x:v>1º Grupo A x 3º C/E/F/H/I; chave 3º: A</x:v>
      </x:c>
    </x:row>
    <x:row r="84">
      <x:c r="A84" s="21" t="str">
        <x:v>R32_08</x:v>
      </x:c>
      <x:c r="B84" s="21" t="n">
        <x:v>80</x:v>
      </x:c>
      <x:c r="C84" s="21" t="str">
        <x:v>2026-07-01</x:v>
      </x:c>
      <x:c r="D84" s="21" t="str">
        <x:v>13:00</x:v>
      </x:c>
      <x:c r="E84" s="21" t="str">
        <x:v>16-avos de final</x:v>
      </x:c>
      <x:c r="F84" s="21" t="str"/>
      <x:c r="G84" s="21" t="str">
        <x:v>1º Grupo L</x:v>
      </x:c>
      <x:c r="H84" s="22"/>
      <x:c r="I84" s="22"/>
      <x:c r="J84" s="21" t="str">
        <x:v>3º E/H/I/J/K</x:v>
      </x:c>
      <x:c r="K84" s="21" t="str">
        <x:v>Sim</x:v>
      </x:c>
      <x:c r="L84" s="23"/>
      <x:c r="M84" s="21" t="str">
        <x:f>IF(OR(H84="",I84=""),"",IF(H84&gt;I84,G84,IF(H84&lt;I84,J84,IF(K84="Sim",IF(L84="","Definir quem passou",L84),"Empate"))))</x:f>
      </x:c>
      <x:c r="N84" s="21" t="str">
        <x:f>IF(OR(H84="",I84=""),"Aguardando placar",IF(AND(K84="Sim",H84=I84,L84=""),"Falta quem passou","Resultado lançado"))</x:f>
        <x:v>Aguardando placar</x:v>
      </x:c>
      <x:c r="O84" s="21" t="str">
        <x:v>1º Grupo L x 3º E/H/I/J/K; chave 3º: L</x:v>
      </x:c>
    </x:row>
    <x:row r="85">
      <x:c r="A85" s="21" t="str">
        <x:v>R32_09</x:v>
      </x:c>
      <x:c r="B85" s="21" t="n">
        <x:v>81</x:v>
      </x:c>
      <x:c r="C85" s="21" t="str">
        <x:v>2026-07-01</x:v>
      </x:c>
      <x:c r="D85" s="21" t="str">
        <x:v>21:00</x:v>
      </x:c>
      <x:c r="E85" s="21" t="str">
        <x:v>16-avos de final</x:v>
      </x:c>
      <x:c r="F85" s="21" t="str"/>
      <x:c r="G85" s="21" t="str">
        <x:v>1º Grupo D</x:v>
      </x:c>
      <x:c r="H85" s="22"/>
      <x:c r="I85" s="22"/>
      <x:c r="J85" s="21" t="str">
        <x:v>3º B/E/F/I/J</x:v>
      </x:c>
      <x:c r="K85" s="21" t="str">
        <x:v>Sim</x:v>
      </x:c>
      <x:c r="L85" s="23"/>
      <x:c r="M85" s="21" t="str">
        <x:f>IF(OR(H85="",I85=""),"",IF(H85&gt;I85,G85,IF(H85&lt;I85,J85,IF(K85="Sim",IF(L85="","Definir quem passou",L85),"Empate"))))</x:f>
      </x:c>
      <x:c r="N85" s="21" t="str">
        <x:f>IF(OR(H85="",I85=""),"Aguardando placar",IF(AND(K85="Sim",H85=I85,L85=""),"Falta quem passou","Resultado lançado"))</x:f>
        <x:v>Aguardando placar</x:v>
      </x:c>
      <x:c r="O85" s="21" t="str">
        <x:v>1º Grupo D x 3º B/E/F/I/J; chave 3º: D</x:v>
      </x:c>
    </x:row>
    <x:row r="86">
      <x:c r="A86" s="21" t="str">
        <x:v>R32_10</x:v>
      </x:c>
      <x:c r="B86" s="21" t="n">
        <x:v>82</x:v>
      </x:c>
      <x:c r="C86" s="21" t="str">
        <x:v>2026-07-01</x:v>
      </x:c>
      <x:c r="D86" s="21" t="str">
        <x:v>17:00</x:v>
      </x:c>
      <x:c r="E86" s="21" t="str">
        <x:v>16-avos de final</x:v>
      </x:c>
      <x:c r="F86" s="21" t="str"/>
      <x:c r="G86" s="21" t="str">
        <x:v>1º Grupo G</x:v>
      </x:c>
      <x:c r="H86" s="22"/>
      <x:c r="I86" s="22"/>
      <x:c r="J86" s="21" t="str">
        <x:v>3º A/E/H/I/J</x:v>
      </x:c>
      <x:c r="K86" s="21" t="str">
        <x:v>Sim</x:v>
      </x:c>
      <x:c r="L86" s="23"/>
      <x:c r="M86" s="21" t="str">
        <x:f>IF(OR(H86="",I86=""),"",IF(H86&gt;I86,G86,IF(H86&lt;I86,J86,IF(K86="Sim",IF(L86="","Definir quem passou",L86),"Empate"))))</x:f>
      </x:c>
      <x:c r="N86" s="21" t="str">
        <x:f>IF(OR(H86="",I86=""),"Aguardando placar",IF(AND(K86="Sim",H86=I86,L86=""),"Falta quem passou","Resultado lançado"))</x:f>
        <x:v>Aguardando placar</x:v>
      </x:c>
      <x:c r="O86" s="21" t="str">
        <x:v>1º Grupo G x 3º A/E/H/I/J; chave 3º: G</x:v>
      </x:c>
    </x:row>
    <x:row r="87">
      <x:c r="A87" s="21" t="str">
        <x:v>R32_11</x:v>
      </x:c>
      <x:c r="B87" s="21" t="n">
        <x:v>83</x:v>
      </x:c>
      <x:c r="C87" s="21" t="str">
        <x:v>2026-07-02</x:v>
      </x:c>
      <x:c r="D87" s="21" t="str">
        <x:v>20:00</x:v>
      </x:c>
      <x:c r="E87" s="21" t="str">
        <x:v>16-avos de final</x:v>
      </x:c>
      <x:c r="F87" s="21" t="str"/>
      <x:c r="G87" s="21" t="str">
        <x:v>2º Grupo K</x:v>
      </x:c>
      <x:c r="H87" s="22"/>
      <x:c r="I87" s="22"/>
      <x:c r="J87" s="21" t="str">
        <x:v>2º Grupo L</x:v>
      </x:c>
      <x:c r="K87" s="21" t="str">
        <x:v>Sim</x:v>
      </x:c>
      <x:c r="L87" s="23"/>
      <x:c r="M87" s="21" t="str">
        <x:f>IF(OR(H87="",I87=""),"",IF(H87&gt;I87,G87,IF(H87&lt;I87,J87,IF(K87="Sim",IF(L87="","Definir quem passou",L87),"Empate"))))</x:f>
      </x:c>
      <x:c r="N87" s="21" t="str">
        <x:f>IF(OR(H87="",I87=""),"Aguardando placar",IF(AND(K87="Sim",H87=I87,L87=""),"Falta quem passou","Resultado lançado"))</x:f>
        <x:v>Aguardando placar</x:v>
      </x:c>
      <x:c r="O87" s="21" t="str">
        <x:v>2º Grupo K x 2º Grupo L</x:v>
      </x:c>
    </x:row>
    <x:row r="88">
      <x:c r="A88" s="21" t="str">
        <x:v>R32_12</x:v>
      </x:c>
      <x:c r="B88" s="21" t="n">
        <x:v>84</x:v>
      </x:c>
      <x:c r="C88" s="21" t="str">
        <x:v>2026-07-02</x:v>
      </x:c>
      <x:c r="D88" s="21" t="str">
        <x:v>16:00</x:v>
      </x:c>
      <x:c r="E88" s="21" t="str">
        <x:v>16-avos de final</x:v>
      </x:c>
      <x:c r="F88" s="21" t="str"/>
      <x:c r="G88" s="21" t="str">
        <x:v>1º Grupo H</x:v>
      </x:c>
      <x:c r="H88" s="22"/>
      <x:c r="I88" s="22"/>
      <x:c r="J88" s="21" t="str">
        <x:v>2º Grupo J</x:v>
      </x:c>
      <x:c r="K88" s="21" t="str">
        <x:v>Sim</x:v>
      </x:c>
      <x:c r="L88" s="23"/>
      <x:c r="M88" s="21" t="str">
        <x:f>IF(OR(H88="",I88=""),"",IF(H88&gt;I88,G88,IF(H88&lt;I88,J88,IF(K88="Sim",IF(L88="","Definir quem passou",L88),"Empate"))))</x:f>
      </x:c>
      <x:c r="N88" s="21" t="str">
        <x:f>IF(OR(H88="",I88=""),"Aguardando placar",IF(AND(K88="Sim",H88=I88,L88=""),"Falta quem passou","Resultado lançado"))</x:f>
        <x:v>Aguardando placar</x:v>
      </x:c>
      <x:c r="O88" s="21" t="str">
        <x:v>1º Grupo H x 2º Grupo J</x:v>
      </x:c>
    </x:row>
    <x:row r="89">
      <x:c r="A89" s="21" t="str">
        <x:v>R32_13</x:v>
      </x:c>
      <x:c r="B89" s="21" t="n">
        <x:v>85</x:v>
      </x:c>
      <x:c r="C89" s="21" t="str">
        <x:v>2026-07-03</x:v>
      </x:c>
      <x:c r="D89" s="21" t="str">
        <x:v>00:00</x:v>
      </x:c>
      <x:c r="E89" s="21" t="str">
        <x:v>16-avos de final</x:v>
      </x:c>
      <x:c r="F89" s="21" t="str"/>
      <x:c r="G89" s="21" t="str">
        <x:v>1º Grupo B</x:v>
      </x:c>
      <x:c r="H89" s="22"/>
      <x:c r="I89" s="22"/>
      <x:c r="J89" s="21" t="str">
        <x:v>3º E/F/G/I/J</x:v>
      </x:c>
      <x:c r="K89" s="21" t="str">
        <x:v>Sim</x:v>
      </x:c>
      <x:c r="L89" s="23"/>
      <x:c r="M89" s="21" t="str">
        <x:f>IF(OR(H89="",I89=""),"",IF(H89&gt;I89,G89,IF(H89&lt;I89,J89,IF(K89="Sim",IF(L89="","Definir quem passou",L89),"Empate"))))</x:f>
      </x:c>
      <x:c r="N89" s="21" t="str">
        <x:f>IF(OR(H89="",I89=""),"Aguardando placar",IF(AND(K89="Sim",H89=I89,L89=""),"Falta quem passou","Resultado lançado"))</x:f>
        <x:v>Aguardando placar</x:v>
      </x:c>
      <x:c r="O89" s="21" t="str">
        <x:v>1º Grupo B x 3º E/F/G/I/J; chave 3º: B</x:v>
      </x:c>
    </x:row>
    <x:row r="90">
      <x:c r="A90" s="21" t="str">
        <x:v>R32_14</x:v>
      </x:c>
      <x:c r="B90" s="21" t="n">
        <x:v>86</x:v>
      </x:c>
      <x:c r="C90" s="21" t="str">
        <x:v>2026-07-03</x:v>
      </x:c>
      <x:c r="D90" s="21" t="str">
        <x:v>19:00</x:v>
      </x:c>
      <x:c r="E90" s="21" t="str">
        <x:v>16-avos de final</x:v>
      </x:c>
      <x:c r="F90" s="21" t="str"/>
      <x:c r="G90" s="21" t="str">
        <x:v>1º Grupo J</x:v>
      </x:c>
      <x:c r="H90" s="22"/>
      <x:c r="I90" s="22"/>
      <x:c r="J90" s="21" t="str">
        <x:v>2º Grupo H</x:v>
      </x:c>
      <x:c r="K90" s="21" t="str">
        <x:v>Sim</x:v>
      </x:c>
      <x:c r="L90" s="23"/>
      <x:c r="M90" s="21" t="str">
        <x:f>IF(OR(H90="",I90=""),"",IF(H90&gt;I90,G90,IF(H90&lt;I90,J90,IF(K90="Sim",IF(L90="","Definir quem passou",L90),"Empate"))))</x:f>
      </x:c>
      <x:c r="N90" s="21" t="str">
        <x:f>IF(OR(H90="",I90=""),"Aguardando placar",IF(AND(K90="Sim",H90=I90,L90=""),"Falta quem passou","Resultado lançado"))</x:f>
        <x:v>Aguardando placar</x:v>
      </x:c>
      <x:c r="O90" s="21" t="str">
        <x:v>1º Grupo J x 2º Grupo H</x:v>
      </x:c>
    </x:row>
    <x:row r="91">
      <x:c r="A91" s="21" t="str">
        <x:v>R32_15</x:v>
      </x:c>
      <x:c r="B91" s="21" t="n">
        <x:v>87</x:v>
      </x:c>
      <x:c r="C91" s="21" t="str">
        <x:v>2026-07-03</x:v>
      </x:c>
      <x:c r="D91" s="21" t="str">
        <x:v>22:30</x:v>
      </x:c>
      <x:c r="E91" s="21" t="str">
        <x:v>16-avos de final</x:v>
      </x:c>
      <x:c r="F91" s="21" t="str"/>
      <x:c r="G91" s="21" t="str">
        <x:v>1º Grupo K</x:v>
      </x:c>
      <x:c r="H91" s="22"/>
      <x:c r="I91" s="22"/>
      <x:c r="J91" s="21" t="str">
        <x:v>3º D/E/I/J/L</x:v>
      </x:c>
      <x:c r="K91" s="21" t="str">
        <x:v>Sim</x:v>
      </x:c>
      <x:c r="L91" s="23"/>
      <x:c r="M91" s="21" t="str">
        <x:f>IF(OR(H91="",I91=""),"",IF(H91&gt;I91,G91,IF(H91&lt;I91,J91,IF(K91="Sim",IF(L91="","Definir quem passou",L91),"Empate"))))</x:f>
      </x:c>
      <x:c r="N91" s="21" t="str">
        <x:f>IF(OR(H91="",I91=""),"Aguardando placar",IF(AND(K91="Sim",H91=I91,L91=""),"Falta quem passou","Resultado lançado"))</x:f>
        <x:v>Aguardando placar</x:v>
      </x:c>
      <x:c r="O91" s="21" t="str">
        <x:v>1º Grupo K x 3º D/E/I/J/L; chave 3º: K</x:v>
      </x:c>
    </x:row>
    <x:row r="92">
      <x:c r="A92" s="21" t="str">
        <x:v>R32_16</x:v>
      </x:c>
      <x:c r="B92" s="21" t="n">
        <x:v>88</x:v>
      </x:c>
      <x:c r="C92" s="21" t="str">
        <x:v>2026-07-03</x:v>
      </x:c>
      <x:c r="D92" s="21" t="str">
        <x:v>15:00</x:v>
      </x:c>
      <x:c r="E92" s="21" t="str">
        <x:v>16-avos de final</x:v>
      </x:c>
      <x:c r="F92" s="21" t="str"/>
      <x:c r="G92" s="21" t="str">
        <x:v>2º Grupo D</x:v>
      </x:c>
      <x:c r="H92" s="22"/>
      <x:c r="I92" s="22"/>
      <x:c r="J92" s="21" t="str">
        <x:v>2º Grupo G</x:v>
      </x:c>
      <x:c r="K92" s="21" t="str">
        <x:v>Sim</x:v>
      </x:c>
      <x:c r="L92" s="23"/>
      <x:c r="M92" s="21" t="str">
        <x:f>IF(OR(H92="",I92=""),"",IF(H92&gt;I92,G92,IF(H92&lt;I92,J92,IF(K92="Sim",IF(L92="","Definir quem passou",L92),"Empate"))))</x:f>
      </x:c>
      <x:c r="N92" s="21" t="str">
        <x:f>IF(OR(H92="",I92=""),"Aguardando placar",IF(AND(K92="Sim",H92=I92,L92=""),"Falta quem passou","Resultado lançado"))</x:f>
        <x:v>Aguardando placar</x:v>
      </x:c>
      <x:c r="O92" s="21" t="str">
        <x:v>2º Grupo D x 2º Grupo G</x:v>
      </x:c>
    </x:row>
    <x:row r="93">
      <x:c r="A93" s="21" t="str">
        <x:v>R16_01</x:v>
      </x:c>
      <x:c r="B93" s="21" t="n">
        <x:v>89</x:v>
      </x:c>
      <x:c r="C93" s="21" t="str">
        <x:v>2026-07-04</x:v>
      </x:c>
      <x:c r="D93" s="21" t="str">
        <x:v>18:00</x:v>
      </x:c>
      <x:c r="E93" s="21" t="str">
        <x:v>Oitavas de final</x:v>
      </x:c>
      <x:c r="F93" s="21" t="str"/>
      <x:c r="G93" s="21" t="str">
        <x:v>Vencedor M74</x:v>
      </x:c>
      <x:c r="H93" s="22"/>
      <x:c r="I93" s="22"/>
      <x:c r="J93" s="21" t="str">
        <x:v>Vencedor M77</x:v>
      </x:c>
      <x:c r="K93" s="21" t="str">
        <x:v>Sim</x:v>
      </x:c>
      <x:c r="L93" s="23"/>
      <x:c r="M93" s="21" t="str">
        <x:f>IF(OR(H93="",I93=""),"",IF(H93&gt;I93,G93,IF(H93&lt;I93,J93,IF(K93="Sim",IF(L93="","Definir quem passou",L93),"Empate"))))</x:f>
      </x:c>
      <x:c r="N93" s="21" t="str">
        <x:f>IF(OR(H93="",I93=""),"Aguardando placar",IF(AND(K93="Sim",H93=I93,L93=""),"Falta quem passou","Resultado lançado"))</x:f>
        <x:v>Aguardando placar</x:v>
      </x:c>
      <x:c r="O93" s="21" t="str">
        <x:v>Vencedor M74 x Vencedor M77</x:v>
      </x:c>
    </x:row>
    <x:row r="94">
      <x:c r="A94" s="21" t="str">
        <x:v>R16_02</x:v>
      </x:c>
      <x:c r="B94" s="21" t="n">
        <x:v>90</x:v>
      </x:c>
      <x:c r="C94" s="21" t="str">
        <x:v>2026-07-04</x:v>
      </x:c>
      <x:c r="D94" s="21" t="str">
        <x:v>14:00</x:v>
      </x:c>
      <x:c r="E94" s="21" t="str">
        <x:v>Oitavas de final</x:v>
      </x:c>
      <x:c r="F94" s="21" t="str"/>
      <x:c r="G94" s="21" t="str">
        <x:v>Vencedor M73</x:v>
      </x:c>
      <x:c r="H94" s="22"/>
      <x:c r="I94" s="22"/>
      <x:c r="J94" s="21" t="str">
        <x:v>Vencedor M75</x:v>
      </x:c>
      <x:c r="K94" s="21" t="str">
        <x:v>Sim</x:v>
      </x:c>
      <x:c r="L94" s="23"/>
      <x:c r="M94" s="21" t="str">
        <x:f>IF(OR(H94="",I94=""),"",IF(H94&gt;I94,G94,IF(H94&lt;I94,J94,IF(K94="Sim",IF(L94="","Definir quem passou",L94),"Empate"))))</x:f>
      </x:c>
      <x:c r="N94" s="21" t="str">
        <x:f>IF(OR(H94="",I94=""),"Aguardando placar",IF(AND(K94="Sim",H94=I94,L94=""),"Falta quem passou","Resultado lançado"))</x:f>
        <x:v>Aguardando placar</x:v>
      </x:c>
      <x:c r="O94" s="21" t="str">
        <x:v>Vencedor M73 x Vencedor M75</x:v>
      </x:c>
    </x:row>
    <x:row r="95">
      <x:c r="A95" s="21" t="str">
        <x:v>R16_03</x:v>
      </x:c>
      <x:c r="B95" s="21" t="n">
        <x:v>91</x:v>
      </x:c>
      <x:c r="C95" s="21" t="str">
        <x:v>2026-07-05</x:v>
      </x:c>
      <x:c r="D95" s="21" t="str">
        <x:v>17:00</x:v>
      </x:c>
      <x:c r="E95" s="21" t="str">
        <x:v>Oitavas de final</x:v>
      </x:c>
      <x:c r="F95" s="21" t="str"/>
      <x:c r="G95" s="21" t="str">
        <x:v>Vencedor M76</x:v>
      </x:c>
      <x:c r="H95" s="22"/>
      <x:c r="I95" s="22"/>
      <x:c r="J95" s="21" t="str">
        <x:v>Vencedor M78</x:v>
      </x:c>
      <x:c r="K95" s="21" t="str">
        <x:v>Sim</x:v>
      </x:c>
      <x:c r="L95" s="23"/>
      <x:c r="M95" s="21" t="str">
        <x:f>IF(OR(H95="",I95=""),"",IF(H95&gt;I95,G95,IF(H95&lt;I95,J95,IF(K95="Sim",IF(L95="","Definir quem passou",L95),"Empate"))))</x:f>
      </x:c>
      <x:c r="N95" s="21" t="str">
        <x:f>IF(OR(H95="",I95=""),"Aguardando placar",IF(AND(K95="Sim",H95=I95,L95=""),"Falta quem passou","Resultado lançado"))</x:f>
        <x:v>Aguardando placar</x:v>
      </x:c>
      <x:c r="O95" s="21" t="str">
        <x:v>Vencedor M76 x Vencedor M78</x:v>
      </x:c>
    </x:row>
    <x:row r="96">
      <x:c r="A96" s="21" t="str">
        <x:v>R16_04</x:v>
      </x:c>
      <x:c r="B96" s="21" t="n">
        <x:v>92</x:v>
      </x:c>
      <x:c r="C96" s="21" t="str">
        <x:v>2026-07-05</x:v>
      </x:c>
      <x:c r="D96" s="21" t="str">
        <x:v>21:00</x:v>
      </x:c>
      <x:c r="E96" s="21" t="str">
        <x:v>Oitavas de final</x:v>
      </x:c>
      <x:c r="F96" s="21" t="str"/>
      <x:c r="G96" s="21" t="str">
        <x:v>Vencedor M79</x:v>
      </x:c>
      <x:c r="H96" s="22"/>
      <x:c r="I96" s="22"/>
      <x:c r="J96" s="21" t="str">
        <x:v>Vencedor M80</x:v>
      </x:c>
      <x:c r="K96" s="21" t="str">
        <x:v>Sim</x:v>
      </x:c>
      <x:c r="L96" s="23"/>
      <x:c r="M96" s="21" t="str">
        <x:f>IF(OR(H96="",I96=""),"",IF(H96&gt;I96,G96,IF(H96&lt;I96,J96,IF(K96="Sim",IF(L96="","Definir quem passou",L96),"Empate"))))</x:f>
      </x:c>
      <x:c r="N96" s="21" t="str">
        <x:f>IF(OR(H96="",I96=""),"Aguardando placar",IF(AND(K96="Sim",H96=I96,L96=""),"Falta quem passou","Resultado lançado"))</x:f>
        <x:v>Aguardando placar</x:v>
      </x:c>
      <x:c r="O96" s="21" t="str">
        <x:v>Vencedor M79 x Vencedor M80</x:v>
      </x:c>
    </x:row>
    <x:row r="97">
      <x:c r="A97" s="21" t="str">
        <x:v>R16_05</x:v>
      </x:c>
      <x:c r="B97" s="21" t="n">
        <x:v>93</x:v>
      </x:c>
      <x:c r="C97" s="21" t="str">
        <x:v>2026-07-06</x:v>
      </x:c>
      <x:c r="D97" s="21" t="str">
        <x:v>16:00</x:v>
      </x:c>
      <x:c r="E97" s="21" t="str">
        <x:v>Oitavas de final</x:v>
      </x:c>
      <x:c r="F97" s="21" t="str"/>
      <x:c r="G97" s="21" t="str">
        <x:v>Vencedor M83</x:v>
      </x:c>
      <x:c r="H97" s="22"/>
      <x:c r="I97" s="22"/>
      <x:c r="J97" s="21" t="str">
        <x:v>Vencedor M84</x:v>
      </x:c>
      <x:c r="K97" s="21" t="str">
        <x:v>Sim</x:v>
      </x:c>
      <x:c r="L97" s="23"/>
      <x:c r="M97" s="21" t="str">
        <x:f>IF(OR(H97="",I97=""),"",IF(H97&gt;I97,G97,IF(H97&lt;I97,J97,IF(K97="Sim",IF(L97="","Definir quem passou",L97),"Empate"))))</x:f>
      </x:c>
      <x:c r="N97" s="21" t="str">
        <x:f>IF(OR(H97="",I97=""),"Aguardando placar",IF(AND(K97="Sim",H97=I97,L97=""),"Falta quem passou","Resultado lançado"))</x:f>
        <x:v>Aguardando placar</x:v>
      </x:c>
      <x:c r="O97" s="21" t="str">
        <x:v>Vencedor M83 x Vencedor M84</x:v>
      </x:c>
    </x:row>
    <x:row r="98">
      <x:c r="A98" s="21" t="str">
        <x:v>R16_06</x:v>
      </x:c>
      <x:c r="B98" s="21" t="n">
        <x:v>94</x:v>
      </x:c>
      <x:c r="C98" s="21" t="str">
        <x:v>2026-07-06</x:v>
      </x:c>
      <x:c r="D98" s="21" t="str">
        <x:v>21:00</x:v>
      </x:c>
      <x:c r="E98" s="21" t="str">
        <x:v>Oitavas de final</x:v>
      </x:c>
      <x:c r="F98" s="21" t="str"/>
      <x:c r="G98" s="21" t="str">
        <x:v>Vencedor M81</x:v>
      </x:c>
      <x:c r="H98" s="22"/>
      <x:c r="I98" s="22"/>
      <x:c r="J98" s="21" t="str">
        <x:v>Vencedor M82</x:v>
      </x:c>
      <x:c r="K98" s="21" t="str">
        <x:v>Sim</x:v>
      </x:c>
      <x:c r="L98" s="23"/>
      <x:c r="M98" s="21" t="str">
        <x:f>IF(OR(H98="",I98=""),"",IF(H98&gt;I98,G98,IF(H98&lt;I98,J98,IF(K98="Sim",IF(L98="","Definir quem passou",L98),"Empate"))))</x:f>
      </x:c>
      <x:c r="N98" s="21" t="str">
        <x:f>IF(OR(H98="",I98=""),"Aguardando placar",IF(AND(K98="Sim",H98=I98,L98=""),"Falta quem passou","Resultado lançado"))</x:f>
        <x:v>Aguardando placar</x:v>
      </x:c>
      <x:c r="O98" s="21" t="str">
        <x:v>Vencedor M81 x Vencedor M82</x:v>
      </x:c>
    </x:row>
    <x:row r="99">
      <x:c r="A99" s="21" t="str">
        <x:v>R16_07</x:v>
      </x:c>
      <x:c r="B99" s="21" t="n">
        <x:v>95</x:v>
      </x:c>
      <x:c r="C99" s="21" t="str">
        <x:v>2026-07-07</x:v>
      </x:c>
      <x:c r="D99" s="21" t="str">
        <x:v>13:00</x:v>
      </x:c>
      <x:c r="E99" s="21" t="str">
        <x:v>Oitavas de final</x:v>
      </x:c>
      <x:c r="F99" s="21" t="str"/>
      <x:c r="G99" s="21" t="str">
        <x:v>Vencedor M86</x:v>
      </x:c>
      <x:c r="H99" s="22"/>
      <x:c r="I99" s="22"/>
      <x:c r="J99" s="21" t="str">
        <x:v>Vencedor M88</x:v>
      </x:c>
      <x:c r="K99" s="21" t="str">
        <x:v>Sim</x:v>
      </x:c>
      <x:c r="L99" s="23"/>
      <x:c r="M99" s="21" t="str">
        <x:f>IF(OR(H99="",I99=""),"",IF(H99&gt;I99,G99,IF(H99&lt;I99,J99,IF(K99="Sim",IF(L99="","Definir quem passou",L99),"Empate"))))</x:f>
      </x:c>
      <x:c r="N99" s="21" t="str">
        <x:f>IF(OR(H99="",I99=""),"Aguardando placar",IF(AND(K99="Sim",H99=I99,L99=""),"Falta quem passou","Resultado lançado"))</x:f>
        <x:v>Aguardando placar</x:v>
      </x:c>
      <x:c r="O99" s="21" t="str">
        <x:v>Vencedor M86 x Vencedor M88</x:v>
      </x:c>
    </x:row>
    <x:row r="100">
      <x:c r="A100" s="21" t="str">
        <x:v>R16_08</x:v>
      </x:c>
      <x:c r="B100" s="21" t="n">
        <x:v>96</x:v>
      </x:c>
      <x:c r="C100" s="21" t="str">
        <x:v>2026-07-07</x:v>
      </x:c>
      <x:c r="D100" s="21" t="str">
        <x:v>17:00</x:v>
      </x:c>
      <x:c r="E100" s="21" t="str">
        <x:v>Oitavas de final</x:v>
      </x:c>
      <x:c r="F100" s="21" t="str"/>
      <x:c r="G100" s="21" t="str">
        <x:v>Vencedor M85</x:v>
      </x:c>
      <x:c r="H100" s="22"/>
      <x:c r="I100" s="22"/>
      <x:c r="J100" s="21" t="str">
        <x:v>Vencedor M87</x:v>
      </x:c>
      <x:c r="K100" s="21" t="str">
        <x:v>Sim</x:v>
      </x:c>
      <x:c r="L100" s="23"/>
      <x:c r="M100" s="21" t="str">
        <x:f>IF(OR(H100="",I100=""),"",IF(H100&gt;I100,G100,IF(H100&lt;I100,J100,IF(K100="Sim",IF(L100="","Definir quem passou",L100),"Empate"))))</x:f>
      </x:c>
      <x:c r="N100" s="21" t="str">
        <x:f>IF(OR(H100="",I100=""),"Aguardando placar",IF(AND(K100="Sim",H100=I100,L100=""),"Falta quem passou","Resultado lançado"))</x:f>
        <x:v>Aguardando placar</x:v>
      </x:c>
      <x:c r="O100" s="21" t="str">
        <x:v>Vencedor M85 x Vencedor M87</x:v>
      </x:c>
    </x:row>
    <x:row r="101">
      <x:c r="A101" s="21" t="str">
        <x:v>QF_01</x:v>
      </x:c>
      <x:c r="B101" s="21" t="n">
        <x:v>97</x:v>
      </x:c>
      <x:c r="C101" s="21" t="str">
        <x:v>2026-07-09</x:v>
      </x:c>
      <x:c r="D101" s="21" t="str">
        <x:v>17:00</x:v>
      </x:c>
      <x:c r="E101" s="21" t="str">
        <x:v>Quartas de final</x:v>
      </x:c>
      <x:c r="F101" s="21" t="str"/>
      <x:c r="G101" s="21" t="str">
        <x:v>Vencedor M89</x:v>
      </x:c>
      <x:c r="H101" s="22"/>
      <x:c r="I101" s="22"/>
      <x:c r="J101" s="21" t="str">
        <x:v>Vencedor M90</x:v>
      </x:c>
      <x:c r="K101" s="21" t="str">
        <x:v>Sim</x:v>
      </x:c>
      <x:c r="L101" s="23"/>
      <x:c r="M101" s="21" t="str">
        <x:f>IF(OR(H101="",I101=""),"",IF(H101&gt;I101,G101,IF(H101&lt;I101,J101,IF(K101="Sim",IF(L101="","Definir quem passou",L101),"Empate"))))</x:f>
      </x:c>
      <x:c r="N101" s="21" t="str">
        <x:f>IF(OR(H101="",I101=""),"Aguardando placar",IF(AND(K101="Sim",H101=I101,L101=""),"Falta quem passou","Resultado lançado"))</x:f>
        <x:v>Aguardando placar</x:v>
      </x:c>
      <x:c r="O101" s="21" t="str">
        <x:v>Vencedor M89 x Vencedor M90</x:v>
      </x:c>
    </x:row>
    <x:row r="102">
      <x:c r="A102" s="21" t="str">
        <x:v>QF_02</x:v>
      </x:c>
      <x:c r="B102" s="21" t="n">
        <x:v>98</x:v>
      </x:c>
      <x:c r="C102" s="21" t="str">
        <x:v>2026-07-10</x:v>
      </x:c>
      <x:c r="D102" s="21" t="str">
        <x:v>16:00</x:v>
      </x:c>
      <x:c r="E102" s="21" t="str">
        <x:v>Quartas de final</x:v>
      </x:c>
      <x:c r="F102" s="21" t="str"/>
      <x:c r="G102" s="21" t="str">
        <x:v>Vencedor M93</x:v>
      </x:c>
      <x:c r="H102" s="22"/>
      <x:c r="I102" s="22"/>
      <x:c r="J102" s="21" t="str">
        <x:v>Vencedor M94</x:v>
      </x:c>
      <x:c r="K102" s="21" t="str">
        <x:v>Sim</x:v>
      </x:c>
      <x:c r="L102" s="23"/>
      <x:c r="M102" s="21" t="str">
        <x:f>IF(OR(H102="",I102=""),"",IF(H102&gt;I102,G102,IF(H102&lt;I102,J102,IF(K102="Sim",IF(L102="","Definir quem passou",L102),"Empate"))))</x:f>
      </x:c>
      <x:c r="N102" s="21" t="str">
        <x:f>IF(OR(H102="",I102=""),"Aguardando placar",IF(AND(K102="Sim",H102=I102,L102=""),"Falta quem passou","Resultado lançado"))</x:f>
        <x:v>Aguardando placar</x:v>
      </x:c>
      <x:c r="O102" s="21" t="str">
        <x:v>Vencedor M93 x Vencedor M94</x:v>
      </x:c>
    </x:row>
    <x:row r="103">
      <x:c r="A103" s="21" t="str">
        <x:v>QF_03</x:v>
      </x:c>
      <x:c r="B103" s="21" t="n">
        <x:v>99</x:v>
      </x:c>
      <x:c r="C103" s="21" t="str">
        <x:v>2026-07-11</x:v>
      </x:c>
      <x:c r="D103" s="21" t="str">
        <x:v>18:00</x:v>
      </x:c>
      <x:c r="E103" s="21" t="str">
        <x:v>Quartas de final</x:v>
      </x:c>
      <x:c r="F103" s="21" t="str"/>
      <x:c r="G103" s="21" t="str">
        <x:v>Vencedor M91</x:v>
      </x:c>
      <x:c r="H103" s="22"/>
      <x:c r="I103" s="22"/>
      <x:c r="J103" s="21" t="str">
        <x:v>Vencedor M92</x:v>
      </x:c>
      <x:c r="K103" s="21" t="str">
        <x:v>Sim</x:v>
      </x:c>
      <x:c r="L103" s="23"/>
      <x:c r="M103" s="21" t="str">
        <x:f>IF(OR(H103="",I103=""),"",IF(H103&gt;I103,G103,IF(H103&lt;I103,J103,IF(K103="Sim",IF(L103="","Definir quem passou",L103),"Empate"))))</x:f>
      </x:c>
      <x:c r="N103" s="21" t="str">
        <x:f>IF(OR(H103="",I103=""),"Aguardando placar",IF(AND(K103="Sim",H103=I103,L103=""),"Falta quem passou","Resultado lançado"))</x:f>
        <x:v>Aguardando placar</x:v>
      </x:c>
      <x:c r="O103" s="21" t="str">
        <x:v>Vencedor M91 x Vencedor M92</x:v>
      </x:c>
    </x:row>
    <x:row r="104">
      <x:c r="A104" s="21" t="str">
        <x:v>QF_04</x:v>
      </x:c>
      <x:c r="B104" s="21" t="n">
        <x:v>100</x:v>
      </x:c>
      <x:c r="C104" s="21" t="str">
        <x:v>2026-07-11</x:v>
      </x:c>
      <x:c r="D104" s="21" t="str">
        <x:v>22:00</x:v>
      </x:c>
      <x:c r="E104" s="21" t="str">
        <x:v>Quartas de final</x:v>
      </x:c>
      <x:c r="F104" s="21" t="str"/>
      <x:c r="G104" s="21" t="str">
        <x:v>Vencedor M95</x:v>
      </x:c>
      <x:c r="H104" s="22"/>
      <x:c r="I104" s="22"/>
      <x:c r="J104" s="21" t="str">
        <x:v>Vencedor M96</x:v>
      </x:c>
      <x:c r="K104" s="21" t="str">
        <x:v>Sim</x:v>
      </x:c>
      <x:c r="L104" s="23"/>
      <x:c r="M104" s="21" t="str">
        <x:f>IF(OR(H104="",I104=""),"",IF(H104&gt;I104,G104,IF(H104&lt;I104,J104,IF(K104="Sim",IF(L104="","Definir quem passou",L104),"Empate"))))</x:f>
      </x:c>
      <x:c r="N104" s="21" t="str">
        <x:f>IF(OR(H104="",I104=""),"Aguardando placar",IF(AND(K104="Sim",H104=I104,L104=""),"Falta quem passou","Resultado lançado"))</x:f>
        <x:v>Aguardando placar</x:v>
      </x:c>
      <x:c r="O104" s="21" t="str">
        <x:v>Vencedor M95 x Vencedor M96</x:v>
      </x:c>
    </x:row>
    <x:row r="105">
      <x:c r="A105" s="21" t="str">
        <x:v>SF_01</x:v>
      </x:c>
      <x:c r="B105" s="21" t="n">
        <x:v>101</x:v>
      </x:c>
      <x:c r="C105" s="21" t="str">
        <x:v>2026-07-14</x:v>
      </x:c>
      <x:c r="D105" s="21" t="str">
        <x:v>16:00</x:v>
      </x:c>
      <x:c r="E105" s="21" t="str">
        <x:v>Semifinais</x:v>
      </x:c>
      <x:c r="F105" s="21" t="str"/>
      <x:c r="G105" s="21" t="str">
        <x:v>Vencedor M97</x:v>
      </x:c>
      <x:c r="H105" s="22"/>
      <x:c r="I105" s="22"/>
      <x:c r="J105" s="21" t="str">
        <x:v>Vencedor M98</x:v>
      </x:c>
      <x:c r="K105" s="21" t="str">
        <x:v>Sim</x:v>
      </x:c>
      <x:c r="L105" s="23"/>
      <x:c r="M105" s="21" t="str">
        <x:f>IF(OR(H105="",I105=""),"",IF(H105&gt;I105,G105,IF(H105&lt;I105,J105,IF(K105="Sim",IF(L105="","Definir quem passou",L105),"Empate"))))</x:f>
      </x:c>
      <x:c r="N105" s="21" t="str">
        <x:f>IF(OR(H105="",I105=""),"Aguardando placar",IF(AND(K105="Sim",H105=I105,L105=""),"Falta quem passou","Resultado lançado"))</x:f>
        <x:v>Aguardando placar</x:v>
      </x:c>
      <x:c r="O105" s="21" t="str">
        <x:v>Vencedor M97 x Vencedor M98</x:v>
      </x:c>
    </x:row>
    <x:row r="106">
      <x:c r="A106" s="21" t="str">
        <x:v>SF_02</x:v>
      </x:c>
      <x:c r="B106" s="21" t="n">
        <x:v>102</x:v>
      </x:c>
      <x:c r="C106" s="21" t="str">
        <x:v>2026-07-15</x:v>
      </x:c>
      <x:c r="D106" s="21" t="str">
        <x:v>16:00</x:v>
      </x:c>
      <x:c r="E106" s="21" t="str">
        <x:v>Semifinais</x:v>
      </x:c>
      <x:c r="F106" s="21" t="str"/>
      <x:c r="G106" s="21" t="str">
        <x:v>Vencedor M99</x:v>
      </x:c>
      <x:c r="H106" s="22"/>
      <x:c r="I106" s="22"/>
      <x:c r="J106" s="21" t="str">
        <x:v>Vencedor M100</x:v>
      </x:c>
      <x:c r="K106" s="21" t="str">
        <x:v>Sim</x:v>
      </x:c>
      <x:c r="L106" s="23"/>
      <x:c r="M106" s="21" t="str">
        <x:f>IF(OR(H106="",I106=""),"",IF(H106&gt;I106,G106,IF(H106&lt;I106,J106,IF(K106="Sim",IF(L106="","Definir quem passou",L106),"Empate"))))</x:f>
      </x:c>
      <x:c r="N106" s="21" t="str">
        <x:f>IF(OR(H106="",I106=""),"Aguardando placar",IF(AND(K106="Sim",H106=I106,L106=""),"Falta quem passou","Resultado lançado"))</x:f>
        <x:v>Aguardando placar</x:v>
      </x:c>
      <x:c r="O106" s="21" t="str">
        <x:v>Vencedor M99 x Vencedor M100</x:v>
      </x:c>
    </x:row>
    <x:row r="107">
      <x:c r="A107" s="21" t="str">
        <x:v>P3</x:v>
      </x:c>
      <x:c r="B107" s="21" t="n">
        <x:v>103</x:v>
      </x:c>
      <x:c r="C107" s="21" t="str">
        <x:v>2026-07-18</x:v>
      </x:c>
      <x:c r="D107" s="21" t="str">
        <x:v>18:00</x:v>
      </x:c>
      <x:c r="E107" s="21" t="str">
        <x:v>Disputa de 3º lugar</x:v>
      </x:c>
      <x:c r="F107" s="21" t="str"/>
      <x:c r="G107" s="21" t="str">
        <x:v>Perdedor M101</x:v>
      </x:c>
      <x:c r="H107" s="22"/>
      <x:c r="I107" s="22"/>
      <x:c r="J107" s="21" t="str">
        <x:v>Perdedor M102</x:v>
      </x:c>
      <x:c r="K107" s="21" t="str">
        <x:v>Sim</x:v>
      </x:c>
      <x:c r="L107" s="23"/>
      <x:c r="M107" s="21" t="str">
        <x:f>IF(OR(H107="",I107=""),"",IF(H107&gt;I107,G107,IF(H107&lt;I107,J107,IF(K107="Sim",IF(L107="","Definir quem passou",L107),"Empate"))))</x:f>
      </x:c>
      <x:c r="N107" s="21" t="str">
        <x:f>IF(OR(H107="",I107=""),"Aguardando placar",IF(AND(K107="Sim",H107=I107,L107=""),"Falta quem passou","Resultado lançado"))</x:f>
        <x:v>Aguardando placar</x:v>
      </x:c>
      <x:c r="O107" s="21" t="str">
        <x:v>Perdedor M101 x Perdedor M102</x:v>
      </x:c>
    </x:row>
    <x:row r="108">
      <x:c r="A108" s="21" t="str">
        <x:v>FINAL</x:v>
      </x:c>
      <x:c r="B108" s="21" t="n">
        <x:v>104</x:v>
      </x:c>
      <x:c r="C108" s="21" t="str">
        <x:v>2026-07-19</x:v>
      </x:c>
      <x:c r="D108" s="21" t="str">
        <x:v>16:00</x:v>
      </x:c>
      <x:c r="E108" s="21" t="str">
        <x:v>Final</x:v>
      </x:c>
      <x:c r="F108" s="21" t="str"/>
      <x:c r="G108" s="21" t="str">
        <x:v>Vencedor M101</x:v>
      </x:c>
      <x:c r="H108" s="22"/>
      <x:c r="I108" s="22"/>
      <x:c r="J108" s="21" t="str">
        <x:v>Vencedor M102</x:v>
      </x:c>
      <x:c r="K108" s="21" t="str">
        <x:v>Sim</x:v>
      </x:c>
      <x:c r="L108" s="23"/>
      <x:c r="M108" s="21" t="str">
        <x:f>IF(OR(H108="",I108=""),"",IF(H108&gt;I108,G108,IF(H108&lt;I108,J108,IF(K108="Sim",IF(L108="","Definir quem passou",L108),"Empate"))))</x:f>
      </x:c>
      <x:c r="N108" s="21" t="str">
        <x:f>IF(OR(H108="",I108=""),"Aguardando placar",IF(AND(K108="Sim",H108=I108,L108=""),"Falta quem passou","Resultado lançado"))</x:f>
        <x:v>Aguardando placar</x:v>
      </x:c>
      <x:c r="O108" s="21" t="str">
        <x:v>Vencedor M101 x Vencedor M102</x:v>
      </x:c>
    </x:row>
  </x:sheetData>
  <x:mergeCells>
    <x:mergeCell ref="A1:O1"/>
    <x:mergeCell ref="A2:J2"/>
  </x:mergeCells>
  <x:conditionalFormatting sqref="N5:N108">
    <x:cfRule type="containsText" dxfId="0" priority="1" operator="containsText" text="lançado"/>
    <x:cfRule type="containsText" dxfId="1" priority="2" operator="containsText" text="Falta"/>
    <x:cfRule type="containsText" dxfId="2" priority="3" operator="containsText" text="Invertida"/>
    <x:cfRule type="containsText" dxfId="3" priority="4" operator="containsText" text="Cravada"/>
  </x:conditionalFormatting>
  <x:dataValidations count="2">
    <x:dataValidation type="whole" operator="between" sqref="H5:I108">
      <x:formula1>0</x:formula1>
      <x:formula2>30</x:formula2>
    </x:dataValidation>
    <x:dataValidation type="list" sqref="L5:L108">
      <x:formula1>Config!$J$10:$J$57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d60e67038e43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8.4399995803833" hidden="0" customWidth="1"/>
    <x:col min="3" max="3" width="7.559999942779541" hidden="0" customWidth="1"/>
    <x:col min="4" max="4" width="15.779999732971191" hidden="0" customWidth="1"/>
    <x:col min="5" max="5" width="10.4399995803833" hidden="0" customWidth="1"/>
    <x:col min="6" max="6" width="17.780000686645508" hidden="0" customWidth="1"/>
    <x:col min="7" max="7" width="17.780000686645508" hidden="0" customWidth="1"/>
    <x:col min="8" max="8" width="8.4399995803833" hidden="0" customWidth="1"/>
    <x:col min="9" max="9" width="8" hidden="0" customWidth="1"/>
    <x:col min="10" max="10" width="8" hidden="0" customWidth="1"/>
    <x:col min="11" max="11" width="18.889999389648438" hidden="0" customWidth="1"/>
    <x:col min="12" max="12" width="6.670000076293945" hidden="0" customWidth="1"/>
    <x:col min="13" max="13" width="6.670000076293945" hidden="0" customWidth="1"/>
    <x:col min="14" max="14" width="17.780000686645508" hidden="0" customWidth="1"/>
    <x:col min="15" max="15" width="7.110000133514404" hidden="0" customWidth="1"/>
    <x:col min="16" max="16" width="8.890000343322754" hidden="0" customWidth="1"/>
    <x:col min="17" max="17" width="7.110000133514404" hidden="0" customWidth="1"/>
    <x:col min="18" max="18" width="16" hidden="0" customWidth="1"/>
    <x:col min="19" max="19" width="7.78000020980835" hidden="0" customWidth="1"/>
    <x:col min="20" max="20" width="7.78000020980835" hidden="0" customWidth="1"/>
    <x:col min="21" max="21" width="7.78000020980835" hidden="0" customWidth="1"/>
    <x:col min="22" max="22" width="8.220000267028809" hidden="0" customWidth="1"/>
  </x:cols>
  <x:sheetData>
    <x:row r="1" ht="28.5" customHeight="1">
      <x:c r="A1" s="55" t="str">
        <x:v>Conferência dos palpites</x:v>
      </x:c>
      <x:c r="B1" s="55" t="str">
        <x:v>Conferência dos palpites</x:v>
      </x:c>
      <x:c r="C1" s="55" t="str">
        <x:v>Conferência dos palpites</x:v>
      </x:c>
      <x:c r="D1" s="55" t="str">
        <x:v>Conferência dos palpites</x:v>
      </x:c>
      <x:c r="E1" s="55" t="str">
        <x:v>Conferência dos palpites</x:v>
      </x:c>
      <x:c r="F1" s="55" t="str">
        <x:v>Conferência dos palpites</x:v>
      </x:c>
      <x:c r="G1" s="55" t="str">
        <x:v>Conferência dos palpites</x:v>
      </x:c>
      <x:c r="H1" s="55" t="str">
        <x:v>Conferência dos palpites</x:v>
      </x:c>
      <x:c r="I1" s="55" t="str">
        <x:v>Conferência dos palpites</x:v>
      </x:c>
      <x:c r="J1" s="55" t="str">
        <x:v>Conferência dos palpites</x:v>
      </x:c>
      <x:c r="K1" s="55" t="str">
        <x:v>Conferência dos palpites</x:v>
      </x:c>
      <x:c r="L1" s="55" t="str">
        <x:v>Conferência dos palpites</x:v>
      </x:c>
      <x:c r="M1" s="55" t="str">
        <x:v>Conferência dos palpites</x:v>
      </x:c>
      <x:c r="N1" s="55" t="str">
        <x:v>Conferência dos palpites</x:v>
      </x:c>
      <x:c r="O1" s="55" t="str">
        <x:v>Conferência dos palpites</x:v>
      </x:c>
      <x:c r="P1" s="55" t="str">
        <x:v>Conferência dos palpites</x:v>
      </x:c>
      <x:c r="Q1" s="55" t="str">
        <x:v>Conferência dos palpites</x:v>
      </x:c>
      <x:c r="R1" s="55" t="str">
        <x:v>Conferência dos palpites</x:v>
      </x:c>
      <x:c r="S1" s="55" t="str">
        <x:v>Conferência dos palpites</x:v>
      </x:c>
      <x:c r="T1" s="55" t="str">
        <x:v>Conferência dos palpites</x:v>
      </x:c>
      <x:c r="U1" s="55" t="str">
        <x:v>Conferência dos palpites</x:v>
      </x:c>
      <x:c r="V1" s="55" t="str">
        <x:v>Conferência dos palpites</x:v>
      </x:c>
    </x:row>
    <x:row r="2" ht="22.5" customHeight="1">
      <x:c r="A2" s="57" t="str">
        <x:v>Preencha os placares de cada participante nas colunas amarelas. A pontuação calcula automaticamente com as regras do bolão.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</x:row>
    <x:row r="4">
      <x:c r="A4" s="13" t="str">
        <x:v>Participante</x:v>
      </x:c>
      <x:c r="B4" s="13" t="str">
        <x:v>ID</x:v>
      </x:c>
      <x:c r="C4" s="13" t="str">
        <x:v>Jogo nº</x:v>
      </x:c>
      <x:c r="D4" s="13" t="str">
        <x:v>Fase</x:v>
      </x:c>
      <x:c r="E4" s="13" t="str">
        <x:v>Data</x:v>
      </x:c>
      <x:c r="F4" s="13" t="str">
        <x:v>Time 1</x:v>
      </x:c>
      <x:c r="G4" s="13" t="str">
        <x:v>Time 2</x:v>
      </x:c>
      <x:c r="H4" s="13" t="str">
        <x:v>Mata-mata</x:v>
      </x:c>
      <x:c r="I4" s="13" t="str">
        <x:v>Palpite 1</x:v>
      </x:c>
      <x:c r="J4" s="13" t="str">
        <x:v>Palpite 2</x:v>
      </x:c>
      <x:c r="K4" s="13" t="str">
        <x:v>Quem passa no palpite</x:v>
      </x:c>
      <x:c r="L4" s="13" t="str">
        <x:v>Real 1</x:v>
      </x:c>
      <x:c r="M4" s="13" t="str">
        <x:v>Real 2</x:v>
      </x:c>
      <x:c r="N4" s="13" t="str">
        <x:v>Quem passou real</x:v>
      </x:c>
      <x:c r="O4" s="13" t="str">
        <x:v>Base</x:v>
      </x:c>
      <x:c r="P4" s="13" t="str">
        <x:v>Bônus passa</x:v>
      </x:c>
      <x:c r="Q4" s="13" t="str">
        <x:v>Pontos</x:v>
      </x:c>
      <x:c r="R4" s="13" t="str">
        <x:v>Status</x:v>
      </x:c>
      <x:c r="S4" s="13" t="str">
        <x:v>Cravada</x:v>
      </x:c>
      <x:c r="T4" s="13" t="str">
        <x:v>Invertida</x:v>
      </x:c>
      <x:c r="U4" s="13" t="str">
        <x:v>Acerto</x:v>
      </x:c>
      <x:c r="V4" s="13" t="str">
        <x:v>Preenchido</x:v>
      </x:c>
    </x:row>
    <x:row r="5">
      <x:c r="A5" s="21" t="str">
        <x:f>INDEX(Config!$B$10:$B$16,INT((ROW()-5)/104)+1)</x:f>
        <x:v>Leo B.</x:v>
      </x:c>
      <x:c r="B5" s="21" t="str">
        <x:v>GA1</x:v>
      </x:c>
      <x:c r="C5" s="21" t="n">
        <x:v>1</x:v>
      </x:c>
      <x:c r="D5" s="21" t="str">
        <x:v>Grupo A</x:v>
      </x:c>
      <x:c r="E5" s="21" t="str">
        <x:v>2026-06-11</x:v>
      </x:c>
      <x:c r="F5" s="21" t="str">
        <x:f>IFERROR(INDEX('Resultados'!$G$5:$G$108,MATCH($B5,'Resultados'!$A$5:$A$108,0)),"")</x:f>
        <x:v>México</x:v>
      </x:c>
      <x:c r="G5" s="21" t="str">
        <x:f>IFERROR(INDEX('Resultados'!$J$5:$J$108,MATCH($B5,'Resultados'!$A$5:$A$108,0)),"")</x:f>
        <x:v>África do Sul</x:v>
      </x:c>
      <x:c r="H5" s="21" t="str">
        <x:v>Não</x:v>
      </x:c>
      <x:c r="I5" s="22"/>
      <x:c r="J5" s="22"/>
      <x:c r="K5" s="23"/>
      <x:c r="L5" s="21" t="str">
        <x:f>IFERROR(INDEX('Resultados'!$H$5:$H$108,MATCH($B5,'Resultados'!$A$5:$A$108,0)),"")</x:f>
      </x:c>
      <x:c r="M5" s="21" t="str">
        <x:f>IFERROR(INDEX('Resultados'!$I$5:$I$108,MATCH($B5,'Resultados'!$A$5:$A$108,0)),"")</x:f>
      </x:c>
      <x:c r="N5" s="21" t="str">
        <x:f>IFERROR(INDEX('Resultados'!$L$5:$L$108,MATCH($B5,'Resultados'!$A$5:$A$108,0)),"")</x:f>
      </x:c>
      <x:c r="O5" s="59" t="str">
        <x:f>IF(OR($I5="",$J5="",$L5="",$M5=""),"",IF(AND($H5="Sim",$L5=$M5),IF($I5&lt;&gt;$J5,0,IF(AND($I5=$L5,$J5=$M5),2,1)),IF(AND($I5=$L5,$J5=$M5),3,IF(AND($I5&lt;&gt;$J5,$I5=$M5,$J5=$L5),-2,IF(SIGN($I5-$J5)=SIGN($L5-$M5),1,0)))))</x:f>
      </x:c>
      <x:c r="P5" s="59" t="str">
        <x:f>IF(OR($H5&lt;&gt;"Sim",$I5="",$J5="",$L5="",$M5=""),"",IF(AND(IF($I5&gt;$J5,$F5,IF($I5&lt;$J5,$G5,$K5))&lt;&gt;"",IF($L5&gt;$M5,$F5,IF($L5&lt;$M5,$G5,$N5))&lt;&gt;"",IF($I5&gt;$J5,$F5,IF($I5&lt;$J5,$G5,$K5))=IF($L5&gt;$M5,$F5,IF($L5&lt;$M5,$G5,$N5))),1,0))</x:f>
      </x:c>
      <x:c r="Q5" s="59" t="str">
        <x:f>IF($O5="","",$O5+$P5)</x:f>
      </x:c>
      <x:c r="R5" s="59" t="str">
        <x:f>IF($Q5="","",IF($O5=3,"Cravada",IF(AND($H5="Sim",$L5=$M5,$I5=$J5,$O5=2),"Empate cravado",IF($O5=1,"Resultado certo",IF($O5=-2,"Invertida",IF($P5=1,"Acertou quem passa","Erro"))))))</x:f>
      </x:c>
      <x:c r="S5" s="59" t="str">
        <x:f>IF($O5="","",--(OR($O5=3,AND($H5="Sim",$L5=$M5,$I5=$J5,$O5=2))))</x:f>
      </x:c>
      <x:c r="T5" s="59" t="str">
        <x:f>IF($O5="","",--($O5=-2))</x:f>
      </x:c>
      <x:c r="U5" s="59" t="str">
        <x:f>IF($O5="","",--($O5=1))</x:f>
      </x:c>
      <x:c r="V5" s="59" t="n">
        <x:f>--(AND($I5&lt;&gt;"",$J5&lt;&gt;""))</x:f>
        <x:v>0</x:v>
      </x:c>
    </x:row>
    <x:row r="6">
      <x:c r="A6" s="21" t="str">
        <x:f>INDEX(Config!$B$10:$B$16,INT((ROW()-5)/104)+1)</x:f>
        <x:v>Leo B.</x:v>
      </x:c>
      <x:c r="B6" s="21" t="str">
        <x:v>GA2</x:v>
      </x:c>
      <x:c r="C6" s="21" t="n">
        <x:v>2</x:v>
      </x:c>
      <x:c r="D6" s="21" t="str">
        <x:v>Grupo A</x:v>
      </x:c>
      <x:c r="E6" s="21" t="str">
        <x:v>2026-06-11</x:v>
      </x:c>
      <x:c r="F6" s="21" t="str">
        <x:f>IFERROR(INDEX('Resultados'!$G$5:$G$108,MATCH($B6,'Resultados'!$A$5:$A$108,0)),"")</x:f>
        <x:v>Coreia do Sul</x:v>
      </x:c>
      <x:c r="G6" s="21" t="str">
        <x:f>IFERROR(INDEX('Resultados'!$J$5:$J$108,MATCH($B6,'Resultados'!$A$5:$A$108,0)),"")</x:f>
        <x:v>Rep. Tcheca</x:v>
      </x:c>
      <x:c r="H6" s="21" t="str">
        <x:v>Não</x:v>
      </x:c>
      <x:c r="I6" s="22"/>
      <x:c r="J6" s="22"/>
      <x:c r="K6" s="23"/>
      <x:c r="L6" s="21" t="str">
        <x:f>IFERROR(INDEX('Resultados'!$H$5:$H$108,MATCH($B6,'Resultados'!$A$5:$A$108,0)),"")</x:f>
      </x:c>
      <x:c r="M6" s="21" t="str">
        <x:f>IFERROR(INDEX('Resultados'!$I$5:$I$108,MATCH($B6,'Resultados'!$A$5:$A$108,0)),"")</x:f>
      </x:c>
      <x:c r="N6" s="21" t="str">
        <x:f>IFERROR(INDEX('Resultados'!$L$5:$L$108,MATCH($B6,'Resultados'!$A$5:$A$108,0)),"")</x:f>
      </x:c>
      <x:c r="O6" s="59" t="str">
        <x:f>IF(OR($I6="",$J6="",$L6="",$M6=""),"",IF(AND($H6="Sim",$L6=$M6),IF($I6&lt;&gt;$J6,0,IF(AND($I6=$L6,$J6=$M6),2,1)),IF(AND($I6=$L6,$J6=$M6),3,IF(AND($I6&lt;&gt;$J6,$I6=$M6,$J6=$L6),-2,IF(SIGN($I6-$J6)=SIGN($L6-$M6),1,0)))))</x:f>
      </x:c>
      <x:c r="P6" s="59" t="str">
        <x:f>IF(OR($H6&lt;&gt;"Sim",$I6="",$J6="",$L6="",$M6=""),"",IF(AND(IF($I6&gt;$J6,$F6,IF($I6&lt;$J6,$G6,$K6))&lt;&gt;"",IF($L6&gt;$M6,$F6,IF($L6&lt;$M6,$G6,$N6))&lt;&gt;"",IF($I6&gt;$J6,$F6,IF($I6&lt;$J6,$G6,$K6))=IF($L6&gt;$M6,$F6,IF($L6&lt;$M6,$G6,$N6))),1,0))</x:f>
      </x:c>
      <x:c r="Q6" s="59" t="str">
        <x:f>IF($O6="","",$O6+$P6)</x:f>
      </x:c>
      <x:c r="R6" s="59" t="str">
        <x:f>IF($Q6="","",IF($O6=3,"Cravada",IF(AND($H6="Sim",$L6=$M6,$I6=$J6,$O6=2),"Empate cravado",IF($O6=1,"Resultado certo",IF($O6=-2,"Invertida",IF($P6=1,"Acertou quem passa","Erro"))))))</x:f>
      </x:c>
      <x:c r="S6" s="59" t="str">
        <x:f>IF($O6="","",--(OR($O6=3,AND($H6="Sim",$L6=$M6,$I6=$J6,$O6=2))))</x:f>
      </x:c>
      <x:c r="T6" s="59" t="str">
        <x:f>IF($O6="","",--($O6=-2))</x:f>
      </x:c>
      <x:c r="U6" s="59" t="str">
        <x:f>IF($O6="","",--($O6=1))</x:f>
      </x:c>
      <x:c r="V6" s="59" t="n">
        <x:f>--(AND($I6&lt;&gt;"",$J6&lt;&gt;""))</x:f>
        <x:v>0</x:v>
      </x:c>
    </x:row>
    <x:row r="7">
      <x:c r="A7" s="21" t="str">
        <x:f>INDEX(Config!$B$10:$B$16,INT((ROW()-5)/104)+1)</x:f>
        <x:v>Leo B.</x:v>
      </x:c>
      <x:c r="B7" s="21" t="str">
        <x:v>GA3</x:v>
      </x:c>
      <x:c r="C7" s="21" t="n">
        <x:v>3</x:v>
      </x:c>
      <x:c r="D7" s="21" t="str">
        <x:v>Grupo A</x:v>
      </x:c>
      <x:c r="E7" s="21" t="str">
        <x:v>2026-06-18</x:v>
      </x:c>
      <x:c r="F7" s="21" t="str">
        <x:f>IFERROR(INDEX('Resultados'!$G$5:$G$108,MATCH($B7,'Resultados'!$A$5:$A$108,0)),"")</x:f>
        <x:v>México</x:v>
      </x:c>
      <x:c r="G7" s="21" t="str">
        <x:f>IFERROR(INDEX('Resultados'!$J$5:$J$108,MATCH($B7,'Resultados'!$A$5:$A$108,0)),"")</x:f>
        <x:v>Coreia do Sul</x:v>
      </x:c>
      <x:c r="H7" s="21" t="str">
        <x:v>Não</x:v>
      </x:c>
      <x:c r="I7" s="22"/>
      <x:c r="J7" s="22"/>
      <x:c r="K7" s="23"/>
      <x:c r="L7" s="21" t="str">
        <x:f>IFERROR(INDEX('Resultados'!$H$5:$H$108,MATCH($B7,'Resultados'!$A$5:$A$108,0)),"")</x:f>
      </x:c>
      <x:c r="M7" s="21" t="str">
        <x:f>IFERROR(INDEX('Resultados'!$I$5:$I$108,MATCH($B7,'Resultados'!$A$5:$A$108,0)),"")</x:f>
      </x:c>
      <x:c r="N7" s="21" t="str">
        <x:f>IFERROR(INDEX('Resultados'!$L$5:$L$108,MATCH($B7,'Resultados'!$A$5:$A$108,0)),"")</x:f>
      </x:c>
      <x:c r="O7" s="59" t="str">
        <x:f>IF(OR($I7="",$J7="",$L7="",$M7=""),"",IF(AND($H7="Sim",$L7=$M7),IF($I7&lt;&gt;$J7,0,IF(AND($I7=$L7,$J7=$M7),2,1)),IF(AND($I7=$L7,$J7=$M7),3,IF(AND($I7&lt;&gt;$J7,$I7=$M7,$J7=$L7),-2,IF(SIGN($I7-$J7)=SIGN($L7-$M7),1,0)))))</x:f>
      </x:c>
      <x:c r="P7" s="59" t="str">
        <x:f>IF(OR($H7&lt;&gt;"Sim",$I7="",$J7="",$L7="",$M7=""),"",IF(AND(IF($I7&gt;$J7,$F7,IF($I7&lt;$J7,$G7,$K7))&lt;&gt;"",IF($L7&gt;$M7,$F7,IF($L7&lt;$M7,$G7,$N7))&lt;&gt;"",IF($I7&gt;$J7,$F7,IF($I7&lt;$J7,$G7,$K7))=IF($L7&gt;$M7,$F7,IF($L7&lt;$M7,$G7,$N7))),1,0))</x:f>
      </x:c>
      <x:c r="Q7" s="59" t="str">
        <x:f>IF($O7="","",$O7+$P7)</x:f>
      </x:c>
      <x:c r="R7" s="59" t="str">
        <x:f>IF($Q7="","",IF($O7=3,"Cravada",IF(AND($H7="Sim",$L7=$M7,$I7=$J7,$O7=2),"Empate cravado",IF($O7=1,"Resultado certo",IF($O7=-2,"Invertida",IF($P7=1,"Acertou quem passa","Erro"))))))</x:f>
      </x:c>
      <x:c r="S7" s="59" t="str">
        <x:f>IF($O7="","",--(OR($O7=3,AND($H7="Sim",$L7=$M7,$I7=$J7,$O7=2))))</x:f>
      </x:c>
      <x:c r="T7" s="59" t="str">
        <x:f>IF($O7="","",--($O7=-2))</x:f>
      </x:c>
      <x:c r="U7" s="59" t="str">
        <x:f>IF($O7="","",--($O7=1))</x:f>
      </x:c>
      <x:c r="V7" s="59" t="n">
        <x:f>--(AND($I7&lt;&gt;"",$J7&lt;&gt;""))</x:f>
        <x:v>0</x:v>
      </x:c>
    </x:row>
    <x:row r="8">
      <x:c r="A8" s="21" t="str">
        <x:f>INDEX(Config!$B$10:$B$16,INT((ROW()-5)/104)+1)</x:f>
        <x:v>Leo B.</x:v>
      </x:c>
      <x:c r="B8" s="21" t="str">
        <x:v>GA4</x:v>
      </x:c>
      <x:c r="C8" s="21" t="n">
        <x:v>4</x:v>
      </x:c>
      <x:c r="D8" s="21" t="str">
        <x:v>Grupo A</x:v>
      </x:c>
      <x:c r="E8" s="21" t="str">
        <x:v>2026-06-18</x:v>
      </x:c>
      <x:c r="F8" s="21" t="str">
        <x:f>IFERROR(INDEX('Resultados'!$G$5:$G$108,MATCH($B8,'Resultados'!$A$5:$A$108,0)),"")</x:f>
        <x:v>África do Sul</x:v>
      </x:c>
      <x:c r="G8" s="21" t="str">
        <x:f>IFERROR(INDEX('Resultados'!$J$5:$J$108,MATCH($B8,'Resultados'!$A$5:$A$108,0)),"")</x:f>
        <x:v>Rep. Tcheca</x:v>
      </x:c>
      <x:c r="H8" s="21" t="str">
        <x:v>Não</x:v>
      </x:c>
      <x:c r="I8" s="22"/>
      <x:c r="J8" s="22"/>
      <x:c r="K8" s="23"/>
      <x:c r="L8" s="21" t="str">
        <x:f>IFERROR(INDEX('Resultados'!$H$5:$H$108,MATCH($B8,'Resultados'!$A$5:$A$108,0)),"")</x:f>
      </x:c>
      <x:c r="M8" s="21" t="str">
        <x:f>IFERROR(INDEX('Resultados'!$I$5:$I$108,MATCH($B8,'Resultados'!$A$5:$A$108,0)),"")</x:f>
      </x:c>
      <x:c r="N8" s="21" t="str">
        <x:f>IFERROR(INDEX('Resultados'!$L$5:$L$108,MATCH($B8,'Resultados'!$A$5:$A$108,0)),"")</x:f>
      </x:c>
      <x:c r="O8" s="59" t="str">
        <x:f>IF(OR($I8="",$J8="",$L8="",$M8=""),"",IF(AND($H8="Sim",$L8=$M8),IF($I8&lt;&gt;$J8,0,IF(AND($I8=$L8,$J8=$M8),2,1)),IF(AND($I8=$L8,$J8=$M8),3,IF(AND($I8&lt;&gt;$J8,$I8=$M8,$J8=$L8),-2,IF(SIGN($I8-$J8)=SIGN($L8-$M8),1,0)))))</x:f>
      </x:c>
      <x:c r="P8" s="59" t="str">
        <x:f>IF(OR($H8&lt;&gt;"Sim",$I8="",$J8="",$L8="",$M8=""),"",IF(AND(IF($I8&gt;$J8,$F8,IF($I8&lt;$J8,$G8,$K8))&lt;&gt;"",IF($L8&gt;$M8,$F8,IF($L8&lt;$M8,$G8,$N8))&lt;&gt;"",IF($I8&gt;$J8,$F8,IF($I8&lt;$J8,$G8,$K8))=IF($L8&gt;$M8,$F8,IF($L8&lt;$M8,$G8,$N8))),1,0))</x:f>
      </x:c>
      <x:c r="Q8" s="59" t="str">
        <x:f>IF($O8="","",$O8+$P8)</x:f>
      </x:c>
      <x:c r="R8" s="59" t="str">
        <x:f>IF($Q8="","",IF($O8=3,"Cravada",IF(AND($H8="Sim",$L8=$M8,$I8=$J8,$O8=2),"Empate cravado",IF($O8=1,"Resultado certo",IF($O8=-2,"Invertida",IF($P8=1,"Acertou quem passa","Erro"))))))</x:f>
      </x:c>
      <x:c r="S8" s="59" t="str">
        <x:f>IF($O8="","",--(OR($O8=3,AND($H8="Sim",$L8=$M8,$I8=$J8,$O8=2))))</x:f>
      </x:c>
      <x:c r="T8" s="59" t="str">
        <x:f>IF($O8="","",--($O8=-2))</x:f>
      </x:c>
      <x:c r="U8" s="59" t="str">
        <x:f>IF($O8="","",--($O8=1))</x:f>
      </x:c>
      <x:c r="V8" s="59" t="n">
        <x:f>--(AND($I8&lt;&gt;"",$J8&lt;&gt;""))</x:f>
        <x:v>0</x:v>
      </x:c>
    </x:row>
    <x:row r="9">
      <x:c r="A9" s="21" t="str">
        <x:f>INDEX(Config!$B$10:$B$16,INT((ROW()-5)/104)+1)</x:f>
        <x:v>Leo B.</x:v>
      </x:c>
      <x:c r="B9" s="21" t="str">
        <x:v>GA5</x:v>
      </x:c>
      <x:c r="C9" s="21" t="n">
        <x:v>5</x:v>
      </x:c>
      <x:c r="D9" s="21" t="str">
        <x:v>Grupo A</x:v>
      </x:c>
      <x:c r="E9" s="21" t="str">
        <x:v>2026-06-24</x:v>
      </x:c>
      <x:c r="F9" s="21" t="str">
        <x:f>IFERROR(INDEX('Resultados'!$G$5:$G$108,MATCH($B9,'Resultados'!$A$5:$A$108,0)),"")</x:f>
        <x:v>México</x:v>
      </x:c>
      <x:c r="G9" s="21" t="str">
        <x:f>IFERROR(INDEX('Resultados'!$J$5:$J$108,MATCH($B9,'Resultados'!$A$5:$A$108,0)),"")</x:f>
        <x:v>Rep. Tcheca</x:v>
      </x:c>
      <x:c r="H9" s="21" t="str">
        <x:v>Não</x:v>
      </x:c>
      <x:c r="I9" s="22"/>
      <x:c r="J9" s="22"/>
      <x:c r="K9" s="23"/>
      <x:c r="L9" s="21" t="str">
        <x:f>IFERROR(INDEX('Resultados'!$H$5:$H$108,MATCH($B9,'Resultados'!$A$5:$A$108,0)),"")</x:f>
      </x:c>
      <x:c r="M9" s="21" t="str">
        <x:f>IFERROR(INDEX('Resultados'!$I$5:$I$108,MATCH($B9,'Resultados'!$A$5:$A$108,0)),"")</x:f>
      </x:c>
      <x:c r="N9" s="21" t="str">
        <x:f>IFERROR(INDEX('Resultados'!$L$5:$L$108,MATCH($B9,'Resultados'!$A$5:$A$108,0)),"")</x:f>
      </x:c>
      <x:c r="O9" s="59" t="str">
        <x:f>IF(OR($I9="",$J9="",$L9="",$M9=""),"",IF(AND($H9="Sim",$L9=$M9),IF($I9&lt;&gt;$J9,0,IF(AND($I9=$L9,$J9=$M9),2,1)),IF(AND($I9=$L9,$J9=$M9),3,IF(AND($I9&lt;&gt;$J9,$I9=$M9,$J9=$L9),-2,IF(SIGN($I9-$J9)=SIGN($L9-$M9),1,0)))))</x:f>
      </x:c>
      <x:c r="P9" s="59" t="str">
        <x:f>IF(OR($H9&lt;&gt;"Sim",$I9="",$J9="",$L9="",$M9=""),"",IF(AND(IF($I9&gt;$J9,$F9,IF($I9&lt;$J9,$G9,$K9))&lt;&gt;"",IF($L9&gt;$M9,$F9,IF($L9&lt;$M9,$G9,$N9))&lt;&gt;"",IF($I9&gt;$J9,$F9,IF($I9&lt;$J9,$G9,$K9))=IF($L9&gt;$M9,$F9,IF($L9&lt;$M9,$G9,$N9))),1,0))</x:f>
      </x:c>
      <x:c r="Q9" s="59" t="str">
        <x:f>IF($O9="","",$O9+$P9)</x:f>
      </x:c>
      <x:c r="R9" s="59" t="str">
        <x:f>IF($Q9="","",IF($O9=3,"Cravada",IF(AND($H9="Sim",$L9=$M9,$I9=$J9,$O9=2),"Empate cravado",IF($O9=1,"Resultado certo",IF($O9=-2,"Invertida",IF($P9=1,"Acertou quem passa","Erro"))))))</x:f>
      </x:c>
      <x:c r="S9" s="59" t="str">
        <x:f>IF($O9="","",--(OR($O9=3,AND($H9="Sim",$L9=$M9,$I9=$J9,$O9=2))))</x:f>
      </x:c>
      <x:c r="T9" s="59" t="str">
        <x:f>IF($O9="","",--($O9=-2))</x:f>
      </x:c>
      <x:c r="U9" s="59" t="str">
        <x:f>IF($O9="","",--($O9=1))</x:f>
      </x:c>
      <x:c r="V9" s="59" t="n">
        <x:f>--(AND($I9&lt;&gt;"",$J9&lt;&gt;""))</x:f>
        <x:v>0</x:v>
      </x:c>
    </x:row>
    <x:row r="10">
      <x:c r="A10" s="21" t="str">
        <x:f>INDEX(Config!$B$10:$B$16,INT((ROW()-5)/104)+1)</x:f>
        <x:v>Leo B.</x:v>
      </x:c>
      <x:c r="B10" s="21" t="str">
        <x:v>GA6</x:v>
      </x:c>
      <x:c r="C10" s="21" t="n">
        <x:v>6</x:v>
      </x:c>
      <x:c r="D10" s="21" t="str">
        <x:v>Grupo A</x:v>
      </x:c>
      <x:c r="E10" s="21" t="str">
        <x:v>2026-06-24</x:v>
      </x:c>
      <x:c r="F10" s="21" t="str">
        <x:f>IFERROR(INDEX('Resultados'!$G$5:$G$108,MATCH($B10,'Resultados'!$A$5:$A$108,0)),"")</x:f>
        <x:v>África do Sul</x:v>
      </x:c>
      <x:c r="G10" s="21" t="str">
        <x:f>IFERROR(INDEX('Resultados'!$J$5:$J$108,MATCH($B10,'Resultados'!$A$5:$A$108,0)),"")</x:f>
        <x:v>Coreia do Sul</x:v>
      </x:c>
      <x:c r="H10" s="21" t="str">
        <x:v>Não</x:v>
      </x:c>
      <x:c r="I10" s="22"/>
      <x:c r="J10" s="22"/>
      <x:c r="K10" s="23"/>
      <x:c r="L10" s="21" t="str">
        <x:f>IFERROR(INDEX('Resultados'!$H$5:$H$108,MATCH($B10,'Resultados'!$A$5:$A$108,0)),"")</x:f>
      </x:c>
      <x:c r="M10" s="21" t="str">
        <x:f>IFERROR(INDEX('Resultados'!$I$5:$I$108,MATCH($B10,'Resultados'!$A$5:$A$108,0)),"")</x:f>
      </x:c>
      <x:c r="N10" s="21" t="str">
        <x:f>IFERROR(INDEX('Resultados'!$L$5:$L$108,MATCH($B10,'Resultados'!$A$5:$A$108,0)),"")</x:f>
      </x:c>
      <x:c r="O10" s="59" t="str">
        <x:f>IF(OR($I10="",$J10="",$L10="",$M10=""),"",IF(AND($H10="Sim",$L10=$M10),IF($I10&lt;&gt;$J10,0,IF(AND($I10=$L10,$J10=$M10),2,1)),IF(AND($I10=$L10,$J10=$M10),3,IF(AND($I10&lt;&gt;$J10,$I10=$M10,$J10=$L10),-2,IF(SIGN($I10-$J10)=SIGN($L10-$M10),1,0)))))</x:f>
      </x:c>
      <x:c r="P10" s="59" t="str">
        <x:f>IF(OR($H10&lt;&gt;"Sim",$I10="",$J10="",$L10="",$M10=""),"",IF(AND(IF($I10&gt;$J10,$F10,IF($I10&lt;$J10,$G10,$K10))&lt;&gt;"",IF($L10&gt;$M10,$F10,IF($L10&lt;$M10,$G10,$N10))&lt;&gt;"",IF($I10&gt;$J10,$F10,IF($I10&lt;$J10,$G10,$K10))=IF($L10&gt;$M10,$F10,IF($L10&lt;$M10,$G10,$N10))),1,0))</x:f>
      </x:c>
      <x:c r="Q10" s="59" t="str">
        <x:f>IF($O10="","",$O10+$P10)</x:f>
      </x:c>
      <x:c r="R10" s="59" t="str">
        <x:f>IF($Q10="","",IF($O10=3,"Cravada",IF(AND($H10="Sim",$L10=$M10,$I10=$J10,$O10=2),"Empate cravado",IF($O10=1,"Resultado certo",IF($O10=-2,"Invertida",IF($P10=1,"Acertou quem passa","Erro"))))))</x:f>
      </x:c>
      <x:c r="S10" s="59" t="str">
        <x:f>IF($O10="","",--(OR($O10=3,AND($H10="Sim",$L10=$M10,$I10=$J10,$O10=2))))</x:f>
      </x:c>
      <x:c r="T10" s="59" t="str">
        <x:f>IF($O10="","",--($O10=-2))</x:f>
      </x:c>
      <x:c r="U10" s="59" t="str">
        <x:f>IF($O10="","",--($O10=1))</x:f>
      </x:c>
      <x:c r="V10" s="59" t="n">
        <x:f>--(AND($I10&lt;&gt;"",$J10&lt;&gt;""))</x:f>
        <x:v>0</x:v>
      </x:c>
    </x:row>
    <x:row r="11">
      <x:c r="A11" s="21" t="str">
        <x:f>INDEX(Config!$B$10:$B$16,INT((ROW()-5)/104)+1)</x:f>
        <x:v>Leo B.</x:v>
      </x:c>
      <x:c r="B11" s="21" t="str">
        <x:v>GB1</x:v>
      </x:c>
      <x:c r="C11" s="21" t="n">
        <x:v>7</x:v>
      </x:c>
      <x:c r="D11" s="21" t="str">
        <x:v>Grupo B</x:v>
      </x:c>
      <x:c r="E11" s="21" t="str">
        <x:v>2026-06-12</x:v>
      </x:c>
      <x:c r="F11" s="21" t="str">
        <x:f>IFERROR(INDEX('Resultados'!$G$5:$G$108,MATCH($B11,'Resultados'!$A$5:$A$108,0)),"")</x:f>
        <x:v>Canadá</x:v>
      </x:c>
      <x:c r="G11" s="21" t="str">
        <x:f>IFERROR(INDEX('Resultados'!$J$5:$J$108,MATCH($B11,'Resultados'!$A$5:$A$108,0)),"")</x:f>
        <x:v>Bósnia-Herzegovina</x:v>
      </x:c>
      <x:c r="H11" s="21" t="str">
        <x:v>Não</x:v>
      </x:c>
      <x:c r="I11" s="22"/>
      <x:c r="J11" s="22"/>
      <x:c r="K11" s="23"/>
      <x:c r="L11" s="21" t="str">
        <x:f>IFERROR(INDEX('Resultados'!$H$5:$H$108,MATCH($B11,'Resultados'!$A$5:$A$108,0)),"")</x:f>
      </x:c>
      <x:c r="M11" s="21" t="str">
        <x:f>IFERROR(INDEX('Resultados'!$I$5:$I$108,MATCH($B11,'Resultados'!$A$5:$A$108,0)),"")</x:f>
      </x:c>
      <x:c r="N11" s="21" t="str">
        <x:f>IFERROR(INDEX('Resultados'!$L$5:$L$108,MATCH($B11,'Resultados'!$A$5:$A$108,0)),"")</x:f>
      </x:c>
      <x:c r="O11" s="59" t="str">
        <x:f>IF(OR($I11="",$J11="",$L11="",$M11=""),"",IF(AND($H11="Sim",$L11=$M11),IF($I11&lt;&gt;$J11,0,IF(AND($I11=$L11,$J11=$M11),2,1)),IF(AND($I11=$L11,$J11=$M11),3,IF(AND($I11&lt;&gt;$J11,$I11=$M11,$J11=$L11),-2,IF(SIGN($I11-$J11)=SIGN($L11-$M11),1,0)))))</x:f>
      </x:c>
      <x:c r="P11" s="59" t="str">
        <x:f>IF(OR($H11&lt;&gt;"Sim",$I11="",$J11="",$L11="",$M11=""),"",IF(AND(IF($I11&gt;$J11,$F11,IF($I11&lt;$J11,$G11,$K11))&lt;&gt;"",IF($L11&gt;$M11,$F11,IF($L11&lt;$M11,$G11,$N11))&lt;&gt;"",IF($I11&gt;$J11,$F11,IF($I11&lt;$J11,$G11,$K11))=IF($L11&gt;$M11,$F11,IF($L11&lt;$M11,$G11,$N11))),1,0))</x:f>
      </x:c>
      <x:c r="Q11" s="59" t="str">
        <x:f>IF($O11="","",$O11+$P11)</x:f>
      </x:c>
      <x:c r="R11" s="59" t="str">
        <x:f>IF($Q11="","",IF($O11=3,"Cravada",IF(AND($H11="Sim",$L11=$M11,$I11=$J11,$O11=2),"Empate cravado",IF($O11=1,"Resultado certo",IF($O11=-2,"Invertida",IF($P11=1,"Acertou quem passa","Erro"))))))</x:f>
      </x:c>
      <x:c r="S11" s="59" t="str">
        <x:f>IF($O11="","",--(OR($O11=3,AND($H11="Sim",$L11=$M11,$I11=$J11,$O11=2))))</x:f>
      </x:c>
      <x:c r="T11" s="59" t="str">
        <x:f>IF($O11="","",--($O11=-2))</x:f>
      </x:c>
      <x:c r="U11" s="59" t="str">
        <x:f>IF($O11="","",--($O11=1))</x:f>
      </x:c>
      <x:c r="V11" s="59" t="n">
        <x:f>--(AND($I11&lt;&gt;"",$J11&lt;&gt;""))</x:f>
        <x:v>0</x:v>
      </x:c>
    </x:row>
    <x:row r="12">
      <x:c r="A12" s="21" t="str">
        <x:f>INDEX(Config!$B$10:$B$16,INT((ROW()-5)/104)+1)</x:f>
        <x:v>Leo B.</x:v>
      </x:c>
      <x:c r="B12" s="21" t="str">
        <x:v>GB2</x:v>
      </x:c>
      <x:c r="C12" s="21" t="n">
        <x:v>8</x:v>
      </x:c>
      <x:c r="D12" s="21" t="str">
        <x:v>Grupo B</x:v>
      </x:c>
      <x:c r="E12" s="21" t="str">
        <x:v>2026-06-13</x:v>
      </x:c>
      <x:c r="F12" s="21" t="str">
        <x:f>IFERROR(INDEX('Resultados'!$G$5:$G$108,MATCH($B12,'Resultados'!$A$5:$A$108,0)),"")</x:f>
        <x:v>Catar</x:v>
      </x:c>
      <x:c r="G12" s="21" t="str">
        <x:f>IFERROR(INDEX('Resultados'!$J$5:$J$108,MATCH($B12,'Resultados'!$A$5:$A$108,0)),"")</x:f>
        <x:v>Suíça</x:v>
      </x:c>
      <x:c r="H12" s="21" t="str">
        <x:v>Não</x:v>
      </x:c>
      <x:c r="I12" s="22"/>
      <x:c r="J12" s="22"/>
      <x:c r="K12" s="23"/>
      <x:c r="L12" s="21" t="str">
        <x:f>IFERROR(INDEX('Resultados'!$H$5:$H$108,MATCH($B12,'Resultados'!$A$5:$A$108,0)),"")</x:f>
      </x:c>
      <x:c r="M12" s="21" t="str">
        <x:f>IFERROR(INDEX('Resultados'!$I$5:$I$108,MATCH($B12,'Resultados'!$A$5:$A$108,0)),"")</x:f>
      </x:c>
      <x:c r="N12" s="21" t="str">
        <x:f>IFERROR(INDEX('Resultados'!$L$5:$L$108,MATCH($B12,'Resultados'!$A$5:$A$108,0)),"")</x:f>
      </x:c>
      <x:c r="O12" s="59" t="str">
        <x:f>IF(OR($I12="",$J12="",$L12="",$M12=""),"",IF(AND($H12="Sim",$L12=$M12),IF($I12&lt;&gt;$J12,0,IF(AND($I12=$L12,$J12=$M12),2,1)),IF(AND($I12=$L12,$J12=$M12),3,IF(AND($I12&lt;&gt;$J12,$I12=$M12,$J12=$L12),-2,IF(SIGN($I12-$J12)=SIGN($L12-$M12),1,0)))))</x:f>
      </x:c>
      <x:c r="P12" s="59" t="str">
        <x:f>IF(OR($H12&lt;&gt;"Sim",$I12="",$J12="",$L12="",$M12=""),"",IF(AND(IF($I12&gt;$J12,$F12,IF($I12&lt;$J12,$G12,$K12))&lt;&gt;"",IF($L12&gt;$M12,$F12,IF($L12&lt;$M12,$G12,$N12))&lt;&gt;"",IF($I12&gt;$J12,$F12,IF($I12&lt;$J12,$G12,$K12))=IF($L12&gt;$M12,$F12,IF($L12&lt;$M12,$G12,$N12))),1,0))</x:f>
      </x:c>
      <x:c r="Q12" s="59" t="str">
        <x:f>IF($O12="","",$O12+$P12)</x:f>
      </x:c>
      <x:c r="R12" s="59" t="str">
        <x:f>IF($Q12="","",IF($O12=3,"Cravada",IF(AND($H12="Sim",$L12=$M12,$I12=$J12,$O12=2),"Empate cravado",IF($O12=1,"Resultado certo",IF($O12=-2,"Invertida",IF($P12=1,"Acertou quem passa","Erro"))))))</x:f>
      </x:c>
      <x:c r="S12" s="59" t="str">
        <x:f>IF($O12="","",--(OR($O12=3,AND($H12="Sim",$L12=$M12,$I12=$J12,$O12=2))))</x:f>
      </x:c>
      <x:c r="T12" s="59" t="str">
        <x:f>IF($O12="","",--($O12=-2))</x:f>
      </x:c>
      <x:c r="U12" s="59" t="str">
        <x:f>IF($O12="","",--($O12=1))</x:f>
      </x:c>
      <x:c r="V12" s="59" t="n">
        <x:f>--(AND($I12&lt;&gt;"",$J12&lt;&gt;""))</x:f>
        <x:v>0</x:v>
      </x:c>
    </x:row>
    <x:row r="13">
      <x:c r="A13" s="21" t="str">
        <x:f>INDEX(Config!$B$10:$B$16,INT((ROW()-5)/104)+1)</x:f>
        <x:v>Leo B.</x:v>
      </x:c>
      <x:c r="B13" s="21" t="str">
        <x:v>GB3</x:v>
      </x:c>
      <x:c r="C13" s="21" t="n">
        <x:v>9</x:v>
      </x:c>
      <x:c r="D13" s="21" t="str">
        <x:v>Grupo B</x:v>
      </x:c>
      <x:c r="E13" s="21" t="str">
        <x:v>2026-06-18</x:v>
      </x:c>
      <x:c r="F13" s="21" t="str">
        <x:f>IFERROR(INDEX('Resultados'!$G$5:$G$108,MATCH($B13,'Resultados'!$A$5:$A$108,0)),"")</x:f>
        <x:v>Canadá</x:v>
      </x:c>
      <x:c r="G13" s="21" t="str">
        <x:f>IFERROR(INDEX('Resultados'!$J$5:$J$108,MATCH($B13,'Resultados'!$A$5:$A$108,0)),"")</x:f>
        <x:v>Catar</x:v>
      </x:c>
      <x:c r="H13" s="21" t="str">
        <x:v>Não</x:v>
      </x:c>
      <x:c r="I13" s="22"/>
      <x:c r="J13" s="22"/>
      <x:c r="K13" s="23"/>
      <x:c r="L13" s="21" t="str">
        <x:f>IFERROR(INDEX('Resultados'!$H$5:$H$108,MATCH($B13,'Resultados'!$A$5:$A$108,0)),"")</x:f>
      </x:c>
      <x:c r="M13" s="21" t="str">
        <x:f>IFERROR(INDEX('Resultados'!$I$5:$I$108,MATCH($B13,'Resultados'!$A$5:$A$108,0)),"")</x:f>
      </x:c>
      <x:c r="N13" s="21" t="str">
        <x:f>IFERROR(INDEX('Resultados'!$L$5:$L$108,MATCH($B13,'Resultados'!$A$5:$A$108,0)),"")</x:f>
      </x:c>
      <x:c r="O13" s="59" t="str">
        <x:f>IF(OR($I13="",$J13="",$L13="",$M13=""),"",IF(AND($H13="Sim",$L13=$M13),IF($I13&lt;&gt;$J13,0,IF(AND($I13=$L13,$J13=$M13),2,1)),IF(AND($I13=$L13,$J13=$M13),3,IF(AND($I13&lt;&gt;$J13,$I13=$M13,$J13=$L13),-2,IF(SIGN($I13-$J13)=SIGN($L13-$M13),1,0)))))</x:f>
      </x:c>
      <x:c r="P13" s="59" t="str">
        <x:f>IF(OR($H13&lt;&gt;"Sim",$I13="",$J13="",$L13="",$M13=""),"",IF(AND(IF($I13&gt;$J13,$F13,IF($I13&lt;$J13,$G13,$K13))&lt;&gt;"",IF($L13&gt;$M13,$F13,IF($L13&lt;$M13,$G13,$N13))&lt;&gt;"",IF($I13&gt;$J13,$F13,IF($I13&lt;$J13,$G13,$K13))=IF($L13&gt;$M13,$F13,IF($L13&lt;$M13,$G13,$N13))),1,0))</x:f>
      </x:c>
      <x:c r="Q13" s="59" t="str">
        <x:f>IF($O13="","",$O13+$P13)</x:f>
      </x:c>
      <x:c r="R13" s="59" t="str">
        <x:f>IF($Q13="","",IF($O13=3,"Cravada",IF(AND($H13="Sim",$L13=$M13,$I13=$J13,$O13=2),"Empate cravado",IF($O13=1,"Resultado certo",IF($O13=-2,"Invertida",IF($P13=1,"Acertou quem passa","Erro"))))))</x:f>
      </x:c>
      <x:c r="S13" s="59" t="str">
        <x:f>IF($O13="","",--(OR($O13=3,AND($H13="Sim",$L13=$M13,$I13=$J13,$O13=2))))</x:f>
      </x:c>
      <x:c r="T13" s="59" t="str">
        <x:f>IF($O13="","",--($O13=-2))</x:f>
      </x:c>
      <x:c r="U13" s="59" t="str">
        <x:f>IF($O13="","",--($O13=1))</x:f>
      </x:c>
      <x:c r="V13" s="59" t="n">
        <x:f>--(AND($I13&lt;&gt;"",$J13&lt;&gt;""))</x:f>
        <x:v>0</x:v>
      </x:c>
    </x:row>
    <x:row r="14">
      <x:c r="A14" s="21" t="str">
        <x:f>INDEX(Config!$B$10:$B$16,INT((ROW()-5)/104)+1)</x:f>
        <x:v>Leo B.</x:v>
      </x:c>
      <x:c r="B14" s="21" t="str">
        <x:v>GB4</x:v>
      </x:c>
      <x:c r="C14" s="21" t="n">
        <x:v>10</x:v>
      </x:c>
      <x:c r="D14" s="21" t="str">
        <x:v>Grupo B</x:v>
      </x:c>
      <x:c r="E14" s="21" t="str">
        <x:v>2026-06-18</x:v>
      </x:c>
      <x:c r="F14" s="21" t="str">
        <x:f>IFERROR(INDEX('Resultados'!$G$5:$G$108,MATCH($B14,'Resultados'!$A$5:$A$108,0)),"")</x:f>
        <x:v>Bósnia-Herzegovina</x:v>
      </x:c>
      <x:c r="G14" s="21" t="str">
        <x:f>IFERROR(INDEX('Resultados'!$J$5:$J$108,MATCH($B14,'Resultados'!$A$5:$A$108,0)),"")</x:f>
        <x:v>Suíça</x:v>
      </x:c>
      <x:c r="H14" s="21" t="str">
        <x:v>Não</x:v>
      </x:c>
      <x:c r="I14" s="22"/>
      <x:c r="J14" s="22"/>
      <x:c r="K14" s="23"/>
      <x:c r="L14" s="21" t="str">
        <x:f>IFERROR(INDEX('Resultados'!$H$5:$H$108,MATCH($B14,'Resultados'!$A$5:$A$108,0)),"")</x:f>
      </x:c>
      <x:c r="M14" s="21" t="str">
        <x:f>IFERROR(INDEX('Resultados'!$I$5:$I$108,MATCH($B14,'Resultados'!$A$5:$A$108,0)),"")</x:f>
      </x:c>
      <x:c r="N14" s="21" t="str">
        <x:f>IFERROR(INDEX('Resultados'!$L$5:$L$108,MATCH($B14,'Resultados'!$A$5:$A$108,0)),"")</x:f>
      </x:c>
      <x:c r="O14" s="59" t="str">
        <x:f>IF(OR($I14="",$J14="",$L14="",$M14=""),"",IF(AND($H14="Sim",$L14=$M14),IF($I14&lt;&gt;$J14,0,IF(AND($I14=$L14,$J14=$M14),2,1)),IF(AND($I14=$L14,$J14=$M14),3,IF(AND($I14&lt;&gt;$J14,$I14=$M14,$J14=$L14),-2,IF(SIGN($I14-$J14)=SIGN($L14-$M14),1,0)))))</x:f>
      </x:c>
      <x:c r="P14" s="59" t="str">
        <x:f>IF(OR($H14&lt;&gt;"Sim",$I14="",$J14="",$L14="",$M14=""),"",IF(AND(IF($I14&gt;$J14,$F14,IF($I14&lt;$J14,$G14,$K14))&lt;&gt;"",IF($L14&gt;$M14,$F14,IF($L14&lt;$M14,$G14,$N14))&lt;&gt;"",IF($I14&gt;$J14,$F14,IF($I14&lt;$J14,$G14,$K14))=IF($L14&gt;$M14,$F14,IF($L14&lt;$M14,$G14,$N14))),1,0))</x:f>
      </x:c>
      <x:c r="Q14" s="59" t="str">
        <x:f>IF($O14="","",$O14+$P14)</x:f>
      </x:c>
      <x:c r="R14" s="59" t="str">
        <x:f>IF($Q14="","",IF($O14=3,"Cravada",IF(AND($H14="Sim",$L14=$M14,$I14=$J14,$O14=2),"Empate cravado",IF($O14=1,"Resultado certo",IF($O14=-2,"Invertida",IF($P14=1,"Acertou quem passa","Erro"))))))</x:f>
      </x:c>
      <x:c r="S14" s="59" t="str">
        <x:f>IF($O14="","",--(OR($O14=3,AND($H14="Sim",$L14=$M14,$I14=$J14,$O14=2))))</x:f>
      </x:c>
      <x:c r="T14" s="59" t="str">
        <x:f>IF($O14="","",--($O14=-2))</x:f>
      </x:c>
      <x:c r="U14" s="59" t="str">
        <x:f>IF($O14="","",--($O14=1))</x:f>
      </x:c>
      <x:c r="V14" s="59" t="n">
        <x:f>--(AND($I14&lt;&gt;"",$J14&lt;&gt;""))</x:f>
        <x:v>0</x:v>
      </x:c>
    </x:row>
    <x:row r="15">
      <x:c r="A15" s="21" t="str">
        <x:f>INDEX(Config!$B$10:$B$16,INT((ROW()-5)/104)+1)</x:f>
        <x:v>Leo B.</x:v>
      </x:c>
      <x:c r="B15" s="21" t="str">
        <x:v>GB5</x:v>
      </x:c>
      <x:c r="C15" s="21" t="n">
        <x:v>11</x:v>
      </x:c>
      <x:c r="D15" s="21" t="str">
        <x:v>Grupo B</x:v>
      </x:c>
      <x:c r="E15" s="21" t="str">
        <x:v>2026-06-24</x:v>
      </x:c>
      <x:c r="F15" s="21" t="str">
        <x:f>IFERROR(INDEX('Resultados'!$G$5:$G$108,MATCH($B15,'Resultados'!$A$5:$A$108,0)),"")</x:f>
        <x:v>Canadá</x:v>
      </x:c>
      <x:c r="G15" s="21" t="str">
        <x:f>IFERROR(INDEX('Resultados'!$J$5:$J$108,MATCH($B15,'Resultados'!$A$5:$A$108,0)),"")</x:f>
        <x:v>Suíça</x:v>
      </x:c>
      <x:c r="H15" s="21" t="str">
        <x:v>Não</x:v>
      </x:c>
      <x:c r="I15" s="22"/>
      <x:c r="J15" s="22"/>
      <x:c r="K15" s="23"/>
      <x:c r="L15" s="21" t="str">
        <x:f>IFERROR(INDEX('Resultados'!$H$5:$H$108,MATCH($B15,'Resultados'!$A$5:$A$108,0)),"")</x:f>
      </x:c>
      <x:c r="M15" s="21" t="str">
        <x:f>IFERROR(INDEX('Resultados'!$I$5:$I$108,MATCH($B15,'Resultados'!$A$5:$A$108,0)),"")</x:f>
      </x:c>
      <x:c r="N15" s="21" t="str">
        <x:f>IFERROR(INDEX('Resultados'!$L$5:$L$108,MATCH($B15,'Resultados'!$A$5:$A$108,0)),"")</x:f>
      </x:c>
      <x:c r="O15" s="59" t="str">
        <x:f>IF(OR($I15="",$J15="",$L15="",$M15=""),"",IF(AND($H15="Sim",$L15=$M15),IF($I15&lt;&gt;$J15,0,IF(AND($I15=$L15,$J15=$M15),2,1)),IF(AND($I15=$L15,$J15=$M15),3,IF(AND($I15&lt;&gt;$J15,$I15=$M15,$J15=$L15),-2,IF(SIGN($I15-$J15)=SIGN($L15-$M15),1,0)))))</x:f>
      </x:c>
      <x:c r="P15" s="59" t="str">
        <x:f>IF(OR($H15&lt;&gt;"Sim",$I15="",$J15="",$L15="",$M15=""),"",IF(AND(IF($I15&gt;$J15,$F15,IF($I15&lt;$J15,$G15,$K15))&lt;&gt;"",IF($L15&gt;$M15,$F15,IF($L15&lt;$M15,$G15,$N15))&lt;&gt;"",IF($I15&gt;$J15,$F15,IF($I15&lt;$J15,$G15,$K15))=IF($L15&gt;$M15,$F15,IF($L15&lt;$M15,$G15,$N15))),1,0))</x:f>
      </x:c>
      <x:c r="Q15" s="59" t="str">
        <x:f>IF($O15="","",$O15+$P15)</x:f>
      </x:c>
      <x:c r="R15" s="59" t="str">
        <x:f>IF($Q15="","",IF($O15=3,"Cravada",IF(AND($H15="Sim",$L15=$M15,$I15=$J15,$O15=2),"Empate cravado",IF($O15=1,"Resultado certo",IF($O15=-2,"Invertida",IF($P15=1,"Acertou quem passa","Erro"))))))</x:f>
      </x:c>
      <x:c r="S15" s="59" t="str">
        <x:f>IF($O15="","",--(OR($O15=3,AND($H15="Sim",$L15=$M15,$I15=$J15,$O15=2))))</x:f>
      </x:c>
      <x:c r="T15" s="59" t="str">
        <x:f>IF($O15="","",--($O15=-2))</x:f>
      </x:c>
      <x:c r="U15" s="59" t="str">
        <x:f>IF($O15="","",--($O15=1))</x:f>
      </x:c>
      <x:c r="V15" s="59" t="n">
        <x:f>--(AND($I15&lt;&gt;"",$J15&lt;&gt;""))</x:f>
        <x:v>0</x:v>
      </x:c>
    </x:row>
    <x:row r="16">
      <x:c r="A16" s="21" t="str">
        <x:f>INDEX(Config!$B$10:$B$16,INT((ROW()-5)/104)+1)</x:f>
        <x:v>Leo B.</x:v>
      </x:c>
      <x:c r="B16" s="21" t="str">
        <x:v>GB6</x:v>
      </x:c>
      <x:c r="C16" s="21" t="n">
        <x:v>12</x:v>
      </x:c>
      <x:c r="D16" s="21" t="str">
        <x:v>Grupo B</x:v>
      </x:c>
      <x:c r="E16" s="21" t="str">
        <x:v>2026-06-24</x:v>
      </x:c>
      <x:c r="F16" s="21" t="str">
        <x:f>IFERROR(INDEX('Resultados'!$G$5:$G$108,MATCH($B16,'Resultados'!$A$5:$A$108,0)),"")</x:f>
        <x:v>Bósnia-Herzegovina</x:v>
      </x:c>
      <x:c r="G16" s="21" t="str">
        <x:f>IFERROR(INDEX('Resultados'!$J$5:$J$108,MATCH($B16,'Resultados'!$A$5:$A$108,0)),"")</x:f>
        <x:v>Catar</x:v>
      </x:c>
      <x:c r="H16" s="21" t="str">
        <x:v>Não</x:v>
      </x:c>
      <x:c r="I16" s="22"/>
      <x:c r="J16" s="22"/>
      <x:c r="K16" s="23"/>
      <x:c r="L16" s="21" t="str">
        <x:f>IFERROR(INDEX('Resultados'!$H$5:$H$108,MATCH($B16,'Resultados'!$A$5:$A$108,0)),"")</x:f>
      </x:c>
      <x:c r="M16" s="21" t="str">
        <x:f>IFERROR(INDEX('Resultados'!$I$5:$I$108,MATCH($B16,'Resultados'!$A$5:$A$108,0)),"")</x:f>
      </x:c>
      <x:c r="N16" s="21" t="str">
        <x:f>IFERROR(INDEX('Resultados'!$L$5:$L$108,MATCH($B16,'Resultados'!$A$5:$A$108,0)),"")</x:f>
      </x:c>
      <x:c r="O16" s="59" t="str">
        <x:f>IF(OR($I16="",$J16="",$L16="",$M16=""),"",IF(AND($H16="Sim",$L16=$M16),IF($I16&lt;&gt;$J16,0,IF(AND($I16=$L16,$J16=$M16),2,1)),IF(AND($I16=$L16,$J16=$M16),3,IF(AND($I16&lt;&gt;$J16,$I16=$M16,$J16=$L16),-2,IF(SIGN($I16-$J16)=SIGN($L16-$M16),1,0)))))</x:f>
      </x:c>
      <x:c r="P16" s="59" t="str">
        <x:f>IF(OR($H16&lt;&gt;"Sim",$I16="",$J16="",$L16="",$M16=""),"",IF(AND(IF($I16&gt;$J16,$F16,IF($I16&lt;$J16,$G16,$K16))&lt;&gt;"",IF($L16&gt;$M16,$F16,IF($L16&lt;$M16,$G16,$N16))&lt;&gt;"",IF($I16&gt;$J16,$F16,IF($I16&lt;$J16,$G16,$K16))=IF($L16&gt;$M16,$F16,IF($L16&lt;$M16,$G16,$N16))),1,0))</x:f>
      </x:c>
      <x:c r="Q16" s="59" t="str">
        <x:f>IF($O16="","",$O16+$P16)</x:f>
      </x:c>
      <x:c r="R16" s="59" t="str">
        <x:f>IF($Q16="","",IF($O16=3,"Cravada",IF(AND($H16="Sim",$L16=$M16,$I16=$J16,$O16=2),"Empate cravado",IF($O16=1,"Resultado certo",IF($O16=-2,"Invertida",IF($P16=1,"Acertou quem passa","Erro"))))))</x:f>
      </x:c>
      <x:c r="S16" s="59" t="str">
        <x:f>IF($O16="","",--(OR($O16=3,AND($H16="Sim",$L16=$M16,$I16=$J16,$O16=2))))</x:f>
      </x:c>
      <x:c r="T16" s="59" t="str">
        <x:f>IF($O16="","",--($O16=-2))</x:f>
      </x:c>
      <x:c r="U16" s="59" t="str">
        <x:f>IF($O16="","",--($O16=1))</x:f>
      </x:c>
      <x:c r="V16" s="59" t="n">
        <x:f>--(AND($I16&lt;&gt;"",$J16&lt;&gt;""))</x:f>
        <x:v>0</x:v>
      </x:c>
    </x:row>
    <x:row r="17">
      <x:c r="A17" s="21" t="str">
        <x:f>INDEX(Config!$B$10:$B$16,INT((ROW()-5)/104)+1)</x:f>
        <x:v>Leo B.</x:v>
      </x:c>
      <x:c r="B17" s="21" t="str">
        <x:v>GC1</x:v>
      </x:c>
      <x:c r="C17" s="21" t="n">
        <x:v>13</x:v>
      </x:c>
      <x:c r="D17" s="21" t="str">
        <x:v>Grupo C</x:v>
      </x:c>
      <x:c r="E17" s="21" t="str">
        <x:v>2026-06-13</x:v>
      </x:c>
      <x:c r="F17" s="21" t="str">
        <x:f>IFERROR(INDEX('Resultados'!$G$5:$G$108,MATCH($B17,'Resultados'!$A$5:$A$108,0)),"")</x:f>
        <x:v>Brasil</x:v>
      </x:c>
      <x:c r="G17" s="21" t="str">
        <x:f>IFERROR(INDEX('Resultados'!$J$5:$J$108,MATCH($B17,'Resultados'!$A$5:$A$108,0)),"")</x:f>
        <x:v>Marrocos</x:v>
      </x:c>
      <x:c r="H17" s="21" t="str">
        <x:v>Não</x:v>
      </x:c>
      <x:c r="I17" s="22"/>
      <x:c r="J17" s="22"/>
      <x:c r="K17" s="23"/>
      <x:c r="L17" s="21" t="str">
        <x:f>IFERROR(INDEX('Resultados'!$H$5:$H$108,MATCH($B17,'Resultados'!$A$5:$A$108,0)),"")</x:f>
      </x:c>
      <x:c r="M17" s="21" t="str">
        <x:f>IFERROR(INDEX('Resultados'!$I$5:$I$108,MATCH($B17,'Resultados'!$A$5:$A$108,0)),"")</x:f>
      </x:c>
      <x:c r="N17" s="21" t="str">
        <x:f>IFERROR(INDEX('Resultados'!$L$5:$L$108,MATCH($B17,'Resultados'!$A$5:$A$108,0)),"")</x:f>
      </x:c>
      <x:c r="O17" s="59" t="str">
        <x:f>IF(OR($I17="",$J17="",$L17="",$M17=""),"",IF(AND($H17="Sim",$L17=$M17),IF($I17&lt;&gt;$J17,0,IF(AND($I17=$L17,$J17=$M17),2,1)),IF(AND($I17=$L17,$J17=$M17),3,IF(AND($I17&lt;&gt;$J17,$I17=$M17,$J17=$L17),-2,IF(SIGN($I17-$J17)=SIGN($L17-$M17),1,0)))))</x:f>
      </x:c>
      <x:c r="P17" s="59" t="str">
        <x:f>IF(OR($H17&lt;&gt;"Sim",$I17="",$J17="",$L17="",$M17=""),"",IF(AND(IF($I17&gt;$J17,$F17,IF($I17&lt;$J17,$G17,$K17))&lt;&gt;"",IF($L17&gt;$M17,$F17,IF($L17&lt;$M17,$G17,$N17))&lt;&gt;"",IF($I17&gt;$J17,$F17,IF($I17&lt;$J17,$G17,$K17))=IF($L17&gt;$M17,$F17,IF($L17&lt;$M17,$G17,$N17))),1,0))</x:f>
      </x:c>
      <x:c r="Q17" s="59" t="str">
        <x:f>IF($O17="","",$O17+$P17)</x:f>
      </x:c>
      <x:c r="R17" s="59" t="str">
        <x:f>IF($Q17="","",IF($O17=3,"Cravada",IF(AND($H17="Sim",$L17=$M17,$I17=$J17,$O17=2),"Empate cravado",IF($O17=1,"Resultado certo",IF($O17=-2,"Invertida",IF($P17=1,"Acertou quem passa","Erro"))))))</x:f>
      </x:c>
      <x:c r="S17" s="59" t="str">
        <x:f>IF($O17="","",--(OR($O17=3,AND($H17="Sim",$L17=$M17,$I17=$J17,$O17=2))))</x:f>
      </x:c>
      <x:c r="T17" s="59" t="str">
        <x:f>IF($O17="","",--($O17=-2))</x:f>
      </x:c>
      <x:c r="U17" s="59" t="str">
        <x:f>IF($O17="","",--($O17=1))</x:f>
      </x:c>
      <x:c r="V17" s="59" t="n">
        <x:f>--(AND($I17&lt;&gt;"",$J17&lt;&gt;""))</x:f>
        <x:v>0</x:v>
      </x:c>
    </x:row>
    <x:row r="18">
      <x:c r="A18" s="21" t="str">
        <x:f>INDEX(Config!$B$10:$B$16,INT((ROW()-5)/104)+1)</x:f>
        <x:v>Leo B.</x:v>
      </x:c>
      <x:c r="B18" s="21" t="str">
        <x:v>GC2</x:v>
      </x:c>
      <x:c r="C18" s="21" t="n">
        <x:v>14</x:v>
      </x:c>
      <x:c r="D18" s="21" t="str">
        <x:v>Grupo C</x:v>
      </x:c>
      <x:c r="E18" s="21" t="str">
        <x:v>2026-06-13</x:v>
      </x:c>
      <x:c r="F18" s="21" t="str">
        <x:f>IFERROR(INDEX('Resultados'!$G$5:$G$108,MATCH($B18,'Resultados'!$A$5:$A$108,0)),"")</x:f>
        <x:v>Haiti</x:v>
      </x:c>
      <x:c r="G18" s="21" t="str">
        <x:f>IFERROR(INDEX('Resultados'!$J$5:$J$108,MATCH($B18,'Resultados'!$A$5:$A$108,0)),"")</x:f>
        <x:v>Escócia</x:v>
      </x:c>
      <x:c r="H18" s="21" t="str">
        <x:v>Não</x:v>
      </x:c>
      <x:c r="I18" s="22"/>
      <x:c r="J18" s="22"/>
      <x:c r="K18" s="23"/>
      <x:c r="L18" s="21" t="str">
        <x:f>IFERROR(INDEX('Resultados'!$H$5:$H$108,MATCH($B18,'Resultados'!$A$5:$A$108,0)),"")</x:f>
      </x:c>
      <x:c r="M18" s="21" t="str">
        <x:f>IFERROR(INDEX('Resultados'!$I$5:$I$108,MATCH($B18,'Resultados'!$A$5:$A$108,0)),"")</x:f>
      </x:c>
      <x:c r="N18" s="21" t="str">
        <x:f>IFERROR(INDEX('Resultados'!$L$5:$L$108,MATCH($B18,'Resultados'!$A$5:$A$108,0)),"")</x:f>
      </x:c>
      <x:c r="O18" s="59" t="str">
        <x:f>IF(OR($I18="",$J18="",$L18="",$M18=""),"",IF(AND($H18="Sim",$L18=$M18),IF($I18&lt;&gt;$J18,0,IF(AND($I18=$L18,$J18=$M18),2,1)),IF(AND($I18=$L18,$J18=$M18),3,IF(AND($I18&lt;&gt;$J18,$I18=$M18,$J18=$L18),-2,IF(SIGN($I18-$J18)=SIGN($L18-$M18),1,0)))))</x:f>
      </x:c>
      <x:c r="P18" s="59" t="str">
        <x:f>IF(OR($H18&lt;&gt;"Sim",$I18="",$J18="",$L18="",$M18=""),"",IF(AND(IF($I18&gt;$J18,$F18,IF($I18&lt;$J18,$G18,$K18))&lt;&gt;"",IF($L18&gt;$M18,$F18,IF($L18&lt;$M18,$G18,$N18))&lt;&gt;"",IF($I18&gt;$J18,$F18,IF($I18&lt;$J18,$G18,$K18))=IF($L18&gt;$M18,$F18,IF($L18&lt;$M18,$G18,$N18))),1,0))</x:f>
      </x:c>
      <x:c r="Q18" s="59" t="str">
        <x:f>IF($O18="","",$O18+$P18)</x:f>
      </x:c>
      <x:c r="R18" s="59" t="str">
        <x:f>IF($Q18="","",IF($O18=3,"Cravada",IF(AND($H18="Sim",$L18=$M18,$I18=$J18,$O18=2),"Empate cravado",IF($O18=1,"Resultado certo",IF($O18=-2,"Invertida",IF($P18=1,"Acertou quem passa","Erro"))))))</x:f>
      </x:c>
      <x:c r="S18" s="59" t="str">
        <x:f>IF($O18="","",--(OR($O18=3,AND($H18="Sim",$L18=$M18,$I18=$J18,$O18=2))))</x:f>
      </x:c>
      <x:c r="T18" s="59" t="str">
        <x:f>IF($O18="","",--($O18=-2))</x:f>
      </x:c>
      <x:c r="U18" s="59" t="str">
        <x:f>IF($O18="","",--($O18=1))</x:f>
      </x:c>
      <x:c r="V18" s="59" t="n">
        <x:f>--(AND($I18&lt;&gt;"",$J18&lt;&gt;""))</x:f>
        <x:v>0</x:v>
      </x:c>
    </x:row>
    <x:row r="19">
      <x:c r="A19" s="21" t="str">
        <x:f>INDEX(Config!$B$10:$B$16,INT((ROW()-5)/104)+1)</x:f>
        <x:v>Leo B.</x:v>
      </x:c>
      <x:c r="B19" s="21" t="str">
        <x:v>GC3</x:v>
      </x:c>
      <x:c r="C19" s="21" t="n">
        <x:v>15</x:v>
      </x:c>
      <x:c r="D19" s="21" t="str">
        <x:v>Grupo C</x:v>
      </x:c>
      <x:c r="E19" s="21" t="str">
        <x:v>2026-06-19</x:v>
      </x:c>
      <x:c r="F19" s="21" t="str">
        <x:f>IFERROR(INDEX('Resultados'!$G$5:$G$108,MATCH($B19,'Resultados'!$A$5:$A$108,0)),"")</x:f>
        <x:v>Brasil</x:v>
      </x:c>
      <x:c r="G19" s="21" t="str">
        <x:f>IFERROR(INDEX('Resultados'!$J$5:$J$108,MATCH($B19,'Resultados'!$A$5:$A$108,0)),"")</x:f>
        <x:v>Haiti</x:v>
      </x:c>
      <x:c r="H19" s="21" t="str">
        <x:v>Não</x:v>
      </x:c>
      <x:c r="I19" s="22"/>
      <x:c r="J19" s="22"/>
      <x:c r="K19" s="23"/>
      <x:c r="L19" s="21" t="str">
        <x:f>IFERROR(INDEX('Resultados'!$H$5:$H$108,MATCH($B19,'Resultados'!$A$5:$A$108,0)),"")</x:f>
      </x:c>
      <x:c r="M19" s="21" t="str">
        <x:f>IFERROR(INDEX('Resultados'!$I$5:$I$108,MATCH($B19,'Resultados'!$A$5:$A$108,0)),"")</x:f>
      </x:c>
      <x:c r="N19" s="21" t="str">
        <x:f>IFERROR(INDEX('Resultados'!$L$5:$L$108,MATCH($B19,'Resultados'!$A$5:$A$108,0)),"")</x:f>
      </x:c>
      <x:c r="O19" s="59" t="str">
        <x:f>IF(OR($I19="",$J19="",$L19="",$M19=""),"",IF(AND($H19="Sim",$L19=$M19),IF($I19&lt;&gt;$J19,0,IF(AND($I19=$L19,$J19=$M19),2,1)),IF(AND($I19=$L19,$J19=$M19),3,IF(AND($I19&lt;&gt;$J19,$I19=$M19,$J19=$L19),-2,IF(SIGN($I19-$J19)=SIGN($L19-$M19),1,0)))))</x:f>
      </x:c>
      <x:c r="P19" s="59" t="str">
        <x:f>IF(OR($H19&lt;&gt;"Sim",$I19="",$J19="",$L19="",$M19=""),"",IF(AND(IF($I19&gt;$J19,$F19,IF($I19&lt;$J19,$G19,$K19))&lt;&gt;"",IF($L19&gt;$M19,$F19,IF($L19&lt;$M19,$G19,$N19))&lt;&gt;"",IF($I19&gt;$J19,$F19,IF($I19&lt;$J19,$G19,$K19))=IF($L19&gt;$M19,$F19,IF($L19&lt;$M19,$G19,$N19))),1,0))</x:f>
      </x:c>
      <x:c r="Q19" s="59" t="str">
        <x:f>IF($O19="","",$O19+$P19)</x:f>
      </x:c>
      <x:c r="R19" s="59" t="str">
        <x:f>IF($Q19="","",IF($O19=3,"Cravada",IF(AND($H19="Sim",$L19=$M19,$I19=$J19,$O19=2),"Empate cravado",IF($O19=1,"Resultado certo",IF($O19=-2,"Invertida",IF($P19=1,"Acertou quem passa","Erro"))))))</x:f>
      </x:c>
      <x:c r="S19" s="59" t="str">
        <x:f>IF($O19="","",--(OR($O19=3,AND($H19="Sim",$L19=$M19,$I19=$J19,$O19=2))))</x:f>
      </x:c>
      <x:c r="T19" s="59" t="str">
        <x:f>IF($O19="","",--($O19=-2))</x:f>
      </x:c>
      <x:c r="U19" s="59" t="str">
        <x:f>IF($O19="","",--($O19=1))</x:f>
      </x:c>
      <x:c r="V19" s="59" t="n">
        <x:f>--(AND($I19&lt;&gt;"",$J19&lt;&gt;""))</x:f>
        <x:v>0</x:v>
      </x:c>
    </x:row>
    <x:row r="20">
      <x:c r="A20" s="21" t="str">
        <x:f>INDEX(Config!$B$10:$B$16,INT((ROW()-5)/104)+1)</x:f>
        <x:v>Leo B.</x:v>
      </x:c>
      <x:c r="B20" s="21" t="str">
        <x:v>GC4</x:v>
      </x:c>
      <x:c r="C20" s="21" t="n">
        <x:v>16</x:v>
      </x:c>
      <x:c r="D20" s="21" t="str">
        <x:v>Grupo C</x:v>
      </x:c>
      <x:c r="E20" s="21" t="str">
        <x:v>2026-06-19</x:v>
      </x:c>
      <x:c r="F20" s="21" t="str">
        <x:f>IFERROR(INDEX('Resultados'!$G$5:$G$108,MATCH($B20,'Resultados'!$A$5:$A$108,0)),"")</x:f>
        <x:v>Marrocos</x:v>
      </x:c>
      <x:c r="G20" s="21" t="str">
        <x:f>IFERROR(INDEX('Resultados'!$J$5:$J$108,MATCH($B20,'Resultados'!$A$5:$A$108,0)),"")</x:f>
        <x:v>Escócia</x:v>
      </x:c>
      <x:c r="H20" s="21" t="str">
        <x:v>Não</x:v>
      </x:c>
      <x:c r="I20" s="22"/>
      <x:c r="J20" s="22"/>
      <x:c r="K20" s="23"/>
      <x:c r="L20" s="21" t="str">
        <x:f>IFERROR(INDEX('Resultados'!$H$5:$H$108,MATCH($B20,'Resultados'!$A$5:$A$108,0)),"")</x:f>
      </x:c>
      <x:c r="M20" s="21" t="str">
        <x:f>IFERROR(INDEX('Resultados'!$I$5:$I$108,MATCH($B20,'Resultados'!$A$5:$A$108,0)),"")</x:f>
      </x:c>
      <x:c r="N20" s="21" t="str">
        <x:f>IFERROR(INDEX('Resultados'!$L$5:$L$108,MATCH($B20,'Resultados'!$A$5:$A$108,0)),"")</x:f>
      </x:c>
      <x:c r="O20" s="59" t="str">
        <x:f>IF(OR($I20="",$J20="",$L20="",$M20=""),"",IF(AND($H20="Sim",$L20=$M20),IF($I20&lt;&gt;$J20,0,IF(AND($I20=$L20,$J20=$M20),2,1)),IF(AND($I20=$L20,$J20=$M20),3,IF(AND($I20&lt;&gt;$J20,$I20=$M20,$J20=$L20),-2,IF(SIGN($I20-$J20)=SIGN($L20-$M20),1,0)))))</x:f>
      </x:c>
      <x:c r="P20" s="59" t="str">
        <x:f>IF(OR($H20&lt;&gt;"Sim",$I20="",$J20="",$L20="",$M20=""),"",IF(AND(IF($I20&gt;$J20,$F20,IF($I20&lt;$J20,$G20,$K20))&lt;&gt;"",IF($L20&gt;$M20,$F20,IF($L20&lt;$M20,$G20,$N20))&lt;&gt;"",IF($I20&gt;$J20,$F20,IF($I20&lt;$J20,$G20,$K20))=IF($L20&gt;$M20,$F20,IF($L20&lt;$M20,$G20,$N20))),1,0))</x:f>
      </x:c>
      <x:c r="Q20" s="59" t="str">
        <x:f>IF($O20="","",$O20+$P20)</x:f>
      </x:c>
      <x:c r="R20" s="59" t="str">
        <x:f>IF($Q20="","",IF($O20=3,"Cravada",IF(AND($H20="Sim",$L20=$M20,$I20=$J20,$O20=2),"Empate cravado",IF($O20=1,"Resultado certo",IF($O20=-2,"Invertida",IF($P20=1,"Acertou quem passa","Erro"))))))</x:f>
      </x:c>
      <x:c r="S20" s="59" t="str">
        <x:f>IF($O20="","",--(OR($O20=3,AND($H20="Sim",$L20=$M20,$I20=$J20,$O20=2))))</x:f>
      </x:c>
      <x:c r="T20" s="59" t="str">
        <x:f>IF($O20="","",--($O20=-2))</x:f>
      </x:c>
      <x:c r="U20" s="59" t="str">
        <x:f>IF($O20="","",--($O20=1))</x:f>
      </x:c>
      <x:c r="V20" s="59" t="n">
        <x:f>--(AND($I20&lt;&gt;"",$J20&lt;&gt;""))</x:f>
        <x:v>0</x:v>
      </x:c>
    </x:row>
    <x:row r="21">
      <x:c r="A21" s="21" t="str">
        <x:f>INDEX(Config!$B$10:$B$16,INT((ROW()-5)/104)+1)</x:f>
        <x:v>Leo B.</x:v>
      </x:c>
      <x:c r="B21" s="21" t="str">
        <x:v>GC5</x:v>
      </x:c>
      <x:c r="C21" s="21" t="n">
        <x:v>17</x:v>
      </x:c>
      <x:c r="D21" s="21" t="str">
        <x:v>Grupo C</x:v>
      </x:c>
      <x:c r="E21" s="21" t="str">
        <x:v>2026-06-24</x:v>
      </x:c>
      <x:c r="F21" s="21" t="str">
        <x:f>IFERROR(INDEX('Resultados'!$G$5:$G$108,MATCH($B21,'Resultados'!$A$5:$A$108,0)),"")</x:f>
        <x:v>Brasil</x:v>
      </x:c>
      <x:c r="G21" s="21" t="str">
        <x:f>IFERROR(INDEX('Resultados'!$J$5:$J$108,MATCH($B21,'Resultados'!$A$5:$A$108,0)),"")</x:f>
        <x:v>Escócia</x:v>
      </x:c>
      <x:c r="H21" s="21" t="str">
        <x:v>Não</x:v>
      </x:c>
      <x:c r="I21" s="22"/>
      <x:c r="J21" s="22"/>
      <x:c r="K21" s="23"/>
      <x:c r="L21" s="21" t="str">
        <x:f>IFERROR(INDEX('Resultados'!$H$5:$H$108,MATCH($B21,'Resultados'!$A$5:$A$108,0)),"")</x:f>
      </x:c>
      <x:c r="M21" s="21" t="str">
        <x:f>IFERROR(INDEX('Resultados'!$I$5:$I$108,MATCH($B21,'Resultados'!$A$5:$A$108,0)),"")</x:f>
      </x:c>
      <x:c r="N21" s="21" t="str">
        <x:f>IFERROR(INDEX('Resultados'!$L$5:$L$108,MATCH($B21,'Resultados'!$A$5:$A$108,0)),"")</x:f>
      </x:c>
      <x:c r="O21" s="59" t="str">
        <x:f>IF(OR($I21="",$J21="",$L21="",$M21=""),"",IF(AND($H21="Sim",$L21=$M21),IF($I21&lt;&gt;$J21,0,IF(AND($I21=$L21,$J21=$M21),2,1)),IF(AND($I21=$L21,$J21=$M21),3,IF(AND($I21&lt;&gt;$J21,$I21=$M21,$J21=$L21),-2,IF(SIGN($I21-$J21)=SIGN($L21-$M21),1,0)))))</x:f>
      </x:c>
      <x:c r="P21" s="59" t="str">
        <x:f>IF(OR($H21&lt;&gt;"Sim",$I21="",$J21="",$L21="",$M21=""),"",IF(AND(IF($I21&gt;$J21,$F21,IF($I21&lt;$J21,$G21,$K21))&lt;&gt;"",IF($L21&gt;$M21,$F21,IF($L21&lt;$M21,$G21,$N21))&lt;&gt;"",IF($I21&gt;$J21,$F21,IF($I21&lt;$J21,$G21,$K21))=IF($L21&gt;$M21,$F21,IF($L21&lt;$M21,$G21,$N21))),1,0))</x:f>
      </x:c>
      <x:c r="Q21" s="59" t="str">
        <x:f>IF($O21="","",$O21+$P21)</x:f>
      </x:c>
      <x:c r="R21" s="59" t="str">
        <x:f>IF($Q21="","",IF($O21=3,"Cravada",IF(AND($H21="Sim",$L21=$M21,$I21=$J21,$O21=2),"Empate cravado",IF($O21=1,"Resultado certo",IF($O21=-2,"Invertida",IF($P21=1,"Acertou quem passa","Erro"))))))</x:f>
      </x:c>
      <x:c r="S21" s="59" t="str">
        <x:f>IF($O21="","",--(OR($O21=3,AND($H21="Sim",$L21=$M21,$I21=$J21,$O21=2))))</x:f>
      </x:c>
      <x:c r="T21" s="59" t="str">
        <x:f>IF($O21="","",--($O21=-2))</x:f>
      </x:c>
      <x:c r="U21" s="59" t="str">
        <x:f>IF($O21="","",--($O21=1))</x:f>
      </x:c>
      <x:c r="V21" s="59" t="n">
        <x:f>--(AND($I21&lt;&gt;"",$J21&lt;&gt;""))</x:f>
        <x:v>0</x:v>
      </x:c>
    </x:row>
    <x:row r="22">
      <x:c r="A22" s="21" t="str">
        <x:f>INDEX(Config!$B$10:$B$16,INT((ROW()-5)/104)+1)</x:f>
        <x:v>Leo B.</x:v>
      </x:c>
      <x:c r="B22" s="21" t="str">
        <x:v>GC6</x:v>
      </x:c>
      <x:c r="C22" s="21" t="n">
        <x:v>18</x:v>
      </x:c>
      <x:c r="D22" s="21" t="str">
        <x:v>Grupo C</x:v>
      </x:c>
      <x:c r="E22" s="21" t="str">
        <x:v>2026-06-24</x:v>
      </x:c>
      <x:c r="F22" s="21" t="str">
        <x:f>IFERROR(INDEX('Resultados'!$G$5:$G$108,MATCH($B22,'Resultados'!$A$5:$A$108,0)),"")</x:f>
        <x:v>Marrocos</x:v>
      </x:c>
      <x:c r="G22" s="21" t="str">
        <x:f>IFERROR(INDEX('Resultados'!$J$5:$J$108,MATCH($B22,'Resultados'!$A$5:$A$108,0)),"")</x:f>
        <x:v>Haiti</x:v>
      </x:c>
      <x:c r="H22" s="21" t="str">
        <x:v>Não</x:v>
      </x:c>
      <x:c r="I22" s="22"/>
      <x:c r="J22" s="22"/>
      <x:c r="K22" s="23"/>
      <x:c r="L22" s="21" t="str">
        <x:f>IFERROR(INDEX('Resultados'!$H$5:$H$108,MATCH($B22,'Resultados'!$A$5:$A$108,0)),"")</x:f>
      </x:c>
      <x:c r="M22" s="21" t="str">
        <x:f>IFERROR(INDEX('Resultados'!$I$5:$I$108,MATCH($B22,'Resultados'!$A$5:$A$108,0)),"")</x:f>
      </x:c>
      <x:c r="N22" s="21" t="str">
        <x:f>IFERROR(INDEX('Resultados'!$L$5:$L$108,MATCH($B22,'Resultados'!$A$5:$A$108,0)),"")</x:f>
      </x:c>
      <x:c r="O22" s="59" t="str">
        <x:f>IF(OR($I22="",$J22="",$L22="",$M22=""),"",IF(AND($H22="Sim",$L22=$M22),IF($I22&lt;&gt;$J22,0,IF(AND($I22=$L22,$J22=$M22),2,1)),IF(AND($I22=$L22,$J22=$M22),3,IF(AND($I22&lt;&gt;$J22,$I22=$M22,$J22=$L22),-2,IF(SIGN($I22-$J22)=SIGN($L22-$M22),1,0)))))</x:f>
      </x:c>
      <x:c r="P22" s="59" t="str">
        <x:f>IF(OR($H22&lt;&gt;"Sim",$I22="",$J22="",$L22="",$M22=""),"",IF(AND(IF($I22&gt;$J22,$F22,IF($I22&lt;$J22,$G22,$K22))&lt;&gt;"",IF($L22&gt;$M22,$F22,IF($L22&lt;$M22,$G22,$N22))&lt;&gt;"",IF($I22&gt;$J22,$F22,IF($I22&lt;$J22,$G22,$K22))=IF($L22&gt;$M22,$F22,IF($L22&lt;$M22,$G22,$N22))),1,0))</x:f>
      </x:c>
      <x:c r="Q22" s="59" t="str">
        <x:f>IF($O22="","",$O22+$P22)</x:f>
      </x:c>
      <x:c r="R22" s="59" t="str">
        <x:f>IF($Q22="","",IF($O22=3,"Cravada",IF(AND($H22="Sim",$L22=$M22,$I22=$J22,$O22=2),"Empate cravado",IF($O22=1,"Resultado certo",IF($O22=-2,"Invertida",IF($P22=1,"Acertou quem passa","Erro"))))))</x:f>
      </x:c>
      <x:c r="S22" s="59" t="str">
        <x:f>IF($O22="","",--(OR($O22=3,AND($H22="Sim",$L22=$M22,$I22=$J22,$O22=2))))</x:f>
      </x:c>
      <x:c r="T22" s="59" t="str">
        <x:f>IF($O22="","",--($O22=-2))</x:f>
      </x:c>
      <x:c r="U22" s="59" t="str">
        <x:f>IF($O22="","",--($O22=1))</x:f>
      </x:c>
      <x:c r="V22" s="59" t="n">
        <x:f>--(AND($I22&lt;&gt;"",$J22&lt;&gt;""))</x:f>
        <x:v>0</x:v>
      </x:c>
    </x:row>
    <x:row r="23">
      <x:c r="A23" s="21" t="str">
        <x:f>INDEX(Config!$B$10:$B$16,INT((ROW()-5)/104)+1)</x:f>
        <x:v>Leo B.</x:v>
      </x:c>
      <x:c r="B23" s="21" t="str">
        <x:v>GD1</x:v>
      </x:c>
      <x:c r="C23" s="21" t="n">
        <x:v>19</x:v>
      </x:c>
      <x:c r="D23" s="21" t="str">
        <x:v>Grupo D</x:v>
      </x:c>
      <x:c r="E23" s="21" t="str">
        <x:v>2026-06-12</x:v>
      </x:c>
      <x:c r="F23" s="21" t="str">
        <x:f>IFERROR(INDEX('Resultados'!$G$5:$G$108,MATCH($B23,'Resultados'!$A$5:$A$108,0)),"")</x:f>
        <x:v>EUA</x:v>
      </x:c>
      <x:c r="G23" s="21" t="str">
        <x:f>IFERROR(INDEX('Resultados'!$J$5:$J$108,MATCH($B23,'Resultados'!$A$5:$A$108,0)),"")</x:f>
        <x:v>Paraguai</x:v>
      </x:c>
      <x:c r="H23" s="21" t="str">
        <x:v>Não</x:v>
      </x:c>
      <x:c r="I23" s="22"/>
      <x:c r="J23" s="22"/>
      <x:c r="K23" s="23"/>
      <x:c r="L23" s="21" t="str">
        <x:f>IFERROR(INDEX('Resultados'!$H$5:$H$108,MATCH($B23,'Resultados'!$A$5:$A$108,0)),"")</x:f>
      </x:c>
      <x:c r="M23" s="21" t="str">
        <x:f>IFERROR(INDEX('Resultados'!$I$5:$I$108,MATCH($B23,'Resultados'!$A$5:$A$108,0)),"")</x:f>
      </x:c>
      <x:c r="N23" s="21" t="str">
        <x:f>IFERROR(INDEX('Resultados'!$L$5:$L$108,MATCH($B23,'Resultados'!$A$5:$A$108,0)),"")</x:f>
      </x:c>
      <x:c r="O23" s="59" t="str">
        <x:f>IF(OR($I23="",$J23="",$L23="",$M23=""),"",IF(AND($H23="Sim",$L23=$M23),IF($I23&lt;&gt;$J23,0,IF(AND($I23=$L23,$J23=$M23),2,1)),IF(AND($I23=$L23,$J23=$M23),3,IF(AND($I23&lt;&gt;$J23,$I23=$M23,$J23=$L23),-2,IF(SIGN($I23-$J23)=SIGN($L23-$M23),1,0)))))</x:f>
      </x:c>
      <x:c r="P23" s="59" t="str">
        <x:f>IF(OR($H23&lt;&gt;"Sim",$I23="",$J23="",$L23="",$M23=""),"",IF(AND(IF($I23&gt;$J23,$F23,IF($I23&lt;$J23,$G23,$K23))&lt;&gt;"",IF($L23&gt;$M23,$F23,IF($L23&lt;$M23,$G23,$N23))&lt;&gt;"",IF($I23&gt;$J23,$F23,IF($I23&lt;$J23,$G23,$K23))=IF($L23&gt;$M23,$F23,IF($L23&lt;$M23,$G23,$N23))),1,0))</x:f>
      </x:c>
      <x:c r="Q23" s="59" t="str">
        <x:f>IF($O23="","",$O23+$P23)</x:f>
      </x:c>
      <x:c r="R23" s="59" t="str">
        <x:f>IF($Q23="","",IF($O23=3,"Cravada",IF(AND($H23="Sim",$L23=$M23,$I23=$J23,$O23=2),"Empate cravado",IF($O23=1,"Resultado certo",IF($O23=-2,"Invertida",IF($P23=1,"Acertou quem passa","Erro"))))))</x:f>
      </x:c>
      <x:c r="S23" s="59" t="str">
        <x:f>IF($O23="","",--(OR($O23=3,AND($H23="Sim",$L23=$M23,$I23=$J23,$O23=2))))</x:f>
      </x:c>
      <x:c r="T23" s="59" t="str">
        <x:f>IF($O23="","",--($O23=-2))</x:f>
      </x:c>
      <x:c r="U23" s="59" t="str">
        <x:f>IF($O23="","",--($O23=1))</x:f>
      </x:c>
      <x:c r="V23" s="59" t="n">
        <x:f>--(AND($I23&lt;&gt;"",$J23&lt;&gt;""))</x:f>
        <x:v>0</x:v>
      </x:c>
    </x:row>
    <x:row r="24">
      <x:c r="A24" s="21" t="str">
        <x:f>INDEX(Config!$B$10:$B$16,INT((ROW()-5)/104)+1)</x:f>
        <x:v>Leo B.</x:v>
      </x:c>
      <x:c r="B24" s="21" t="str">
        <x:v>GD2</x:v>
      </x:c>
      <x:c r="C24" s="21" t="n">
        <x:v>20</x:v>
      </x:c>
      <x:c r="D24" s="21" t="str">
        <x:v>Grupo D</x:v>
      </x:c>
      <x:c r="E24" s="21" t="str">
        <x:v>2026-06-14</x:v>
      </x:c>
      <x:c r="F24" s="21" t="str">
        <x:f>IFERROR(INDEX('Resultados'!$G$5:$G$108,MATCH($B24,'Resultados'!$A$5:$A$108,0)),"")</x:f>
        <x:v>Austrália</x:v>
      </x:c>
      <x:c r="G24" s="21" t="str">
        <x:f>IFERROR(INDEX('Resultados'!$J$5:$J$108,MATCH($B24,'Resultados'!$A$5:$A$108,0)),"")</x:f>
        <x:v>Turquia</x:v>
      </x:c>
      <x:c r="H24" s="21" t="str">
        <x:v>Não</x:v>
      </x:c>
      <x:c r="I24" s="22"/>
      <x:c r="J24" s="22"/>
      <x:c r="K24" s="23"/>
      <x:c r="L24" s="21" t="str">
        <x:f>IFERROR(INDEX('Resultados'!$H$5:$H$108,MATCH($B24,'Resultados'!$A$5:$A$108,0)),"")</x:f>
      </x:c>
      <x:c r="M24" s="21" t="str">
        <x:f>IFERROR(INDEX('Resultados'!$I$5:$I$108,MATCH($B24,'Resultados'!$A$5:$A$108,0)),"")</x:f>
      </x:c>
      <x:c r="N24" s="21" t="str">
        <x:f>IFERROR(INDEX('Resultados'!$L$5:$L$108,MATCH($B24,'Resultados'!$A$5:$A$108,0)),"")</x:f>
      </x:c>
      <x:c r="O24" s="59" t="str">
        <x:f>IF(OR($I24="",$J24="",$L24="",$M24=""),"",IF(AND($H24="Sim",$L24=$M24),IF($I24&lt;&gt;$J24,0,IF(AND($I24=$L24,$J24=$M24),2,1)),IF(AND($I24=$L24,$J24=$M24),3,IF(AND($I24&lt;&gt;$J24,$I24=$M24,$J24=$L24),-2,IF(SIGN($I24-$J24)=SIGN($L24-$M24),1,0)))))</x:f>
      </x:c>
      <x:c r="P24" s="59" t="str">
        <x:f>IF(OR($H24&lt;&gt;"Sim",$I24="",$J24="",$L24="",$M24=""),"",IF(AND(IF($I24&gt;$J24,$F24,IF($I24&lt;$J24,$G24,$K24))&lt;&gt;"",IF($L24&gt;$M24,$F24,IF($L24&lt;$M24,$G24,$N24))&lt;&gt;"",IF($I24&gt;$J24,$F24,IF($I24&lt;$J24,$G24,$K24))=IF($L24&gt;$M24,$F24,IF($L24&lt;$M24,$G24,$N24))),1,0))</x:f>
      </x:c>
      <x:c r="Q24" s="59" t="str">
        <x:f>IF($O24="","",$O24+$P24)</x:f>
      </x:c>
      <x:c r="R24" s="59" t="str">
        <x:f>IF($Q24="","",IF($O24=3,"Cravada",IF(AND($H24="Sim",$L24=$M24,$I24=$J24,$O24=2),"Empate cravado",IF($O24=1,"Resultado certo",IF($O24=-2,"Invertida",IF($P24=1,"Acertou quem passa","Erro"))))))</x:f>
      </x:c>
      <x:c r="S24" s="59" t="str">
        <x:f>IF($O24="","",--(OR($O24=3,AND($H24="Sim",$L24=$M24,$I24=$J24,$O24=2))))</x:f>
      </x:c>
      <x:c r="T24" s="59" t="str">
        <x:f>IF($O24="","",--($O24=-2))</x:f>
      </x:c>
      <x:c r="U24" s="59" t="str">
        <x:f>IF($O24="","",--($O24=1))</x:f>
      </x:c>
      <x:c r="V24" s="59" t="n">
        <x:f>--(AND($I24&lt;&gt;"",$J24&lt;&gt;""))</x:f>
        <x:v>0</x:v>
      </x:c>
    </x:row>
    <x:row r="25">
      <x:c r="A25" s="21" t="str">
        <x:f>INDEX(Config!$B$10:$B$16,INT((ROW()-5)/104)+1)</x:f>
        <x:v>Leo B.</x:v>
      </x:c>
      <x:c r="B25" s="21" t="str">
        <x:v>GD3</x:v>
      </x:c>
      <x:c r="C25" s="21" t="n">
        <x:v>21</x:v>
      </x:c>
      <x:c r="D25" s="21" t="str">
        <x:v>Grupo D</x:v>
      </x:c>
      <x:c r="E25" s="21" t="str">
        <x:v>2026-06-19</x:v>
      </x:c>
      <x:c r="F25" s="21" t="str">
        <x:f>IFERROR(INDEX('Resultados'!$G$5:$G$108,MATCH($B25,'Resultados'!$A$5:$A$108,0)),"")</x:f>
        <x:v>EUA</x:v>
      </x:c>
      <x:c r="G25" s="21" t="str">
        <x:f>IFERROR(INDEX('Resultados'!$J$5:$J$108,MATCH($B25,'Resultados'!$A$5:$A$108,0)),"")</x:f>
        <x:v>Austrália</x:v>
      </x:c>
      <x:c r="H25" s="21" t="str">
        <x:v>Não</x:v>
      </x:c>
      <x:c r="I25" s="22"/>
      <x:c r="J25" s="22"/>
      <x:c r="K25" s="23"/>
      <x:c r="L25" s="21" t="str">
        <x:f>IFERROR(INDEX('Resultados'!$H$5:$H$108,MATCH($B25,'Resultados'!$A$5:$A$108,0)),"")</x:f>
      </x:c>
      <x:c r="M25" s="21" t="str">
        <x:f>IFERROR(INDEX('Resultados'!$I$5:$I$108,MATCH($B25,'Resultados'!$A$5:$A$108,0)),"")</x:f>
      </x:c>
      <x:c r="N25" s="21" t="str">
        <x:f>IFERROR(INDEX('Resultados'!$L$5:$L$108,MATCH($B25,'Resultados'!$A$5:$A$108,0)),"")</x:f>
      </x:c>
      <x:c r="O25" s="59" t="str">
        <x:f>IF(OR($I25="",$J25="",$L25="",$M25=""),"",IF(AND($H25="Sim",$L25=$M25),IF($I25&lt;&gt;$J25,0,IF(AND($I25=$L25,$J25=$M25),2,1)),IF(AND($I25=$L25,$J25=$M25),3,IF(AND($I25&lt;&gt;$J25,$I25=$M25,$J25=$L25),-2,IF(SIGN($I25-$J25)=SIGN($L25-$M25),1,0)))))</x:f>
      </x:c>
      <x:c r="P25" s="59" t="str">
        <x:f>IF(OR($H25&lt;&gt;"Sim",$I25="",$J25="",$L25="",$M25=""),"",IF(AND(IF($I25&gt;$J25,$F25,IF($I25&lt;$J25,$G25,$K25))&lt;&gt;"",IF($L25&gt;$M25,$F25,IF($L25&lt;$M25,$G25,$N25))&lt;&gt;"",IF($I25&gt;$J25,$F25,IF($I25&lt;$J25,$G25,$K25))=IF($L25&gt;$M25,$F25,IF($L25&lt;$M25,$G25,$N25))),1,0))</x:f>
      </x:c>
      <x:c r="Q25" s="59" t="str">
        <x:f>IF($O25="","",$O25+$P25)</x:f>
      </x:c>
      <x:c r="R25" s="59" t="str">
        <x:f>IF($Q25="","",IF($O25=3,"Cravada",IF(AND($H25="Sim",$L25=$M25,$I25=$J25,$O25=2),"Empate cravado",IF($O25=1,"Resultado certo",IF($O25=-2,"Invertida",IF($P25=1,"Acertou quem passa","Erro"))))))</x:f>
      </x:c>
      <x:c r="S25" s="59" t="str">
        <x:f>IF($O25="","",--(OR($O25=3,AND($H25="Sim",$L25=$M25,$I25=$J25,$O25=2))))</x:f>
      </x:c>
      <x:c r="T25" s="59" t="str">
        <x:f>IF($O25="","",--($O25=-2))</x:f>
      </x:c>
      <x:c r="U25" s="59" t="str">
        <x:f>IF($O25="","",--($O25=1))</x:f>
      </x:c>
      <x:c r="V25" s="59" t="n">
        <x:f>--(AND($I25&lt;&gt;"",$J25&lt;&gt;""))</x:f>
        <x:v>0</x:v>
      </x:c>
    </x:row>
    <x:row r="26">
      <x:c r="A26" s="21" t="str">
        <x:f>INDEX(Config!$B$10:$B$16,INT((ROW()-5)/104)+1)</x:f>
        <x:v>Leo B.</x:v>
      </x:c>
      <x:c r="B26" s="21" t="str">
        <x:v>GD4</x:v>
      </x:c>
      <x:c r="C26" s="21" t="n">
        <x:v>22</x:v>
      </x:c>
      <x:c r="D26" s="21" t="str">
        <x:v>Grupo D</x:v>
      </x:c>
      <x:c r="E26" s="21" t="str">
        <x:v>2026-06-20</x:v>
      </x:c>
      <x:c r="F26" s="21" t="str">
        <x:f>IFERROR(INDEX('Resultados'!$G$5:$G$108,MATCH($B26,'Resultados'!$A$5:$A$108,0)),"")</x:f>
        <x:v>Paraguai</x:v>
      </x:c>
      <x:c r="G26" s="21" t="str">
        <x:f>IFERROR(INDEX('Resultados'!$J$5:$J$108,MATCH($B26,'Resultados'!$A$5:$A$108,0)),"")</x:f>
        <x:v>Turquia</x:v>
      </x:c>
      <x:c r="H26" s="21" t="str">
        <x:v>Não</x:v>
      </x:c>
      <x:c r="I26" s="22"/>
      <x:c r="J26" s="22"/>
      <x:c r="K26" s="23"/>
      <x:c r="L26" s="21" t="str">
        <x:f>IFERROR(INDEX('Resultados'!$H$5:$H$108,MATCH($B26,'Resultados'!$A$5:$A$108,0)),"")</x:f>
      </x:c>
      <x:c r="M26" s="21" t="str">
        <x:f>IFERROR(INDEX('Resultados'!$I$5:$I$108,MATCH($B26,'Resultados'!$A$5:$A$108,0)),"")</x:f>
      </x:c>
      <x:c r="N26" s="21" t="str">
        <x:f>IFERROR(INDEX('Resultados'!$L$5:$L$108,MATCH($B26,'Resultados'!$A$5:$A$108,0)),"")</x:f>
      </x:c>
      <x:c r="O26" s="59" t="str">
        <x:f>IF(OR($I26="",$J26="",$L26="",$M26=""),"",IF(AND($H26="Sim",$L26=$M26),IF($I26&lt;&gt;$J26,0,IF(AND($I26=$L26,$J26=$M26),2,1)),IF(AND($I26=$L26,$J26=$M26),3,IF(AND($I26&lt;&gt;$J26,$I26=$M26,$J26=$L26),-2,IF(SIGN($I26-$J26)=SIGN($L26-$M26),1,0)))))</x:f>
      </x:c>
      <x:c r="P26" s="59" t="str">
        <x:f>IF(OR($H26&lt;&gt;"Sim",$I26="",$J26="",$L26="",$M26=""),"",IF(AND(IF($I26&gt;$J26,$F26,IF($I26&lt;$J26,$G26,$K26))&lt;&gt;"",IF($L26&gt;$M26,$F26,IF($L26&lt;$M26,$G26,$N26))&lt;&gt;"",IF($I26&gt;$J26,$F26,IF($I26&lt;$J26,$G26,$K26))=IF($L26&gt;$M26,$F26,IF($L26&lt;$M26,$G26,$N26))),1,0))</x:f>
      </x:c>
      <x:c r="Q26" s="59" t="str">
        <x:f>IF($O26="","",$O26+$P26)</x:f>
      </x:c>
      <x:c r="R26" s="59" t="str">
        <x:f>IF($Q26="","",IF($O26=3,"Cravada",IF(AND($H26="Sim",$L26=$M26,$I26=$J26,$O26=2),"Empate cravado",IF($O26=1,"Resultado certo",IF($O26=-2,"Invertida",IF($P26=1,"Acertou quem passa","Erro"))))))</x:f>
      </x:c>
      <x:c r="S26" s="59" t="str">
        <x:f>IF($O26="","",--(OR($O26=3,AND($H26="Sim",$L26=$M26,$I26=$J26,$O26=2))))</x:f>
      </x:c>
      <x:c r="T26" s="59" t="str">
        <x:f>IF($O26="","",--($O26=-2))</x:f>
      </x:c>
      <x:c r="U26" s="59" t="str">
        <x:f>IF($O26="","",--($O26=1))</x:f>
      </x:c>
      <x:c r="V26" s="59" t="n">
        <x:f>--(AND($I26&lt;&gt;"",$J26&lt;&gt;""))</x:f>
        <x:v>0</x:v>
      </x:c>
    </x:row>
    <x:row r="27">
      <x:c r="A27" s="21" t="str">
        <x:f>INDEX(Config!$B$10:$B$16,INT((ROW()-5)/104)+1)</x:f>
        <x:v>Leo B.</x:v>
      </x:c>
      <x:c r="B27" s="21" t="str">
        <x:v>GD5</x:v>
      </x:c>
      <x:c r="C27" s="21" t="n">
        <x:v>23</x:v>
      </x:c>
      <x:c r="D27" s="21" t="str">
        <x:v>Grupo D</x:v>
      </x:c>
      <x:c r="E27" s="21" t="str">
        <x:v>2026-06-25</x:v>
      </x:c>
      <x:c r="F27" s="21" t="str">
        <x:f>IFERROR(INDEX('Resultados'!$G$5:$G$108,MATCH($B27,'Resultados'!$A$5:$A$108,0)),"")</x:f>
        <x:v>EUA</x:v>
      </x:c>
      <x:c r="G27" s="21" t="str">
        <x:f>IFERROR(INDEX('Resultados'!$J$5:$J$108,MATCH($B27,'Resultados'!$A$5:$A$108,0)),"")</x:f>
        <x:v>Turquia</x:v>
      </x:c>
      <x:c r="H27" s="21" t="str">
        <x:v>Não</x:v>
      </x:c>
      <x:c r="I27" s="22"/>
      <x:c r="J27" s="22"/>
      <x:c r="K27" s="23"/>
      <x:c r="L27" s="21" t="str">
        <x:f>IFERROR(INDEX('Resultados'!$H$5:$H$108,MATCH($B27,'Resultados'!$A$5:$A$108,0)),"")</x:f>
      </x:c>
      <x:c r="M27" s="21" t="str">
        <x:f>IFERROR(INDEX('Resultados'!$I$5:$I$108,MATCH($B27,'Resultados'!$A$5:$A$108,0)),"")</x:f>
      </x:c>
      <x:c r="N27" s="21" t="str">
        <x:f>IFERROR(INDEX('Resultados'!$L$5:$L$108,MATCH($B27,'Resultados'!$A$5:$A$108,0)),"")</x:f>
      </x:c>
      <x:c r="O27" s="59" t="str">
        <x:f>IF(OR($I27="",$J27="",$L27="",$M27=""),"",IF(AND($H27="Sim",$L27=$M27),IF($I27&lt;&gt;$J27,0,IF(AND($I27=$L27,$J27=$M27),2,1)),IF(AND($I27=$L27,$J27=$M27),3,IF(AND($I27&lt;&gt;$J27,$I27=$M27,$J27=$L27),-2,IF(SIGN($I27-$J27)=SIGN($L27-$M27),1,0)))))</x:f>
      </x:c>
      <x:c r="P27" s="59" t="str">
        <x:f>IF(OR($H27&lt;&gt;"Sim",$I27="",$J27="",$L27="",$M27=""),"",IF(AND(IF($I27&gt;$J27,$F27,IF($I27&lt;$J27,$G27,$K27))&lt;&gt;"",IF($L27&gt;$M27,$F27,IF($L27&lt;$M27,$G27,$N27))&lt;&gt;"",IF($I27&gt;$J27,$F27,IF($I27&lt;$J27,$G27,$K27))=IF($L27&gt;$M27,$F27,IF($L27&lt;$M27,$G27,$N27))),1,0))</x:f>
      </x:c>
      <x:c r="Q27" s="59" t="str">
        <x:f>IF($O27="","",$O27+$P27)</x:f>
      </x:c>
      <x:c r="R27" s="59" t="str">
        <x:f>IF($Q27="","",IF($O27=3,"Cravada",IF(AND($H27="Sim",$L27=$M27,$I27=$J27,$O27=2),"Empate cravado",IF($O27=1,"Resultado certo",IF($O27=-2,"Invertida",IF($P27=1,"Acertou quem passa","Erro"))))))</x:f>
      </x:c>
      <x:c r="S27" s="59" t="str">
        <x:f>IF($O27="","",--(OR($O27=3,AND($H27="Sim",$L27=$M27,$I27=$J27,$O27=2))))</x:f>
      </x:c>
      <x:c r="T27" s="59" t="str">
        <x:f>IF($O27="","",--($O27=-2))</x:f>
      </x:c>
      <x:c r="U27" s="59" t="str">
        <x:f>IF($O27="","",--($O27=1))</x:f>
      </x:c>
      <x:c r="V27" s="59" t="n">
        <x:f>--(AND($I27&lt;&gt;"",$J27&lt;&gt;""))</x:f>
        <x:v>0</x:v>
      </x:c>
    </x:row>
    <x:row r="28">
      <x:c r="A28" s="21" t="str">
        <x:f>INDEX(Config!$B$10:$B$16,INT((ROW()-5)/104)+1)</x:f>
        <x:v>Leo B.</x:v>
      </x:c>
      <x:c r="B28" s="21" t="str">
        <x:v>GD6</x:v>
      </x:c>
      <x:c r="C28" s="21" t="n">
        <x:v>24</x:v>
      </x:c>
      <x:c r="D28" s="21" t="str">
        <x:v>Grupo D</x:v>
      </x:c>
      <x:c r="E28" s="21" t="str">
        <x:v>2026-06-25</x:v>
      </x:c>
      <x:c r="F28" s="21" t="str">
        <x:f>IFERROR(INDEX('Resultados'!$G$5:$G$108,MATCH($B28,'Resultados'!$A$5:$A$108,0)),"")</x:f>
        <x:v>Paraguai</x:v>
      </x:c>
      <x:c r="G28" s="21" t="str">
        <x:f>IFERROR(INDEX('Resultados'!$J$5:$J$108,MATCH($B28,'Resultados'!$A$5:$A$108,0)),"")</x:f>
        <x:v>Austrália</x:v>
      </x:c>
      <x:c r="H28" s="21" t="str">
        <x:v>Não</x:v>
      </x:c>
      <x:c r="I28" s="22"/>
      <x:c r="J28" s="22"/>
      <x:c r="K28" s="23"/>
      <x:c r="L28" s="21" t="str">
        <x:f>IFERROR(INDEX('Resultados'!$H$5:$H$108,MATCH($B28,'Resultados'!$A$5:$A$108,0)),"")</x:f>
      </x:c>
      <x:c r="M28" s="21" t="str">
        <x:f>IFERROR(INDEX('Resultados'!$I$5:$I$108,MATCH($B28,'Resultados'!$A$5:$A$108,0)),"")</x:f>
      </x:c>
      <x:c r="N28" s="21" t="str">
        <x:f>IFERROR(INDEX('Resultados'!$L$5:$L$108,MATCH($B28,'Resultados'!$A$5:$A$108,0)),"")</x:f>
      </x:c>
      <x:c r="O28" s="59" t="str">
        <x:f>IF(OR($I28="",$J28="",$L28="",$M28=""),"",IF(AND($H28="Sim",$L28=$M28),IF($I28&lt;&gt;$J28,0,IF(AND($I28=$L28,$J28=$M28),2,1)),IF(AND($I28=$L28,$J28=$M28),3,IF(AND($I28&lt;&gt;$J28,$I28=$M28,$J28=$L28),-2,IF(SIGN($I28-$J28)=SIGN($L28-$M28),1,0)))))</x:f>
      </x:c>
      <x:c r="P28" s="59" t="str">
        <x:f>IF(OR($H28&lt;&gt;"Sim",$I28="",$J28="",$L28="",$M28=""),"",IF(AND(IF($I28&gt;$J28,$F28,IF($I28&lt;$J28,$G28,$K28))&lt;&gt;"",IF($L28&gt;$M28,$F28,IF($L28&lt;$M28,$G28,$N28))&lt;&gt;"",IF($I28&gt;$J28,$F28,IF($I28&lt;$J28,$G28,$K28))=IF($L28&gt;$M28,$F28,IF($L28&lt;$M28,$G28,$N28))),1,0))</x:f>
      </x:c>
      <x:c r="Q28" s="59" t="str">
        <x:f>IF($O28="","",$O28+$P28)</x:f>
      </x:c>
      <x:c r="R28" s="59" t="str">
        <x:f>IF($Q28="","",IF($O28=3,"Cravada",IF(AND($H28="Sim",$L28=$M28,$I28=$J28,$O28=2),"Empate cravado",IF($O28=1,"Resultado certo",IF($O28=-2,"Invertida",IF($P28=1,"Acertou quem passa","Erro"))))))</x:f>
      </x:c>
      <x:c r="S28" s="59" t="str">
        <x:f>IF($O28="","",--(OR($O28=3,AND($H28="Sim",$L28=$M28,$I28=$J28,$O28=2))))</x:f>
      </x:c>
      <x:c r="T28" s="59" t="str">
        <x:f>IF($O28="","",--($O28=-2))</x:f>
      </x:c>
      <x:c r="U28" s="59" t="str">
        <x:f>IF($O28="","",--($O28=1))</x:f>
      </x:c>
      <x:c r="V28" s="59" t="n">
        <x:f>--(AND($I28&lt;&gt;"",$J28&lt;&gt;""))</x:f>
        <x:v>0</x:v>
      </x:c>
    </x:row>
    <x:row r="29">
      <x:c r="A29" s="21" t="str">
        <x:f>INDEX(Config!$B$10:$B$16,INT((ROW()-5)/104)+1)</x:f>
        <x:v>Leo B.</x:v>
      </x:c>
      <x:c r="B29" s="21" t="str">
        <x:v>GE1</x:v>
      </x:c>
      <x:c r="C29" s="21" t="n">
        <x:v>25</x:v>
      </x:c>
      <x:c r="D29" s="21" t="str">
        <x:v>Grupo E</x:v>
      </x:c>
      <x:c r="E29" s="21" t="str">
        <x:v>2026-06-14</x:v>
      </x:c>
      <x:c r="F29" s="21" t="str">
        <x:f>IFERROR(INDEX('Resultados'!$G$5:$G$108,MATCH($B29,'Resultados'!$A$5:$A$108,0)),"")</x:f>
        <x:v>Alemanha</x:v>
      </x:c>
      <x:c r="G29" s="21" t="str">
        <x:f>IFERROR(INDEX('Resultados'!$J$5:$J$108,MATCH($B29,'Resultados'!$A$5:$A$108,0)),"")</x:f>
        <x:v>Curaçau</x:v>
      </x:c>
      <x:c r="H29" s="21" t="str">
        <x:v>Não</x:v>
      </x:c>
      <x:c r="I29" s="22"/>
      <x:c r="J29" s="22"/>
      <x:c r="K29" s="23"/>
      <x:c r="L29" s="21" t="str">
        <x:f>IFERROR(INDEX('Resultados'!$H$5:$H$108,MATCH($B29,'Resultados'!$A$5:$A$108,0)),"")</x:f>
      </x:c>
      <x:c r="M29" s="21" t="str">
        <x:f>IFERROR(INDEX('Resultados'!$I$5:$I$108,MATCH($B29,'Resultados'!$A$5:$A$108,0)),"")</x:f>
      </x:c>
      <x:c r="N29" s="21" t="str">
        <x:f>IFERROR(INDEX('Resultados'!$L$5:$L$108,MATCH($B29,'Resultados'!$A$5:$A$108,0)),"")</x:f>
      </x:c>
      <x:c r="O29" s="59" t="str">
        <x:f>IF(OR($I29="",$J29="",$L29="",$M29=""),"",IF(AND($H29="Sim",$L29=$M29),IF($I29&lt;&gt;$J29,0,IF(AND($I29=$L29,$J29=$M29),2,1)),IF(AND($I29=$L29,$J29=$M29),3,IF(AND($I29&lt;&gt;$J29,$I29=$M29,$J29=$L29),-2,IF(SIGN($I29-$J29)=SIGN($L29-$M29),1,0)))))</x:f>
      </x:c>
      <x:c r="P29" s="59" t="str">
        <x:f>IF(OR($H29&lt;&gt;"Sim",$I29="",$J29="",$L29="",$M29=""),"",IF(AND(IF($I29&gt;$J29,$F29,IF($I29&lt;$J29,$G29,$K29))&lt;&gt;"",IF($L29&gt;$M29,$F29,IF($L29&lt;$M29,$G29,$N29))&lt;&gt;"",IF($I29&gt;$J29,$F29,IF($I29&lt;$J29,$G29,$K29))=IF($L29&gt;$M29,$F29,IF($L29&lt;$M29,$G29,$N29))),1,0))</x:f>
      </x:c>
      <x:c r="Q29" s="59" t="str">
        <x:f>IF($O29="","",$O29+$P29)</x:f>
      </x:c>
      <x:c r="R29" s="59" t="str">
        <x:f>IF($Q29="","",IF($O29=3,"Cravada",IF(AND($H29="Sim",$L29=$M29,$I29=$J29,$O29=2),"Empate cravado",IF($O29=1,"Resultado certo",IF($O29=-2,"Invertida",IF($P29=1,"Acertou quem passa","Erro"))))))</x:f>
      </x:c>
      <x:c r="S29" s="59" t="str">
        <x:f>IF($O29="","",--(OR($O29=3,AND($H29="Sim",$L29=$M29,$I29=$J29,$O29=2))))</x:f>
      </x:c>
      <x:c r="T29" s="59" t="str">
        <x:f>IF($O29="","",--($O29=-2))</x:f>
      </x:c>
      <x:c r="U29" s="59" t="str">
        <x:f>IF($O29="","",--($O29=1))</x:f>
      </x:c>
      <x:c r="V29" s="59" t="n">
        <x:f>--(AND($I29&lt;&gt;"",$J29&lt;&gt;""))</x:f>
        <x:v>0</x:v>
      </x:c>
    </x:row>
    <x:row r="30">
      <x:c r="A30" s="21" t="str">
        <x:f>INDEX(Config!$B$10:$B$16,INT((ROW()-5)/104)+1)</x:f>
        <x:v>Leo B.</x:v>
      </x:c>
      <x:c r="B30" s="21" t="str">
        <x:v>GE2</x:v>
      </x:c>
      <x:c r="C30" s="21" t="n">
        <x:v>26</x:v>
      </x:c>
      <x:c r="D30" s="21" t="str">
        <x:v>Grupo E</x:v>
      </x:c>
      <x:c r="E30" s="21" t="str">
        <x:v>2026-06-14</x:v>
      </x:c>
      <x:c r="F30" s="21" t="str">
        <x:f>IFERROR(INDEX('Resultados'!$G$5:$G$108,MATCH($B30,'Resultados'!$A$5:$A$108,0)),"")</x:f>
        <x:v>Costa do Marfim</x:v>
      </x:c>
      <x:c r="G30" s="21" t="str">
        <x:f>IFERROR(INDEX('Resultados'!$J$5:$J$108,MATCH($B30,'Resultados'!$A$5:$A$108,0)),"")</x:f>
        <x:v>Equador</x:v>
      </x:c>
      <x:c r="H30" s="21" t="str">
        <x:v>Não</x:v>
      </x:c>
      <x:c r="I30" s="22"/>
      <x:c r="J30" s="22"/>
      <x:c r="K30" s="23"/>
      <x:c r="L30" s="21" t="str">
        <x:f>IFERROR(INDEX('Resultados'!$H$5:$H$108,MATCH($B30,'Resultados'!$A$5:$A$108,0)),"")</x:f>
      </x:c>
      <x:c r="M30" s="21" t="str">
        <x:f>IFERROR(INDEX('Resultados'!$I$5:$I$108,MATCH($B30,'Resultados'!$A$5:$A$108,0)),"")</x:f>
      </x:c>
      <x:c r="N30" s="21" t="str">
        <x:f>IFERROR(INDEX('Resultados'!$L$5:$L$108,MATCH($B30,'Resultados'!$A$5:$A$108,0)),"")</x:f>
      </x:c>
      <x:c r="O30" s="59" t="str">
        <x:f>IF(OR($I30="",$J30="",$L30="",$M30=""),"",IF(AND($H30="Sim",$L30=$M30),IF($I30&lt;&gt;$J30,0,IF(AND($I30=$L30,$J30=$M30),2,1)),IF(AND($I30=$L30,$J30=$M30),3,IF(AND($I30&lt;&gt;$J30,$I30=$M30,$J30=$L30),-2,IF(SIGN($I30-$J30)=SIGN($L30-$M30),1,0)))))</x:f>
      </x:c>
      <x:c r="P30" s="59" t="str">
        <x:f>IF(OR($H30&lt;&gt;"Sim",$I30="",$J30="",$L30="",$M30=""),"",IF(AND(IF($I30&gt;$J30,$F30,IF($I30&lt;$J30,$G30,$K30))&lt;&gt;"",IF($L30&gt;$M30,$F30,IF($L30&lt;$M30,$G30,$N30))&lt;&gt;"",IF($I30&gt;$J30,$F30,IF($I30&lt;$J30,$G30,$K30))=IF($L30&gt;$M30,$F30,IF($L30&lt;$M30,$G30,$N30))),1,0))</x:f>
      </x:c>
      <x:c r="Q30" s="59" t="str">
        <x:f>IF($O30="","",$O30+$P30)</x:f>
      </x:c>
      <x:c r="R30" s="59" t="str">
        <x:f>IF($Q30="","",IF($O30=3,"Cravada",IF(AND($H30="Sim",$L30=$M30,$I30=$J30,$O30=2),"Empate cravado",IF($O30=1,"Resultado certo",IF($O30=-2,"Invertida",IF($P30=1,"Acertou quem passa","Erro"))))))</x:f>
      </x:c>
      <x:c r="S30" s="59" t="str">
        <x:f>IF($O30="","",--(OR($O30=3,AND($H30="Sim",$L30=$M30,$I30=$J30,$O30=2))))</x:f>
      </x:c>
      <x:c r="T30" s="59" t="str">
        <x:f>IF($O30="","",--($O30=-2))</x:f>
      </x:c>
      <x:c r="U30" s="59" t="str">
        <x:f>IF($O30="","",--($O30=1))</x:f>
      </x:c>
      <x:c r="V30" s="59" t="n">
        <x:f>--(AND($I30&lt;&gt;"",$J30&lt;&gt;""))</x:f>
        <x:v>0</x:v>
      </x:c>
    </x:row>
    <x:row r="31">
      <x:c r="A31" s="21" t="str">
        <x:f>INDEX(Config!$B$10:$B$16,INT((ROW()-5)/104)+1)</x:f>
        <x:v>Leo B.</x:v>
      </x:c>
      <x:c r="B31" s="21" t="str">
        <x:v>GE3</x:v>
      </x:c>
      <x:c r="C31" s="21" t="n">
        <x:v>27</x:v>
      </x:c>
      <x:c r="D31" s="21" t="str">
        <x:v>Grupo E</x:v>
      </x:c>
      <x:c r="E31" s="21" t="str">
        <x:v>2026-06-20</x:v>
      </x:c>
      <x:c r="F31" s="21" t="str">
        <x:f>IFERROR(INDEX('Resultados'!$G$5:$G$108,MATCH($B31,'Resultados'!$A$5:$A$108,0)),"")</x:f>
        <x:v>Alemanha</x:v>
      </x:c>
      <x:c r="G31" s="21" t="str">
        <x:f>IFERROR(INDEX('Resultados'!$J$5:$J$108,MATCH($B31,'Resultados'!$A$5:$A$108,0)),"")</x:f>
        <x:v>Costa do Marfim</x:v>
      </x:c>
      <x:c r="H31" s="21" t="str">
        <x:v>Não</x:v>
      </x:c>
      <x:c r="I31" s="22"/>
      <x:c r="J31" s="22"/>
      <x:c r="K31" s="23"/>
      <x:c r="L31" s="21" t="str">
        <x:f>IFERROR(INDEX('Resultados'!$H$5:$H$108,MATCH($B31,'Resultados'!$A$5:$A$108,0)),"")</x:f>
      </x:c>
      <x:c r="M31" s="21" t="str">
        <x:f>IFERROR(INDEX('Resultados'!$I$5:$I$108,MATCH($B31,'Resultados'!$A$5:$A$108,0)),"")</x:f>
      </x:c>
      <x:c r="N31" s="21" t="str">
        <x:f>IFERROR(INDEX('Resultados'!$L$5:$L$108,MATCH($B31,'Resultados'!$A$5:$A$108,0)),"")</x:f>
      </x:c>
      <x:c r="O31" s="59" t="str">
        <x:f>IF(OR($I31="",$J31="",$L31="",$M31=""),"",IF(AND($H31="Sim",$L31=$M31),IF($I31&lt;&gt;$J31,0,IF(AND($I31=$L31,$J31=$M31),2,1)),IF(AND($I31=$L31,$J31=$M31),3,IF(AND($I31&lt;&gt;$J31,$I31=$M31,$J31=$L31),-2,IF(SIGN($I31-$J31)=SIGN($L31-$M31),1,0)))))</x:f>
      </x:c>
      <x:c r="P31" s="59" t="str">
        <x:f>IF(OR($H31&lt;&gt;"Sim",$I31="",$J31="",$L31="",$M31=""),"",IF(AND(IF($I31&gt;$J31,$F31,IF($I31&lt;$J31,$G31,$K31))&lt;&gt;"",IF($L31&gt;$M31,$F31,IF($L31&lt;$M31,$G31,$N31))&lt;&gt;"",IF($I31&gt;$J31,$F31,IF($I31&lt;$J31,$G31,$K31))=IF($L31&gt;$M31,$F31,IF($L31&lt;$M31,$G31,$N31))),1,0))</x:f>
      </x:c>
      <x:c r="Q31" s="59" t="str">
        <x:f>IF($O31="","",$O31+$P31)</x:f>
      </x:c>
      <x:c r="R31" s="59" t="str">
        <x:f>IF($Q31="","",IF($O31=3,"Cravada",IF(AND($H31="Sim",$L31=$M31,$I31=$J31,$O31=2),"Empate cravado",IF($O31=1,"Resultado certo",IF($O31=-2,"Invertida",IF($P31=1,"Acertou quem passa","Erro"))))))</x:f>
      </x:c>
      <x:c r="S31" s="59" t="str">
        <x:f>IF($O31="","",--(OR($O31=3,AND($H31="Sim",$L31=$M31,$I31=$J31,$O31=2))))</x:f>
      </x:c>
      <x:c r="T31" s="59" t="str">
        <x:f>IF($O31="","",--($O31=-2))</x:f>
      </x:c>
      <x:c r="U31" s="59" t="str">
        <x:f>IF($O31="","",--($O31=1))</x:f>
      </x:c>
      <x:c r="V31" s="59" t="n">
        <x:f>--(AND($I31&lt;&gt;"",$J31&lt;&gt;""))</x:f>
        <x:v>0</x:v>
      </x:c>
    </x:row>
    <x:row r="32">
      <x:c r="A32" s="21" t="str">
        <x:f>INDEX(Config!$B$10:$B$16,INT((ROW()-5)/104)+1)</x:f>
        <x:v>Leo B.</x:v>
      </x:c>
      <x:c r="B32" s="21" t="str">
        <x:v>GE4</x:v>
      </x:c>
      <x:c r="C32" s="21" t="n">
        <x:v>28</x:v>
      </x:c>
      <x:c r="D32" s="21" t="str">
        <x:v>Grupo E</x:v>
      </x:c>
      <x:c r="E32" s="21" t="str">
        <x:v>2026-06-20</x:v>
      </x:c>
      <x:c r="F32" s="21" t="str">
        <x:f>IFERROR(INDEX('Resultados'!$G$5:$G$108,MATCH($B32,'Resultados'!$A$5:$A$108,0)),"")</x:f>
        <x:v>Curaçau</x:v>
      </x:c>
      <x:c r="G32" s="21" t="str">
        <x:f>IFERROR(INDEX('Resultados'!$J$5:$J$108,MATCH($B32,'Resultados'!$A$5:$A$108,0)),"")</x:f>
        <x:v>Equador</x:v>
      </x:c>
      <x:c r="H32" s="21" t="str">
        <x:v>Não</x:v>
      </x:c>
      <x:c r="I32" s="22"/>
      <x:c r="J32" s="22"/>
      <x:c r="K32" s="23"/>
      <x:c r="L32" s="21" t="str">
        <x:f>IFERROR(INDEX('Resultados'!$H$5:$H$108,MATCH($B32,'Resultados'!$A$5:$A$108,0)),"")</x:f>
      </x:c>
      <x:c r="M32" s="21" t="str">
        <x:f>IFERROR(INDEX('Resultados'!$I$5:$I$108,MATCH($B32,'Resultados'!$A$5:$A$108,0)),"")</x:f>
      </x:c>
      <x:c r="N32" s="21" t="str">
        <x:f>IFERROR(INDEX('Resultados'!$L$5:$L$108,MATCH($B32,'Resultados'!$A$5:$A$108,0)),"")</x:f>
      </x:c>
      <x:c r="O32" s="59" t="str">
        <x:f>IF(OR($I32="",$J32="",$L32="",$M32=""),"",IF(AND($H32="Sim",$L32=$M32),IF($I32&lt;&gt;$J32,0,IF(AND($I32=$L32,$J32=$M32),2,1)),IF(AND($I32=$L32,$J32=$M32),3,IF(AND($I32&lt;&gt;$J32,$I32=$M32,$J32=$L32),-2,IF(SIGN($I32-$J32)=SIGN($L32-$M32),1,0)))))</x:f>
      </x:c>
      <x:c r="P32" s="59" t="str">
        <x:f>IF(OR($H32&lt;&gt;"Sim",$I32="",$J32="",$L32="",$M32=""),"",IF(AND(IF($I32&gt;$J32,$F32,IF($I32&lt;$J32,$G32,$K32))&lt;&gt;"",IF($L32&gt;$M32,$F32,IF($L32&lt;$M32,$G32,$N32))&lt;&gt;"",IF($I32&gt;$J32,$F32,IF($I32&lt;$J32,$G32,$K32))=IF($L32&gt;$M32,$F32,IF($L32&lt;$M32,$G32,$N32))),1,0))</x:f>
      </x:c>
      <x:c r="Q32" s="59" t="str">
        <x:f>IF($O32="","",$O32+$P32)</x:f>
      </x:c>
      <x:c r="R32" s="59" t="str">
        <x:f>IF($Q32="","",IF($O32=3,"Cravada",IF(AND($H32="Sim",$L32=$M32,$I32=$J32,$O32=2),"Empate cravado",IF($O32=1,"Resultado certo",IF($O32=-2,"Invertida",IF($P32=1,"Acertou quem passa","Erro"))))))</x:f>
      </x:c>
      <x:c r="S32" s="59" t="str">
        <x:f>IF($O32="","",--(OR($O32=3,AND($H32="Sim",$L32=$M32,$I32=$J32,$O32=2))))</x:f>
      </x:c>
      <x:c r="T32" s="59" t="str">
        <x:f>IF($O32="","",--($O32=-2))</x:f>
      </x:c>
      <x:c r="U32" s="59" t="str">
        <x:f>IF($O32="","",--($O32=1))</x:f>
      </x:c>
      <x:c r="V32" s="59" t="n">
        <x:f>--(AND($I32&lt;&gt;"",$J32&lt;&gt;""))</x:f>
        <x:v>0</x:v>
      </x:c>
    </x:row>
    <x:row r="33">
      <x:c r="A33" s="21" t="str">
        <x:f>INDEX(Config!$B$10:$B$16,INT((ROW()-5)/104)+1)</x:f>
        <x:v>Leo B.</x:v>
      </x:c>
      <x:c r="B33" s="21" t="str">
        <x:v>GE5</x:v>
      </x:c>
      <x:c r="C33" s="21" t="n">
        <x:v>29</x:v>
      </x:c>
      <x:c r="D33" s="21" t="str">
        <x:v>Grupo E</x:v>
      </x:c>
      <x:c r="E33" s="21" t="str">
        <x:v>2026-06-25</x:v>
      </x:c>
      <x:c r="F33" s="21" t="str">
        <x:f>IFERROR(INDEX('Resultados'!$G$5:$G$108,MATCH($B33,'Resultados'!$A$5:$A$108,0)),"")</x:f>
        <x:v>Alemanha</x:v>
      </x:c>
      <x:c r="G33" s="21" t="str">
        <x:f>IFERROR(INDEX('Resultados'!$J$5:$J$108,MATCH($B33,'Resultados'!$A$5:$A$108,0)),"")</x:f>
        <x:v>Equador</x:v>
      </x:c>
      <x:c r="H33" s="21" t="str">
        <x:v>Não</x:v>
      </x:c>
      <x:c r="I33" s="22"/>
      <x:c r="J33" s="22"/>
      <x:c r="K33" s="23"/>
      <x:c r="L33" s="21" t="str">
        <x:f>IFERROR(INDEX('Resultados'!$H$5:$H$108,MATCH($B33,'Resultados'!$A$5:$A$108,0)),"")</x:f>
      </x:c>
      <x:c r="M33" s="21" t="str">
        <x:f>IFERROR(INDEX('Resultados'!$I$5:$I$108,MATCH($B33,'Resultados'!$A$5:$A$108,0)),"")</x:f>
      </x:c>
      <x:c r="N33" s="21" t="str">
        <x:f>IFERROR(INDEX('Resultados'!$L$5:$L$108,MATCH($B33,'Resultados'!$A$5:$A$108,0)),"")</x:f>
      </x:c>
      <x:c r="O33" s="59" t="str">
        <x:f>IF(OR($I33="",$J33="",$L33="",$M33=""),"",IF(AND($H33="Sim",$L33=$M33),IF($I33&lt;&gt;$J33,0,IF(AND($I33=$L33,$J33=$M33),2,1)),IF(AND($I33=$L33,$J33=$M33),3,IF(AND($I33&lt;&gt;$J33,$I33=$M33,$J33=$L33),-2,IF(SIGN($I33-$J33)=SIGN($L33-$M33),1,0)))))</x:f>
      </x:c>
      <x:c r="P33" s="59" t="str">
        <x:f>IF(OR($H33&lt;&gt;"Sim",$I33="",$J33="",$L33="",$M33=""),"",IF(AND(IF($I33&gt;$J33,$F33,IF($I33&lt;$J33,$G33,$K33))&lt;&gt;"",IF($L33&gt;$M33,$F33,IF($L33&lt;$M33,$G33,$N33))&lt;&gt;"",IF($I33&gt;$J33,$F33,IF($I33&lt;$J33,$G33,$K33))=IF($L33&gt;$M33,$F33,IF($L33&lt;$M33,$G33,$N33))),1,0))</x:f>
      </x:c>
      <x:c r="Q33" s="59" t="str">
        <x:f>IF($O33="","",$O33+$P33)</x:f>
      </x:c>
      <x:c r="R33" s="59" t="str">
        <x:f>IF($Q33="","",IF($O33=3,"Cravada",IF(AND($H33="Sim",$L33=$M33,$I33=$J33,$O33=2),"Empate cravado",IF($O33=1,"Resultado certo",IF($O33=-2,"Invertida",IF($P33=1,"Acertou quem passa","Erro"))))))</x:f>
      </x:c>
      <x:c r="S33" s="59" t="str">
        <x:f>IF($O33="","",--(OR($O33=3,AND($H33="Sim",$L33=$M33,$I33=$J33,$O33=2))))</x:f>
      </x:c>
      <x:c r="T33" s="59" t="str">
        <x:f>IF($O33="","",--($O33=-2))</x:f>
      </x:c>
      <x:c r="U33" s="59" t="str">
        <x:f>IF($O33="","",--($O33=1))</x:f>
      </x:c>
      <x:c r="V33" s="59" t="n">
        <x:f>--(AND($I33&lt;&gt;"",$J33&lt;&gt;""))</x:f>
        <x:v>0</x:v>
      </x:c>
    </x:row>
    <x:row r="34">
      <x:c r="A34" s="21" t="str">
        <x:f>INDEX(Config!$B$10:$B$16,INT((ROW()-5)/104)+1)</x:f>
        <x:v>Leo B.</x:v>
      </x:c>
      <x:c r="B34" s="21" t="str">
        <x:v>GE6</x:v>
      </x:c>
      <x:c r="C34" s="21" t="n">
        <x:v>30</x:v>
      </x:c>
      <x:c r="D34" s="21" t="str">
        <x:v>Grupo E</x:v>
      </x:c>
      <x:c r="E34" s="21" t="str">
        <x:v>2026-06-25</x:v>
      </x:c>
      <x:c r="F34" s="21" t="str">
        <x:f>IFERROR(INDEX('Resultados'!$G$5:$G$108,MATCH($B34,'Resultados'!$A$5:$A$108,0)),"")</x:f>
        <x:v>Curaçau</x:v>
      </x:c>
      <x:c r="G34" s="21" t="str">
        <x:f>IFERROR(INDEX('Resultados'!$J$5:$J$108,MATCH($B34,'Resultados'!$A$5:$A$108,0)),"")</x:f>
        <x:v>Costa do Marfim</x:v>
      </x:c>
      <x:c r="H34" s="21" t="str">
        <x:v>Não</x:v>
      </x:c>
      <x:c r="I34" s="22"/>
      <x:c r="J34" s="22"/>
      <x:c r="K34" s="23"/>
      <x:c r="L34" s="21" t="str">
        <x:f>IFERROR(INDEX('Resultados'!$H$5:$H$108,MATCH($B34,'Resultados'!$A$5:$A$108,0)),"")</x:f>
      </x:c>
      <x:c r="M34" s="21" t="str">
        <x:f>IFERROR(INDEX('Resultados'!$I$5:$I$108,MATCH($B34,'Resultados'!$A$5:$A$108,0)),"")</x:f>
      </x:c>
      <x:c r="N34" s="21" t="str">
        <x:f>IFERROR(INDEX('Resultados'!$L$5:$L$108,MATCH($B34,'Resultados'!$A$5:$A$108,0)),"")</x:f>
      </x:c>
      <x:c r="O34" s="59" t="str">
        <x:f>IF(OR($I34="",$J34="",$L34="",$M34=""),"",IF(AND($H34="Sim",$L34=$M34),IF($I34&lt;&gt;$J34,0,IF(AND($I34=$L34,$J34=$M34),2,1)),IF(AND($I34=$L34,$J34=$M34),3,IF(AND($I34&lt;&gt;$J34,$I34=$M34,$J34=$L34),-2,IF(SIGN($I34-$J34)=SIGN($L34-$M34),1,0)))))</x:f>
      </x:c>
      <x:c r="P34" s="59" t="str">
        <x:f>IF(OR($H34&lt;&gt;"Sim",$I34="",$J34="",$L34="",$M34=""),"",IF(AND(IF($I34&gt;$J34,$F34,IF($I34&lt;$J34,$G34,$K34))&lt;&gt;"",IF($L34&gt;$M34,$F34,IF($L34&lt;$M34,$G34,$N34))&lt;&gt;"",IF($I34&gt;$J34,$F34,IF($I34&lt;$J34,$G34,$K34))=IF($L34&gt;$M34,$F34,IF($L34&lt;$M34,$G34,$N34))),1,0))</x:f>
      </x:c>
      <x:c r="Q34" s="59" t="str">
        <x:f>IF($O34="","",$O34+$P34)</x:f>
      </x:c>
      <x:c r="R34" s="59" t="str">
        <x:f>IF($Q34="","",IF($O34=3,"Cravada",IF(AND($H34="Sim",$L34=$M34,$I34=$J34,$O34=2),"Empate cravado",IF($O34=1,"Resultado certo",IF($O34=-2,"Invertida",IF($P34=1,"Acertou quem passa","Erro"))))))</x:f>
      </x:c>
      <x:c r="S34" s="59" t="str">
        <x:f>IF($O34="","",--(OR($O34=3,AND($H34="Sim",$L34=$M34,$I34=$J34,$O34=2))))</x:f>
      </x:c>
      <x:c r="T34" s="59" t="str">
        <x:f>IF($O34="","",--($O34=-2))</x:f>
      </x:c>
      <x:c r="U34" s="59" t="str">
        <x:f>IF($O34="","",--($O34=1))</x:f>
      </x:c>
      <x:c r="V34" s="59" t="n">
        <x:f>--(AND($I34&lt;&gt;"",$J34&lt;&gt;""))</x:f>
        <x:v>0</x:v>
      </x:c>
    </x:row>
    <x:row r="35">
      <x:c r="A35" s="21" t="str">
        <x:f>INDEX(Config!$B$10:$B$16,INT((ROW()-5)/104)+1)</x:f>
        <x:v>Leo B.</x:v>
      </x:c>
      <x:c r="B35" s="21" t="str">
        <x:v>GF1</x:v>
      </x:c>
      <x:c r="C35" s="21" t="n">
        <x:v>31</x:v>
      </x:c>
      <x:c r="D35" s="21" t="str">
        <x:v>Grupo F</x:v>
      </x:c>
      <x:c r="E35" s="21" t="str">
        <x:v>2026-06-14</x:v>
      </x:c>
      <x:c r="F35" s="21" t="str">
        <x:f>IFERROR(INDEX('Resultados'!$G$5:$G$108,MATCH($B35,'Resultados'!$A$5:$A$108,0)),"")</x:f>
        <x:v>Holanda</x:v>
      </x:c>
      <x:c r="G35" s="21" t="str">
        <x:f>IFERROR(INDEX('Resultados'!$J$5:$J$108,MATCH($B35,'Resultados'!$A$5:$A$108,0)),"")</x:f>
        <x:v>Japão</x:v>
      </x:c>
      <x:c r="H35" s="21" t="str">
        <x:v>Não</x:v>
      </x:c>
      <x:c r="I35" s="22"/>
      <x:c r="J35" s="22"/>
      <x:c r="K35" s="23"/>
      <x:c r="L35" s="21" t="str">
        <x:f>IFERROR(INDEX('Resultados'!$H$5:$H$108,MATCH($B35,'Resultados'!$A$5:$A$108,0)),"")</x:f>
      </x:c>
      <x:c r="M35" s="21" t="str">
        <x:f>IFERROR(INDEX('Resultados'!$I$5:$I$108,MATCH($B35,'Resultados'!$A$5:$A$108,0)),"")</x:f>
      </x:c>
      <x:c r="N35" s="21" t="str">
        <x:f>IFERROR(INDEX('Resultados'!$L$5:$L$108,MATCH($B35,'Resultados'!$A$5:$A$108,0)),"")</x:f>
      </x:c>
      <x:c r="O35" s="59" t="str">
        <x:f>IF(OR($I35="",$J35="",$L35="",$M35=""),"",IF(AND($H35="Sim",$L35=$M35),IF($I35&lt;&gt;$J35,0,IF(AND($I35=$L35,$J35=$M35),2,1)),IF(AND($I35=$L35,$J35=$M35),3,IF(AND($I35&lt;&gt;$J35,$I35=$M35,$J35=$L35),-2,IF(SIGN($I35-$J35)=SIGN($L35-$M35),1,0)))))</x:f>
      </x:c>
      <x:c r="P35" s="59" t="str">
        <x:f>IF(OR($H35&lt;&gt;"Sim",$I35="",$J35="",$L35="",$M35=""),"",IF(AND(IF($I35&gt;$J35,$F35,IF($I35&lt;$J35,$G35,$K35))&lt;&gt;"",IF($L35&gt;$M35,$F35,IF($L35&lt;$M35,$G35,$N35))&lt;&gt;"",IF($I35&gt;$J35,$F35,IF($I35&lt;$J35,$G35,$K35))=IF($L35&gt;$M35,$F35,IF($L35&lt;$M35,$G35,$N35))),1,0))</x:f>
      </x:c>
      <x:c r="Q35" s="59" t="str">
        <x:f>IF($O35="","",$O35+$P35)</x:f>
      </x:c>
      <x:c r="R35" s="59" t="str">
        <x:f>IF($Q35="","",IF($O35=3,"Cravada",IF(AND($H35="Sim",$L35=$M35,$I35=$J35,$O35=2),"Empate cravado",IF($O35=1,"Resultado certo",IF($O35=-2,"Invertida",IF($P35=1,"Acertou quem passa","Erro"))))))</x:f>
      </x:c>
      <x:c r="S35" s="59" t="str">
        <x:f>IF($O35="","",--(OR($O35=3,AND($H35="Sim",$L35=$M35,$I35=$J35,$O35=2))))</x:f>
      </x:c>
      <x:c r="T35" s="59" t="str">
        <x:f>IF($O35="","",--($O35=-2))</x:f>
      </x:c>
      <x:c r="U35" s="59" t="str">
        <x:f>IF($O35="","",--($O35=1))</x:f>
      </x:c>
      <x:c r="V35" s="59" t="n">
        <x:f>--(AND($I35&lt;&gt;"",$J35&lt;&gt;""))</x:f>
        <x:v>0</x:v>
      </x:c>
    </x:row>
    <x:row r="36">
      <x:c r="A36" s="21" t="str">
        <x:f>INDEX(Config!$B$10:$B$16,INT((ROW()-5)/104)+1)</x:f>
        <x:v>Leo B.</x:v>
      </x:c>
      <x:c r="B36" s="21" t="str">
        <x:v>GF2</x:v>
      </x:c>
      <x:c r="C36" s="21" t="n">
        <x:v>32</x:v>
      </x:c>
      <x:c r="D36" s="21" t="str">
        <x:v>Grupo F</x:v>
      </x:c>
      <x:c r="E36" s="21" t="str">
        <x:v>2026-06-14</x:v>
      </x:c>
      <x:c r="F36" s="21" t="str">
        <x:f>IFERROR(INDEX('Resultados'!$G$5:$G$108,MATCH($B36,'Resultados'!$A$5:$A$108,0)),"")</x:f>
        <x:v>Suécia</x:v>
      </x:c>
      <x:c r="G36" s="21" t="str">
        <x:f>IFERROR(INDEX('Resultados'!$J$5:$J$108,MATCH($B36,'Resultados'!$A$5:$A$108,0)),"")</x:f>
        <x:v>Tunísia</x:v>
      </x:c>
      <x:c r="H36" s="21" t="str">
        <x:v>Não</x:v>
      </x:c>
      <x:c r="I36" s="22"/>
      <x:c r="J36" s="22"/>
      <x:c r="K36" s="23"/>
      <x:c r="L36" s="21" t="str">
        <x:f>IFERROR(INDEX('Resultados'!$H$5:$H$108,MATCH($B36,'Resultados'!$A$5:$A$108,0)),"")</x:f>
      </x:c>
      <x:c r="M36" s="21" t="str">
        <x:f>IFERROR(INDEX('Resultados'!$I$5:$I$108,MATCH($B36,'Resultados'!$A$5:$A$108,0)),"")</x:f>
      </x:c>
      <x:c r="N36" s="21" t="str">
        <x:f>IFERROR(INDEX('Resultados'!$L$5:$L$108,MATCH($B36,'Resultados'!$A$5:$A$108,0)),"")</x:f>
      </x:c>
      <x:c r="O36" s="59" t="str">
        <x:f>IF(OR($I36="",$J36="",$L36="",$M36=""),"",IF(AND($H36="Sim",$L36=$M36),IF($I36&lt;&gt;$J36,0,IF(AND($I36=$L36,$J36=$M36),2,1)),IF(AND($I36=$L36,$J36=$M36),3,IF(AND($I36&lt;&gt;$J36,$I36=$M36,$J36=$L36),-2,IF(SIGN($I36-$J36)=SIGN($L36-$M36),1,0)))))</x:f>
      </x:c>
      <x:c r="P36" s="59" t="str">
        <x:f>IF(OR($H36&lt;&gt;"Sim",$I36="",$J36="",$L36="",$M36=""),"",IF(AND(IF($I36&gt;$J36,$F36,IF($I36&lt;$J36,$G36,$K36))&lt;&gt;"",IF($L36&gt;$M36,$F36,IF($L36&lt;$M36,$G36,$N36))&lt;&gt;"",IF($I36&gt;$J36,$F36,IF($I36&lt;$J36,$G36,$K36))=IF($L36&gt;$M36,$F36,IF($L36&lt;$M36,$G36,$N36))),1,0))</x:f>
      </x:c>
      <x:c r="Q36" s="59" t="str">
        <x:f>IF($O36="","",$O36+$P36)</x:f>
      </x:c>
      <x:c r="R36" s="59" t="str">
        <x:f>IF($Q36="","",IF($O36=3,"Cravada",IF(AND($H36="Sim",$L36=$M36,$I36=$J36,$O36=2),"Empate cravado",IF($O36=1,"Resultado certo",IF($O36=-2,"Invertida",IF($P36=1,"Acertou quem passa","Erro"))))))</x:f>
      </x:c>
      <x:c r="S36" s="59" t="str">
        <x:f>IF($O36="","",--(OR($O36=3,AND($H36="Sim",$L36=$M36,$I36=$J36,$O36=2))))</x:f>
      </x:c>
      <x:c r="T36" s="59" t="str">
        <x:f>IF($O36="","",--($O36=-2))</x:f>
      </x:c>
      <x:c r="U36" s="59" t="str">
        <x:f>IF($O36="","",--($O36=1))</x:f>
      </x:c>
      <x:c r="V36" s="59" t="n">
        <x:f>--(AND($I36&lt;&gt;"",$J36&lt;&gt;""))</x:f>
        <x:v>0</x:v>
      </x:c>
    </x:row>
    <x:row r="37">
      <x:c r="A37" s="21" t="str">
        <x:f>INDEX(Config!$B$10:$B$16,INT((ROW()-5)/104)+1)</x:f>
        <x:v>Leo B.</x:v>
      </x:c>
      <x:c r="B37" s="21" t="str">
        <x:v>GF3</x:v>
      </x:c>
      <x:c r="C37" s="21" t="n">
        <x:v>33</x:v>
      </x:c>
      <x:c r="D37" s="21" t="str">
        <x:v>Grupo F</x:v>
      </x:c>
      <x:c r="E37" s="21" t="str">
        <x:v>2026-06-20</x:v>
      </x:c>
      <x:c r="F37" s="21" t="str">
        <x:f>IFERROR(INDEX('Resultados'!$G$5:$G$108,MATCH($B37,'Resultados'!$A$5:$A$108,0)),"")</x:f>
        <x:v>Holanda</x:v>
      </x:c>
      <x:c r="G37" s="21" t="str">
        <x:f>IFERROR(INDEX('Resultados'!$J$5:$J$108,MATCH($B37,'Resultados'!$A$5:$A$108,0)),"")</x:f>
        <x:v>Suécia</x:v>
      </x:c>
      <x:c r="H37" s="21" t="str">
        <x:v>Não</x:v>
      </x:c>
      <x:c r="I37" s="22"/>
      <x:c r="J37" s="22"/>
      <x:c r="K37" s="23"/>
      <x:c r="L37" s="21" t="str">
        <x:f>IFERROR(INDEX('Resultados'!$H$5:$H$108,MATCH($B37,'Resultados'!$A$5:$A$108,0)),"")</x:f>
      </x:c>
      <x:c r="M37" s="21" t="str">
        <x:f>IFERROR(INDEX('Resultados'!$I$5:$I$108,MATCH($B37,'Resultados'!$A$5:$A$108,0)),"")</x:f>
      </x:c>
      <x:c r="N37" s="21" t="str">
        <x:f>IFERROR(INDEX('Resultados'!$L$5:$L$108,MATCH($B37,'Resultados'!$A$5:$A$108,0)),"")</x:f>
      </x:c>
      <x:c r="O37" s="59" t="str">
        <x:f>IF(OR($I37="",$J37="",$L37="",$M37=""),"",IF(AND($H37="Sim",$L37=$M37),IF($I37&lt;&gt;$J37,0,IF(AND($I37=$L37,$J37=$M37),2,1)),IF(AND($I37=$L37,$J37=$M37),3,IF(AND($I37&lt;&gt;$J37,$I37=$M37,$J37=$L37),-2,IF(SIGN($I37-$J37)=SIGN($L37-$M37),1,0)))))</x:f>
      </x:c>
      <x:c r="P37" s="59" t="str">
        <x:f>IF(OR($H37&lt;&gt;"Sim",$I37="",$J37="",$L37="",$M37=""),"",IF(AND(IF($I37&gt;$J37,$F37,IF($I37&lt;$J37,$G37,$K37))&lt;&gt;"",IF($L37&gt;$M37,$F37,IF($L37&lt;$M37,$G37,$N37))&lt;&gt;"",IF($I37&gt;$J37,$F37,IF($I37&lt;$J37,$G37,$K37))=IF($L37&gt;$M37,$F37,IF($L37&lt;$M37,$G37,$N37))),1,0))</x:f>
      </x:c>
      <x:c r="Q37" s="59" t="str">
        <x:f>IF($O37="","",$O37+$P37)</x:f>
      </x:c>
      <x:c r="R37" s="59" t="str">
        <x:f>IF($Q37="","",IF($O37=3,"Cravada",IF(AND($H37="Sim",$L37=$M37,$I37=$J37,$O37=2),"Empate cravado",IF($O37=1,"Resultado certo",IF($O37=-2,"Invertida",IF($P37=1,"Acertou quem passa","Erro"))))))</x:f>
      </x:c>
      <x:c r="S37" s="59" t="str">
        <x:f>IF($O37="","",--(OR($O37=3,AND($H37="Sim",$L37=$M37,$I37=$J37,$O37=2))))</x:f>
      </x:c>
      <x:c r="T37" s="59" t="str">
        <x:f>IF($O37="","",--($O37=-2))</x:f>
      </x:c>
      <x:c r="U37" s="59" t="str">
        <x:f>IF($O37="","",--($O37=1))</x:f>
      </x:c>
      <x:c r="V37" s="59" t="n">
        <x:f>--(AND($I37&lt;&gt;"",$J37&lt;&gt;""))</x:f>
        <x:v>0</x:v>
      </x:c>
    </x:row>
    <x:row r="38">
      <x:c r="A38" s="21" t="str">
        <x:f>INDEX(Config!$B$10:$B$16,INT((ROW()-5)/104)+1)</x:f>
        <x:v>Leo B.</x:v>
      </x:c>
      <x:c r="B38" s="21" t="str">
        <x:v>GF4</x:v>
      </x:c>
      <x:c r="C38" s="21" t="n">
        <x:v>34</x:v>
      </x:c>
      <x:c r="D38" s="21" t="str">
        <x:v>Grupo F</x:v>
      </x:c>
      <x:c r="E38" s="21" t="str">
        <x:v>2026-06-21</x:v>
      </x:c>
      <x:c r="F38" s="21" t="str">
        <x:f>IFERROR(INDEX('Resultados'!$G$5:$G$108,MATCH($B38,'Resultados'!$A$5:$A$108,0)),"")</x:f>
        <x:v>Japão</x:v>
      </x:c>
      <x:c r="G38" s="21" t="str">
        <x:f>IFERROR(INDEX('Resultados'!$J$5:$J$108,MATCH($B38,'Resultados'!$A$5:$A$108,0)),"")</x:f>
        <x:v>Tunísia</x:v>
      </x:c>
      <x:c r="H38" s="21" t="str">
        <x:v>Não</x:v>
      </x:c>
      <x:c r="I38" s="22"/>
      <x:c r="J38" s="22"/>
      <x:c r="K38" s="23"/>
      <x:c r="L38" s="21" t="str">
        <x:f>IFERROR(INDEX('Resultados'!$H$5:$H$108,MATCH($B38,'Resultados'!$A$5:$A$108,0)),"")</x:f>
      </x:c>
      <x:c r="M38" s="21" t="str">
        <x:f>IFERROR(INDEX('Resultados'!$I$5:$I$108,MATCH($B38,'Resultados'!$A$5:$A$108,0)),"")</x:f>
      </x:c>
      <x:c r="N38" s="21" t="str">
        <x:f>IFERROR(INDEX('Resultados'!$L$5:$L$108,MATCH($B38,'Resultados'!$A$5:$A$108,0)),"")</x:f>
      </x:c>
      <x:c r="O38" s="59" t="str">
        <x:f>IF(OR($I38="",$J38="",$L38="",$M38=""),"",IF(AND($H38="Sim",$L38=$M38),IF($I38&lt;&gt;$J38,0,IF(AND($I38=$L38,$J38=$M38),2,1)),IF(AND($I38=$L38,$J38=$M38),3,IF(AND($I38&lt;&gt;$J38,$I38=$M38,$J38=$L38),-2,IF(SIGN($I38-$J38)=SIGN($L38-$M38),1,0)))))</x:f>
      </x:c>
      <x:c r="P38" s="59" t="str">
        <x:f>IF(OR($H38&lt;&gt;"Sim",$I38="",$J38="",$L38="",$M38=""),"",IF(AND(IF($I38&gt;$J38,$F38,IF($I38&lt;$J38,$G38,$K38))&lt;&gt;"",IF($L38&gt;$M38,$F38,IF($L38&lt;$M38,$G38,$N38))&lt;&gt;"",IF($I38&gt;$J38,$F38,IF($I38&lt;$J38,$G38,$K38))=IF($L38&gt;$M38,$F38,IF($L38&lt;$M38,$G38,$N38))),1,0))</x:f>
      </x:c>
      <x:c r="Q38" s="59" t="str">
        <x:f>IF($O38="","",$O38+$P38)</x:f>
      </x:c>
      <x:c r="R38" s="59" t="str">
        <x:f>IF($Q38="","",IF($O38=3,"Cravada",IF(AND($H38="Sim",$L38=$M38,$I38=$J38,$O38=2),"Empate cravado",IF($O38=1,"Resultado certo",IF($O38=-2,"Invertida",IF($P38=1,"Acertou quem passa","Erro"))))))</x:f>
      </x:c>
      <x:c r="S38" s="59" t="str">
        <x:f>IF($O38="","",--(OR($O38=3,AND($H38="Sim",$L38=$M38,$I38=$J38,$O38=2))))</x:f>
      </x:c>
      <x:c r="T38" s="59" t="str">
        <x:f>IF($O38="","",--($O38=-2))</x:f>
      </x:c>
      <x:c r="U38" s="59" t="str">
        <x:f>IF($O38="","",--($O38=1))</x:f>
      </x:c>
      <x:c r="V38" s="59" t="n">
        <x:f>--(AND($I38&lt;&gt;"",$J38&lt;&gt;""))</x:f>
        <x:v>0</x:v>
      </x:c>
    </x:row>
    <x:row r="39">
      <x:c r="A39" s="21" t="str">
        <x:f>INDEX(Config!$B$10:$B$16,INT((ROW()-5)/104)+1)</x:f>
        <x:v>Leo B.</x:v>
      </x:c>
      <x:c r="B39" s="21" t="str">
        <x:v>GF5</x:v>
      </x:c>
      <x:c r="C39" s="21" t="n">
        <x:v>35</x:v>
      </x:c>
      <x:c r="D39" s="21" t="str">
        <x:v>Grupo F</x:v>
      </x:c>
      <x:c r="E39" s="21" t="str">
        <x:v>2026-06-25</x:v>
      </x:c>
      <x:c r="F39" s="21" t="str">
        <x:f>IFERROR(INDEX('Resultados'!$G$5:$G$108,MATCH($B39,'Resultados'!$A$5:$A$108,0)),"")</x:f>
        <x:v>Holanda</x:v>
      </x:c>
      <x:c r="G39" s="21" t="str">
        <x:f>IFERROR(INDEX('Resultados'!$J$5:$J$108,MATCH($B39,'Resultados'!$A$5:$A$108,0)),"")</x:f>
        <x:v>Tunísia</x:v>
      </x:c>
      <x:c r="H39" s="21" t="str">
        <x:v>Não</x:v>
      </x:c>
      <x:c r="I39" s="22"/>
      <x:c r="J39" s="22"/>
      <x:c r="K39" s="23"/>
      <x:c r="L39" s="21" t="str">
        <x:f>IFERROR(INDEX('Resultados'!$H$5:$H$108,MATCH($B39,'Resultados'!$A$5:$A$108,0)),"")</x:f>
      </x:c>
      <x:c r="M39" s="21" t="str">
        <x:f>IFERROR(INDEX('Resultados'!$I$5:$I$108,MATCH($B39,'Resultados'!$A$5:$A$108,0)),"")</x:f>
      </x:c>
      <x:c r="N39" s="21" t="str">
        <x:f>IFERROR(INDEX('Resultados'!$L$5:$L$108,MATCH($B39,'Resultados'!$A$5:$A$108,0)),"")</x:f>
      </x:c>
      <x:c r="O39" s="59" t="str">
        <x:f>IF(OR($I39="",$J39="",$L39="",$M39=""),"",IF(AND($H39="Sim",$L39=$M39),IF($I39&lt;&gt;$J39,0,IF(AND($I39=$L39,$J39=$M39),2,1)),IF(AND($I39=$L39,$J39=$M39),3,IF(AND($I39&lt;&gt;$J39,$I39=$M39,$J39=$L39),-2,IF(SIGN($I39-$J39)=SIGN($L39-$M39),1,0)))))</x:f>
      </x:c>
      <x:c r="P39" s="59" t="str">
        <x:f>IF(OR($H39&lt;&gt;"Sim",$I39="",$J39="",$L39="",$M39=""),"",IF(AND(IF($I39&gt;$J39,$F39,IF($I39&lt;$J39,$G39,$K39))&lt;&gt;"",IF($L39&gt;$M39,$F39,IF($L39&lt;$M39,$G39,$N39))&lt;&gt;"",IF($I39&gt;$J39,$F39,IF($I39&lt;$J39,$G39,$K39))=IF($L39&gt;$M39,$F39,IF($L39&lt;$M39,$G39,$N39))),1,0))</x:f>
      </x:c>
      <x:c r="Q39" s="59" t="str">
        <x:f>IF($O39="","",$O39+$P39)</x:f>
      </x:c>
      <x:c r="R39" s="59" t="str">
        <x:f>IF($Q39="","",IF($O39=3,"Cravada",IF(AND($H39="Sim",$L39=$M39,$I39=$J39,$O39=2),"Empate cravado",IF($O39=1,"Resultado certo",IF($O39=-2,"Invertida",IF($P39=1,"Acertou quem passa","Erro"))))))</x:f>
      </x:c>
      <x:c r="S39" s="59" t="str">
        <x:f>IF($O39="","",--(OR($O39=3,AND($H39="Sim",$L39=$M39,$I39=$J39,$O39=2))))</x:f>
      </x:c>
      <x:c r="T39" s="59" t="str">
        <x:f>IF($O39="","",--($O39=-2))</x:f>
      </x:c>
      <x:c r="U39" s="59" t="str">
        <x:f>IF($O39="","",--($O39=1))</x:f>
      </x:c>
      <x:c r="V39" s="59" t="n">
        <x:f>--(AND($I39&lt;&gt;"",$J39&lt;&gt;""))</x:f>
        <x:v>0</x:v>
      </x:c>
    </x:row>
    <x:row r="40">
      <x:c r="A40" s="21" t="str">
        <x:f>INDEX(Config!$B$10:$B$16,INT((ROW()-5)/104)+1)</x:f>
        <x:v>Leo B.</x:v>
      </x:c>
      <x:c r="B40" s="21" t="str">
        <x:v>GF6</x:v>
      </x:c>
      <x:c r="C40" s="21" t="n">
        <x:v>36</x:v>
      </x:c>
      <x:c r="D40" s="21" t="str">
        <x:v>Grupo F</x:v>
      </x:c>
      <x:c r="E40" s="21" t="str">
        <x:v>2026-06-25</x:v>
      </x:c>
      <x:c r="F40" s="21" t="str">
        <x:f>IFERROR(INDEX('Resultados'!$G$5:$G$108,MATCH($B40,'Resultados'!$A$5:$A$108,0)),"")</x:f>
        <x:v>Japão</x:v>
      </x:c>
      <x:c r="G40" s="21" t="str">
        <x:f>IFERROR(INDEX('Resultados'!$J$5:$J$108,MATCH($B40,'Resultados'!$A$5:$A$108,0)),"")</x:f>
        <x:v>Suécia</x:v>
      </x:c>
      <x:c r="H40" s="21" t="str">
        <x:v>Não</x:v>
      </x:c>
      <x:c r="I40" s="22"/>
      <x:c r="J40" s="22"/>
      <x:c r="K40" s="23"/>
      <x:c r="L40" s="21" t="str">
        <x:f>IFERROR(INDEX('Resultados'!$H$5:$H$108,MATCH($B40,'Resultados'!$A$5:$A$108,0)),"")</x:f>
      </x:c>
      <x:c r="M40" s="21" t="str">
        <x:f>IFERROR(INDEX('Resultados'!$I$5:$I$108,MATCH($B40,'Resultados'!$A$5:$A$108,0)),"")</x:f>
      </x:c>
      <x:c r="N40" s="21" t="str">
        <x:f>IFERROR(INDEX('Resultados'!$L$5:$L$108,MATCH($B40,'Resultados'!$A$5:$A$108,0)),"")</x:f>
      </x:c>
      <x:c r="O40" s="59" t="str">
        <x:f>IF(OR($I40="",$J40="",$L40="",$M40=""),"",IF(AND($H40="Sim",$L40=$M40),IF($I40&lt;&gt;$J40,0,IF(AND($I40=$L40,$J40=$M40),2,1)),IF(AND($I40=$L40,$J40=$M40),3,IF(AND($I40&lt;&gt;$J40,$I40=$M40,$J40=$L40),-2,IF(SIGN($I40-$J40)=SIGN($L40-$M40),1,0)))))</x:f>
      </x:c>
      <x:c r="P40" s="59" t="str">
        <x:f>IF(OR($H40&lt;&gt;"Sim",$I40="",$J40="",$L40="",$M40=""),"",IF(AND(IF($I40&gt;$J40,$F40,IF($I40&lt;$J40,$G40,$K40))&lt;&gt;"",IF($L40&gt;$M40,$F40,IF($L40&lt;$M40,$G40,$N40))&lt;&gt;"",IF($I40&gt;$J40,$F40,IF($I40&lt;$J40,$G40,$K40))=IF($L40&gt;$M40,$F40,IF($L40&lt;$M40,$G40,$N40))),1,0))</x:f>
      </x:c>
      <x:c r="Q40" s="59" t="str">
        <x:f>IF($O40="","",$O40+$P40)</x:f>
      </x:c>
      <x:c r="R40" s="59" t="str">
        <x:f>IF($Q40="","",IF($O40=3,"Cravada",IF(AND($H40="Sim",$L40=$M40,$I40=$J40,$O40=2),"Empate cravado",IF($O40=1,"Resultado certo",IF($O40=-2,"Invertida",IF($P40=1,"Acertou quem passa","Erro"))))))</x:f>
      </x:c>
      <x:c r="S40" s="59" t="str">
        <x:f>IF($O40="","",--(OR($O40=3,AND($H40="Sim",$L40=$M40,$I40=$J40,$O40=2))))</x:f>
      </x:c>
      <x:c r="T40" s="59" t="str">
        <x:f>IF($O40="","",--($O40=-2))</x:f>
      </x:c>
      <x:c r="U40" s="59" t="str">
        <x:f>IF($O40="","",--($O40=1))</x:f>
      </x:c>
      <x:c r="V40" s="59" t="n">
        <x:f>--(AND($I40&lt;&gt;"",$J40&lt;&gt;""))</x:f>
        <x:v>0</x:v>
      </x:c>
    </x:row>
    <x:row r="41">
      <x:c r="A41" s="21" t="str">
        <x:f>INDEX(Config!$B$10:$B$16,INT((ROW()-5)/104)+1)</x:f>
        <x:v>Leo B.</x:v>
      </x:c>
      <x:c r="B41" s="21" t="str">
        <x:v>GG1</x:v>
      </x:c>
      <x:c r="C41" s="21" t="n">
        <x:v>37</x:v>
      </x:c>
      <x:c r="D41" s="21" t="str">
        <x:v>Grupo G</x:v>
      </x:c>
      <x:c r="E41" s="21" t="str">
        <x:v>2026-06-15</x:v>
      </x:c>
      <x:c r="F41" s="21" t="str">
        <x:f>IFERROR(INDEX('Resultados'!$G$5:$G$108,MATCH($B41,'Resultados'!$A$5:$A$108,0)),"")</x:f>
        <x:v>Bélgica</x:v>
      </x:c>
      <x:c r="G41" s="21" t="str">
        <x:f>IFERROR(INDEX('Resultados'!$J$5:$J$108,MATCH($B41,'Resultados'!$A$5:$A$108,0)),"")</x:f>
        <x:v>Egito</x:v>
      </x:c>
      <x:c r="H41" s="21" t="str">
        <x:v>Não</x:v>
      </x:c>
      <x:c r="I41" s="22"/>
      <x:c r="J41" s="22"/>
      <x:c r="K41" s="23"/>
      <x:c r="L41" s="21" t="str">
        <x:f>IFERROR(INDEX('Resultados'!$H$5:$H$108,MATCH($B41,'Resultados'!$A$5:$A$108,0)),"")</x:f>
      </x:c>
      <x:c r="M41" s="21" t="str">
        <x:f>IFERROR(INDEX('Resultados'!$I$5:$I$108,MATCH($B41,'Resultados'!$A$5:$A$108,0)),"")</x:f>
      </x:c>
      <x:c r="N41" s="21" t="str">
        <x:f>IFERROR(INDEX('Resultados'!$L$5:$L$108,MATCH($B41,'Resultados'!$A$5:$A$108,0)),"")</x:f>
      </x:c>
      <x:c r="O41" s="59" t="str">
        <x:f>IF(OR($I41="",$J41="",$L41="",$M41=""),"",IF(AND($H41="Sim",$L41=$M41),IF($I41&lt;&gt;$J41,0,IF(AND($I41=$L41,$J41=$M41),2,1)),IF(AND($I41=$L41,$J41=$M41),3,IF(AND($I41&lt;&gt;$J41,$I41=$M41,$J41=$L41),-2,IF(SIGN($I41-$J41)=SIGN($L41-$M41),1,0)))))</x:f>
      </x:c>
      <x:c r="P41" s="59" t="str">
        <x:f>IF(OR($H41&lt;&gt;"Sim",$I41="",$J41="",$L41="",$M41=""),"",IF(AND(IF($I41&gt;$J41,$F41,IF($I41&lt;$J41,$G41,$K41))&lt;&gt;"",IF($L41&gt;$M41,$F41,IF($L41&lt;$M41,$G41,$N41))&lt;&gt;"",IF($I41&gt;$J41,$F41,IF($I41&lt;$J41,$G41,$K41))=IF($L41&gt;$M41,$F41,IF($L41&lt;$M41,$G41,$N41))),1,0))</x:f>
      </x:c>
      <x:c r="Q41" s="59" t="str">
        <x:f>IF($O41="","",$O41+$P41)</x:f>
      </x:c>
      <x:c r="R41" s="59" t="str">
        <x:f>IF($Q41="","",IF($O41=3,"Cravada",IF(AND($H41="Sim",$L41=$M41,$I41=$J41,$O41=2),"Empate cravado",IF($O41=1,"Resultado certo",IF($O41=-2,"Invertida",IF($P41=1,"Acertou quem passa","Erro"))))))</x:f>
      </x:c>
      <x:c r="S41" s="59" t="str">
        <x:f>IF($O41="","",--(OR($O41=3,AND($H41="Sim",$L41=$M41,$I41=$J41,$O41=2))))</x:f>
      </x:c>
      <x:c r="T41" s="59" t="str">
        <x:f>IF($O41="","",--($O41=-2))</x:f>
      </x:c>
      <x:c r="U41" s="59" t="str">
        <x:f>IF($O41="","",--($O41=1))</x:f>
      </x:c>
      <x:c r="V41" s="59" t="n">
        <x:f>--(AND($I41&lt;&gt;"",$J41&lt;&gt;""))</x:f>
        <x:v>0</x:v>
      </x:c>
    </x:row>
    <x:row r="42">
      <x:c r="A42" s="21" t="str">
        <x:f>INDEX(Config!$B$10:$B$16,INT((ROW()-5)/104)+1)</x:f>
        <x:v>Leo B.</x:v>
      </x:c>
      <x:c r="B42" s="21" t="str">
        <x:v>GG2</x:v>
      </x:c>
      <x:c r="C42" s="21" t="n">
        <x:v>38</x:v>
      </x:c>
      <x:c r="D42" s="21" t="str">
        <x:v>Grupo G</x:v>
      </x:c>
      <x:c r="E42" s="21" t="str">
        <x:v>2026-06-15</x:v>
      </x:c>
      <x:c r="F42" s="21" t="str">
        <x:f>IFERROR(INDEX('Resultados'!$G$5:$G$108,MATCH($B42,'Resultados'!$A$5:$A$108,0)),"")</x:f>
        <x:v>Irã</x:v>
      </x:c>
      <x:c r="G42" s="21" t="str">
        <x:f>IFERROR(INDEX('Resultados'!$J$5:$J$108,MATCH($B42,'Resultados'!$A$5:$A$108,0)),"")</x:f>
        <x:v>Nova Zelândia</x:v>
      </x:c>
      <x:c r="H42" s="21" t="str">
        <x:v>Não</x:v>
      </x:c>
      <x:c r="I42" s="22"/>
      <x:c r="J42" s="22"/>
      <x:c r="K42" s="23"/>
      <x:c r="L42" s="21" t="str">
        <x:f>IFERROR(INDEX('Resultados'!$H$5:$H$108,MATCH($B42,'Resultados'!$A$5:$A$108,0)),"")</x:f>
      </x:c>
      <x:c r="M42" s="21" t="str">
        <x:f>IFERROR(INDEX('Resultados'!$I$5:$I$108,MATCH($B42,'Resultados'!$A$5:$A$108,0)),"")</x:f>
      </x:c>
      <x:c r="N42" s="21" t="str">
        <x:f>IFERROR(INDEX('Resultados'!$L$5:$L$108,MATCH($B42,'Resultados'!$A$5:$A$108,0)),"")</x:f>
      </x:c>
      <x:c r="O42" s="59" t="str">
        <x:f>IF(OR($I42="",$J42="",$L42="",$M42=""),"",IF(AND($H42="Sim",$L42=$M42),IF($I42&lt;&gt;$J42,0,IF(AND($I42=$L42,$J42=$M42),2,1)),IF(AND($I42=$L42,$J42=$M42),3,IF(AND($I42&lt;&gt;$J42,$I42=$M42,$J42=$L42),-2,IF(SIGN($I42-$J42)=SIGN($L42-$M42),1,0)))))</x:f>
      </x:c>
      <x:c r="P42" s="59" t="str">
        <x:f>IF(OR($H42&lt;&gt;"Sim",$I42="",$J42="",$L42="",$M42=""),"",IF(AND(IF($I42&gt;$J42,$F42,IF($I42&lt;$J42,$G42,$K42))&lt;&gt;"",IF($L42&gt;$M42,$F42,IF($L42&lt;$M42,$G42,$N42))&lt;&gt;"",IF($I42&gt;$J42,$F42,IF($I42&lt;$J42,$G42,$K42))=IF($L42&gt;$M42,$F42,IF($L42&lt;$M42,$G42,$N42))),1,0))</x:f>
      </x:c>
      <x:c r="Q42" s="59" t="str">
        <x:f>IF($O42="","",$O42+$P42)</x:f>
      </x:c>
      <x:c r="R42" s="59" t="str">
        <x:f>IF($Q42="","",IF($O42=3,"Cravada",IF(AND($H42="Sim",$L42=$M42,$I42=$J42,$O42=2),"Empate cravado",IF($O42=1,"Resultado certo",IF($O42=-2,"Invertida",IF($P42=1,"Acertou quem passa","Erro"))))))</x:f>
      </x:c>
      <x:c r="S42" s="59" t="str">
        <x:f>IF($O42="","",--(OR($O42=3,AND($H42="Sim",$L42=$M42,$I42=$J42,$O42=2))))</x:f>
      </x:c>
      <x:c r="T42" s="59" t="str">
        <x:f>IF($O42="","",--($O42=-2))</x:f>
      </x:c>
      <x:c r="U42" s="59" t="str">
        <x:f>IF($O42="","",--($O42=1))</x:f>
      </x:c>
      <x:c r="V42" s="59" t="n">
        <x:f>--(AND($I42&lt;&gt;"",$J42&lt;&gt;""))</x:f>
        <x:v>0</x:v>
      </x:c>
    </x:row>
    <x:row r="43">
      <x:c r="A43" s="21" t="str">
        <x:f>INDEX(Config!$B$10:$B$16,INT((ROW()-5)/104)+1)</x:f>
        <x:v>Leo B.</x:v>
      </x:c>
      <x:c r="B43" s="21" t="str">
        <x:v>GG3</x:v>
      </x:c>
      <x:c r="C43" s="21" t="n">
        <x:v>39</x:v>
      </x:c>
      <x:c r="D43" s="21" t="str">
        <x:v>Grupo G</x:v>
      </x:c>
      <x:c r="E43" s="21" t="str">
        <x:v>2026-06-21</x:v>
      </x:c>
      <x:c r="F43" s="21" t="str">
        <x:f>IFERROR(INDEX('Resultados'!$G$5:$G$108,MATCH($B43,'Resultados'!$A$5:$A$108,0)),"")</x:f>
        <x:v>Bélgica</x:v>
      </x:c>
      <x:c r="G43" s="21" t="str">
        <x:f>IFERROR(INDEX('Resultados'!$J$5:$J$108,MATCH($B43,'Resultados'!$A$5:$A$108,0)),"")</x:f>
        <x:v>Irã</x:v>
      </x:c>
      <x:c r="H43" s="21" t="str">
        <x:v>Não</x:v>
      </x:c>
      <x:c r="I43" s="22"/>
      <x:c r="J43" s="22"/>
      <x:c r="K43" s="23"/>
      <x:c r="L43" s="21" t="str">
        <x:f>IFERROR(INDEX('Resultados'!$H$5:$H$108,MATCH($B43,'Resultados'!$A$5:$A$108,0)),"")</x:f>
      </x:c>
      <x:c r="M43" s="21" t="str">
        <x:f>IFERROR(INDEX('Resultados'!$I$5:$I$108,MATCH($B43,'Resultados'!$A$5:$A$108,0)),"")</x:f>
      </x:c>
      <x:c r="N43" s="21" t="str">
        <x:f>IFERROR(INDEX('Resultados'!$L$5:$L$108,MATCH($B43,'Resultados'!$A$5:$A$108,0)),"")</x:f>
      </x:c>
      <x:c r="O43" s="59" t="str">
        <x:f>IF(OR($I43="",$J43="",$L43="",$M43=""),"",IF(AND($H43="Sim",$L43=$M43),IF($I43&lt;&gt;$J43,0,IF(AND($I43=$L43,$J43=$M43),2,1)),IF(AND($I43=$L43,$J43=$M43),3,IF(AND($I43&lt;&gt;$J43,$I43=$M43,$J43=$L43),-2,IF(SIGN($I43-$J43)=SIGN($L43-$M43),1,0)))))</x:f>
      </x:c>
      <x:c r="P43" s="59" t="str">
        <x:f>IF(OR($H43&lt;&gt;"Sim",$I43="",$J43="",$L43="",$M43=""),"",IF(AND(IF($I43&gt;$J43,$F43,IF($I43&lt;$J43,$G43,$K43))&lt;&gt;"",IF($L43&gt;$M43,$F43,IF($L43&lt;$M43,$G43,$N43))&lt;&gt;"",IF($I43&gt;$J43,$F43,IF($I43&lt;$J43,$G43,$K43))=IF($L43&gt;$M43,$F43,IF($L43&lt;$M43,$G43,$N43))),1,0))</x:f>
      </x:c>
      <x:c r="Q43" s="59" t="str">
        <x:f>IF($O43="","",$O43+$P43)</x:f>
      </x:c>
      <x:c r="R43" s="59" t="str">
        <x:f>IF($Q43="","",IF($O43=3,"Cravada",IF(AND($H43="Sim",$L43=$M43,$I43=$J43,$O43=2),"Empate cravado",IF($O43=1,"Resultado certo",IF($O43=-2,"Invertida",IF($P43=1,"Acertou quem passa","Erro"))))))</x:f>
      </x:c>
      <x:c r="S43" s="59" t="str">
        <x:f>IF($O43="","",--(OR($O43=3,AND($H43="Sim",$L43=$M43,$I43=$J43,$O43=2))))</x:f>
      </x:c>
      <x:c r="T43" s="59" t="str">
        <x:f>IF($O43="","",--($O43=-2))</x:f>
      </x:c>
      <x:c r="U43" s="59" t="str">
        <x:f>IF($O43="","",--($O43=1))</x:f>
      </x:c>
      <x:c r="V43" s="59" t="n">
        <x:f>--(AND($I43&lt;&gt;"",$J43&lt;&gt;""))</x:f>
        <x:v>0</x:v>
      </x:c>
    </x:row>
    <x:row r="44">
      <x:c r="A44" s="21" t="str">
        <x:f>INDEX(Config!$B$10:$B$16,INT((ROW()-5)/104)+1)</x:f>
        <x:v>Leo B.</x:v>
      </x:c>
      <x:c r="B44" s="21" t="str">
        <x:v>GG4</x:v>
      </x:c>
      <x:c r="C44" s="21" t="n">
        <x:v>40</x:v>
      </x:c>
      <x:c r="D44" s="21" t="str">
        <x:v>Grupo G</x:v>
      </x:c>
      <x:c r="E44" s="21" t="str">
        <x:v>2026-06-21</x:v>
      </x:c>
      <x:c r="F44" s="21" t="str">
        <x:f>IFERROR(INDEX('Resultados'!$G$5:$G$108,MATCH($B44,'Resultados'!$A$5:$A$108,0)),"")</x:f>
        <x:v>Egito</x:v>
      </x:c>
      <x:c r="G44" s="21" t="str">
        <x:f>IFERROR(INDEX('Resultados'!$J$5:$J$108,MATCH($B44,'Resultados'!$A$5:$A$108,0)),"")</x:f>
        <x:v>Nova Zelândia</x:v>
      </x:c>
      <x:c r="H44" s="21" t="str">
        <x:v>Não</x:v>
      </x:c>
      <x:c r="I44" s="22"/>
      <x:c r="J44" s="22"/>
      <x:c r="K44" s="23"/>
      <x:c r="L44" s="21" t="str">
        <x:f>IFERROR(INDEX('Resultados'!$H$5:$H$108,MATCH($B44,'Resultados'!$A$5:$A$108,0)),"")</x:f>
      </x:c>
      <x:c r="M44" s="21" t="str">
        <x:f>IFERROR(INDEX('Resultados'!$I$5:$I$108,MATCH($B44,'Resultados'!$A$5:$A$108,0)),"")</x:f>
      </x:c>
      <x:c r="N44" s="21" t="str">
        <x:f>IFERROR(INDEX('Resultados'!$L$5:$L$108,MATCH($B44,'Resultados'!$A$5:$A$108,0)),"")</x:f>
      </x:c>
      <x:c r="O44" s="59" t="str">
        <x:f>IF(OR($I44="",$J44="",$L44="",$M44=""),"",IF(AND($H44="Sim",$L44=$M44),IF($I44&lt;&gt;$J44,0,IF(AND($I44=$L44,$J44=$M44),2,1)),IF(AND($I44=$L44,$J44=$M44),3,IF(AND($I44&lt;&gt;$J44,$I44=$M44,$J44=$L44),-2,IF(SIGN($I44-$J44)=SIGN($L44-$M44),1,0)))))</x:f>
      </x:c>
      <x:c r="P44" s="59" t="str">
        <x:f>IF(OR($H44&lt;&gt;"Sim",$I44="",$J44="",$L44="",$M44=""),"",IF(AND(IF($I44&gt;$J44,$F44,IF($I44&lt;$J44,$G44,$K44))&lt;&gt;"",IF($L44&gt;$M44,$F44,IF($L44&lt;$M44,$G44,$N44))&lt;&gt;"",IF($I44&gt;$J44,$F44,IF($I44&lt;$J44,$G44,$K44))=IF($L44&gt;$M44,$F44,IF($L44&lt;$M44,$G44,$N44))),1,0))</x:f>
      </x:c>
      <x:c r="Q44" s="59" t="str">
        <x:f>IF($O44="","",$O44+$P44)</x:f>
      </x:c>
      <x:c r="R44" s="59" t="str">
        <x:f>IF($Q44="","",IF($O44=3,"Cravada",IF(AND($H44="Sim",$L44=$M44,$I44=$J44,$O44=2),"Empate cravado",IF($O44=1,"Resultado certo",IF($O44=-2,"Invertida",IF($P44=1,"Acertou quem passa","Erro"))))))</x:f>
      </x:c>
      <x:c r="S44" s="59" t="str">
        <x:f>IF($O44="","",--(OR($O44=3,AND($H44="Sim",$L44=$M44,$I44=$J44,$O44=2))))</x:f>
      </x:c>
      <x:c r="T44" s="59" t="str">
        <x:f>IF($O44="","",--($O44=-2))</x:f>
      </x:c>
      <x:c r="U44" s="59" t="str">
        <x:f>IF($O44="","",--($O44=1))</x:f>
      </x:c>
      <x:c r="V44" s="59" t="n">
        <x:f>--(AND($I44&lt;&gt;"",$J44&lt;&gt;""))</x:f>
        <x:v>0</x:v>
      </x:c>
    </x:row>
    <x:row r="45">
      <x:c r="A45" s="21" t="str">
        <x:f>INDEX(Config!$B$10:$B$16,INT((ROW()-5)/104)+1)</x:f>
        <x:v>Leo B.</x:v>
      </x:c>
      <x:c r="B45" s="21" t="str">
        <x:v>GG5</x:v>
      </x:c>
      <x:c r="C45" s="21" t="n">
        <x:v>41</x:v>
      </x:c>
      <x:c r="D45" s="21" t="str">
        <x:v>Grupo G</x:v>
      </x:c>
      <x:c r="E45" s="21" t="str">
        <x:v>2026-06-27</x:v>
      </x:c>
      <x:c r="F45" s="21" t="str">
        <x:f>IFERROR(INDEX('Resultados'!$G$5:$G$108,MATCH($B45,'Resultados'!$A$5:$A$108,0)),"")</x:f>
        <x:v>Bélgica</x:v>
      </x:c>
      <x:c r="G45" s="21" t="str">
        <x:f>IFERROR(INDEX('Resultados'!$J$5:$J$108,MATCH($B45,'Resultados'!$A$5:$A$108,0)),"")</x:f>
        <x:v>Nova Zelândia</x:v>
      </x:c>
      <x:c r="H45" s="21" t="str">
        <x:v>Não</x:v>
      </x:c>
      <x:c r="I45" s="22"/>
      <x:c r="J45" s="22"/>
      <x:c r="K45" s="23"/>
      <x:c r="L45" s="21" t="str">
        <x:f>IFERROR(INDEX('Resultados'!$H$5:$H$108,MATCH($B45,'Resultados'!$A$5:$A$108,0)),"")</x:f>
      </x:c>
      <x:c r="M45" s="21" t="str">
        <x:f>IFERROR(INDEX('Resultados'!$I$5:$I$108,MATCH($B45,'Resultados'!$A$5:$A$108,0)),"")</x:f>
      </x:c>
      <x:c r="N45" s="21" t="str">
        <x:f>IFERROR(INDEX('Resultados'!$L$5:$L$108,MATCH($B45,'Resultados'!$A$5:$A$108,0)),"")</x:f>
      </x:c>
      <x:c r="O45" s="59" t="str">
        <x:f>IF(OR($I45="",$J45="",$L45="",$M45=""),"",IF(AND($H45="Sim",$L45=$M45),IF($I45&lt;&gt;$J45,0,IF(AND($I45=$L45,$J45=$M45),2,1)),IF(AND($I45=$L45,$J45=$M45),3,IF(AND($I45&lt;&gt;$J45,$I45=$M45,$J45=$L45),-2,IF(SIGN($I45-$J45)=SIGN($L45-$M45),1,0)))))</x:f>
      </x:c>
      <x:c r="P45" s="59" t="str">
        <x:f>IF(OR($H45&lt;&gt;"Sim",$I45="",$J45="",$L45="",$M45=""),"",IF(AND(IF($I45&gt;$J45,$F45,IF($I45&lt;$J45,$G45,$K45))&lt;&gt;"",IF($L45&gt;$M45,$F45,IF($L45&lt;$M45,$G45,$N45))&lt;&gt;"",IF($I45&gt;$J45,$F45,IF($I45&lt;$J45,$G45,$K45))=IF($L45&gt;$M45,$F45,IF($L45&lt;$M45,$G45,$N45))),1,0))</x:f>
      </x:c>
      <x:c r="Q45" s="59" t="str">
        <x:f>IF($O45="","",$O45+$P45)</x:f>
      </x:c>
      <x:c r="R45" s="59" t="str">
        <x:f>IF($Q45="","",IF($O45=3,"Cravada",IF(AND($H45="Sim",$L45=$M45,$I45=$J45,$O45=2),"Empate cravado",IF($O45=1,"Resultado certo",IF($O45=-2,"Invertida",IF($P45=1,"Acertou quem passa","Erro"))))))</x:f>
      </x:c>
      <x:c r="S45" s="59" t="str">
        <x:f>IF($O45="","",--(OR($O45=3,AND($H45="Sim",$L45=$M45,$I45=$J45,$O45=2))))</x:f>
      </x:c>
      <x:c r="T45" s="59" t="str">
        <x:f>IF($O45="","",--($O45=-2))</x:f>
      </x:c>
      <x:c r="U45" s="59" t="str">
        <x:f>IF($O45="","",--($O45=1))</x:f>
      </x:c>
      <x:c r="V45" s="59" t="n">
        <x:f>--(AND($I45&lt;&gt;"",$J45&lt;&gt;""))</x:f>
        <x:v>0</x:v>
      </x:c>
    </x:row>
    <x:row r="46">
      <x:c r="A46" s="21" t="str">
        <x:f>INDEX(Config!$B$10:$B$16,INT((ROW()-5)/104)+1)</x:f>
        <x:v>Leo B.</x:v>
      </x:c>
      <x:c r="B46" s="21" t="str">
        <x:v>GG6</x:v>
      </x:c>
      <x:c r="C46" s="21" t="n">
        <x:v>42</x:v>
      </x:c>
      <x:c r="D46" s="21" t="str">
        <x:v>Grupo G</x:v>
      </x:c>
      <x:c r="E46" s="21" t="str">
        <x:v>2026-06-27</x:v>
      </x:c>
      <x:c r="F46" s="21" t="str">
        <x:f>IFERROR(INDEX('Resultados'!$G$5:$G$108,MATCH($B46,'Resultados'!$A$5:$A$108,0)),"")</x:f>
        <x:v>Egito</x:v>
      </x:c>
      <x:c r="G46" s="21" t="str">
        <x:f>IFERROR(INDEX('Resultados'!$J$5:$J$108,MATCH($B46,'Resultados'!$A$5:$A$108,0)),"")</x:f>
        <x:v>Irã</x:v>
      </x:c>
      <x:c r="H46" s="21" t="str">
        <x:v>Não</x:v>
      </x:c>
      <x:c r="I46" s="22"/>
      <x:c r="J46" s="22"/>
      <x:c r="K46" s="23"/>
      <x:c r="L46" s="21" t="str">
        <x:f>IFERROR(INDEX('Resultados'!$H$5:$H$108,MATCH($B46,'Resultados'!$A$5:$A$108,0)),"")</x:f>
      </x:c>
      <x:c r="M46" s="21" t="str">
        <x:f>IFERROR(INDEX('Resultados'!$I$5:$I$108,MATCH($B46,'Resultados'!$A$5:$A$108,0)),"")</x:f>
      </x:c>
      <x:c r="N46" s="21" t="str">
        <x:f>IFERROR(INDEX('Resultados'!$L$5:$L$108,MATCH($B46,'Resultados'!$A$5:$A$108,0)),"")</x:f>
      </x:c>
      <x:c r="O46" s="59" t="str">
        <x:f>IF(OR($I46="",$J46="",$L46="",$M46=""),"",IF(AND($H46="Sim",$L46=$M46),IF($I46&lt;&gt;$J46,0,IF(AND($I46=$L46,$J46=$M46),2,1)),IF(AND($I46=$L46,$J46=$M46),3,IF(AND($I46&lt;&gt;$J46,$I46=$M46,$J46=$L46),-2,IF(SIGN($I46-$J46)=SIGN($L46-$M46),1,0)))))</x:f>
      </x:c>
      <x:c r="P46" s="59" t="str">
        <x:f>IF(OR($H46&lt;&gt;"Sim",$I46="",$J46="",$L46="",$M46=""),"",IF(AND(IF($I46&gt;$J46,$F46,IF($I46&lt;$J46,$G46,$K46))&lt;&gt;"",IF($L46&gt;$M46,$F46,IF($L46&lt;$M46,$G46,$N46))&lt;&gt;"",IF($I46&gt;$J46,$F46,IF($I46&lt;$J46,$G46,$K46))=IF($L46&gt;$M46,$F46,IF($L46&lt;$M46,$G46,$N46))),1,0))</x:f>
      </x:c>
      <x:c r="Q46" s="59" t="str">
        <x:f>IF($O46="","",$O46+$P46)</x:f>
      </x:c>
      <x:c r="R46" s="59" t="str">
        <x:f>IF($Q46="","",IF($O46=3,"Cravada",IF(AND($H46="Sim",$L46=$M46,$I46=$J46,$O46=2),"Empate cravado",IF($O46=1,"Resultado certo",IF($O46=-2,"Invertida",IF($P46=1,"Acertou quem passa","Erro"))))))</x:f>
      </x:c>
      <x:c r="S46" s="59" t="str">
        <x:f>IF($O46="","",--(OR($O46=3,AND($H46="Sim",$L46=$M46,$I46=$J46,$O46=2))))</x:f>
      </x:c>
      <x:c r="T46" s="59" t="str">
        <x:f>IF($O46="","",--($O46=-2))</x:f>
      </x:c>
      <x:c r="U46" s="59" t="str">
        <x:f>IF($O46="","",--($O46=1))</x:f>
      </x:c>
      <x:c r="V46" s="59" t="n">
        <x:f>--(AND($I46&lt;&gt;"",$J46&lt;&gt;""))</x:f>
        <x:v>0</x:v>
      </x:c>
    </x:row>
    <x:row r="47">
      <x:c r="A47" s="21" t="str">
        <x:f>INDEX(Config!$B$10:$B$16,INT((ROW()-5)/104)+1)</x:f>
        <x:v>Leo B.</x:v>
      </x:c>
      <x:c r="B47" s="21" t="str">
        <x:v>GH1</x:v>
      </x:c>
      <x:c r="C47" s="21" t="n">
        <x:v>43</x:v>
      </x:c>
      <x:c r="D47" s="21" t="str">
        <x:v>Grupo H</x:v>
      </x:c>
      <x:c r="E47" s="21" t="str">
        <x:v>2026-06-15</x:v>
      </x:c>
      <x:c r="F47" s="21" t="str">
        <x:f>IFERROR(INDEX('Resultados'!$G$5:$G$108,MATCH($B47,'Resultados'!$A$5:$A$108,0)),"")</x:f>
        <x:v>Espanha</x:v>
      </x:c>
      <x:c r="G47" s="21" t="str">
        <x:f>IFERROR(INDEX('Resultados'!$J$5:$J$108,MATCH($B47,'Resultados'!$A$5:$A$108,0)),"")</x:f>
        <x:v>Cabo Verde</x:v>
      </x:c>
      <x:c r="H47" s="21" t="str">
        <x:v>Não</x:v>
      </x:c>
      <x:c r="I47" s="22"/>
      <x:c r="J47" s="22"/>
      <x:c r="K47" s="23"/>
      <x:c r="L47" s="21" t="str">
        <x:f>IFERROR(INDEX('Resultados'!$H$5:$H$108,MATCH($B47,'Resultados'!$A$5:$A$108,0)),"")</x:f>
      </x:c>
      <x:c r="M47" s="21" t="str">
        <x:f>IFERROR(INDEX('Resultados'!$I$5:$I$108,MATCH($B47,'Resultados'!$A$5:$A$108,0)),"")</x:f>
      </x:c>
      <x:c r="N47" s="21" t="str">
        <x:f>IFERROR(INDEX('Resultados'!$L$5:$L$108,MATCH($B47,'Resultados'!$A$5:$A$108,0)),"")</x:f>
      </x:c>
      <x:c r="O47" s="59" t="str">
        <x:f>IF(OR($I47="",$J47="",$L47="",$M47=""),"",IF(AND($H47="Sim",$L47=$M47),IF($I47&lt;&gt;$J47,0,IF(AND($I47=$L47,$J47=$M47),2,1)),IF(AND($I47=$L47,$J47=$M47),3,IF(AND($I47&lt;&gt;$J47,$I47=$M47,$J47=$L47),-2,IF(SIGN($I47-$J47)=SIGN($L47-$M47),1,0)))))</x:f>
      </x:c>
      <x:c r="P47" s="59" t="str">
        <x:f>IF(OR($H47&lt;&gt;"Sim",$I47="",$J47="",$L47="",$M47=""),"",IF(AND(IF($I47&gt;$J47,$F47,IF($I47&lt;$J47,$G47,$K47))&lt;&gt;"",IF($L47&gt;$M47,$F47,IF($L47&lt;$M47,$G47,$N47))&lt;&gt;"",IF($I47&gt;$J47,$F47,IF($I47&lt;$J47,$G47,$K47))=IF($L47&gt;$M47,$F47,IF($L47&lt;$M47,$G47,$N47))),1,0))</x:f>
      </x:c>
      <x:c r="Q47" s="59" t="str">
        <x:f>IF($O47="","",$O47+$P47)</x:f>
      </x:c>
      <x:c r="R47" s="59" t="str">
        <x:f>IF($Q47="","",IF($O47=3,"Cravada",IF(AND($H47="Sim",$L47=$M47,$I47=$J47,$O47=2),"Empate cravado",IF($O47=1,"Resultado certo",IF($O47=-2,"Invertida",IF($P47=1,"Acertou quem passa","Erro"))))))</x:f>
      </x:c>
      <x:c r="S47" s="59" t="str">
        <x:f>IF($O47="","",--(OR($O47=3,AND($H47="Sim",$L47=$M47,$I47=$J47,$O47=2))))</x:f>
      </x:c>
      <x:c r="T47" s="59" t="str">
        <x:f>IF($O47="","",--($O47=-2))</x:f>
      </x:c>
      <x:c r="U47" s="59" t="str">
        <x:f>IF($O47="","",--($O47=1))</x:f>
      </x:c>
      <x:c r="V47" s="59" t="n">
        <x:f>--(AND($I47&lt;&gt;"",$J47&lt;&gt;""))</x:f>
        <x:v>0</x:v>
      </x:c>
    </x:row>
    <x:row r="48">
      <x:c r="A48" s="21" t="str">
        <x:f>INDEX(Config!$B$10:$B$16,INT((ROW()-5)/104)+1)</x:f>
        <x:v>Leo B.</x:v>
      </x:c>
      <x:c r="B48" s="21" t="str">
        <x:v>GH2</x:v>
      </x:c>
      <x:c r="C48" s="21" t="n">
        <x:v>44</x:v>
      </x:c>
      <x:c r="D48" s="21" t="str">
        <x:v>Grupo H</x:v>
      </x:c>
      <x:c r="E48" s="21" t="str">
        <x:v>2026-06-15</x:v>
      </x:c>
      <x:c r="F48" s="21" t="str">
        <x:f>IFERROR(INDEX('Resultados'!$G$5:$G$108,MATCH($B48,'Resultados'!$A$5:$A$108,0)),"")</x:f>
        <x:v>Arábia Saudita</x:v>
      </x:c>
      <x:c r="G48" s="21" t="str">
        <x:f>IFERROR(INDEX('Resultados'!$J$5:$J$108,MATCH($B48,'Resultados'!$A$5:$A$108,0)),"")</x:f>
        <x:v>Uruguai</x:v>
      </x:c>
      <x:c r="H48" s="21" t="str">
        <x:v>Não</x:v>
      </x:c>
      <x:c r="I48" s="22"/>
      <x:c r="J48" s="22"/>
      <x:c r="K48" s="23"/>
      <x:c r="L48" s="21" t="str">
        <x:f>IFERROR(INDEX('Resultados'!$H$5:$H$108,MATCH($B48,'Resultados'!$A$5:$A$108,0)),"")</x:f>
      </x:c>
      <x:c r="M48" s="21" t="str">
        <x:f>IFERROR(INDEX('Resultados'!$I$5:$I$108,MATCH($B48,'Resultados'!$A$5:$A$108,0)),"")</x:f>
      </x:c>
      <x:c r="N48" s="21" t="str">
        <x:f>IFERROR(INDEX('Resultados'!$L$5:$L$108,MATCH($B48,'Resultados'!$A$5:$A$108,0)),"")</x:f>
      </x:c>
      <x:c r="O48" s="59" t="str">
        <x:f>IF(OR($I48="",$J48="",$L48="",$M48=""),"",IF(AND($H48="Sim",$L48=$M48),IF($I48&lt;&gt;$J48,0,IF(AND($I48=$L48,$J48=$M48),2,1)),IF(AND($I48=$L48,$J48=$M48),3,IF(AND($I48&lt;&gt;$J48,$I48=$M48,$J48=$L48),-2,IF(SIGN($I48-$J48)=SIGN($L48-$M48),1,0)))))</x:f>
      </x:c>
      <x:c r="P48" s="59" t="str">
        <x:f>IF(OR($H48&lt;&gt;"Sim",$I48="",$J48="",$L48="",$M48=""),"",IF(AND(IF($I48&gt;$J48,$F48,IF($I48&lt;$J48,$G48,$K48))&lt;&gt;"",IF($L48&gt;$M48,$F48,IF($L48&lt;$M48,$G48,$N48))&lt;&gt;"",IF($I48&gt;$J48,$F48,IF($I48&lt;$J48,$G48,$K48))=IF($L48&gt;$M48,$F48,IF($L48&lt;$M48,$G48,$N48))),1,0))</x:f>
      </x:c>
      <x:c r="Q48" s="59" t="str">
        <x:f>IF($O48="","",$O48+$P48)</x:f>
      </x:c>
      <x:c r="R48" s="59" t="str">
        <x:f>IF($Q48="","",IF($O48=3,"Cravada",IF(AND($H48="Sim",$L48=$M48,$I48=$J48,$O48=2),"Empate cravado",IF($O48=1,"Resultado certo",IF($O48=-2,"Invertida",IF($P48=1,"Acertou quem passa","Erro"))))))</x:f>
      </x:c>
      <x:c r="S48" s="59" t="str">
        <x:f>IF($O48="","",--(OR($O48=3,AND($H48="Sim",$L48=$M48,$I48=$J48,$O48=2))))</x:f>
      </x:c>
      <x:c r="T48" s="59" t="str">
        <x:f>IF($O48="","",--($O48=-2))</x:f>
      </x:c>
      <x:c r="U48" s="59" t="str">
        <x:f>IF($O48="","",--($O48=1))</x:f>
      </x:c>
      <x:c r="V48" s="59" t="n">
        <x:f>--(AND($I48&lt;&gt;"",$J48&lt;&gt;""))</x:f>
        <x:v>0</x:v>
      </x:c>
    </x:row>
    <x:row r="49">
      <x:c r="A49" s="21" t="str">
        <x:f>INDEX(Config!$B$10:$B$16,INT((ROW()-5)/104)+1)</x:f>
        <x:v>Leo B.</x:v>
      </x:c>
      <x:c r="B49" s="21" t="str">
        <x:v>GH3</x:v>
      </x:c>
      <x:c r="C49" s="21" t="n">
        <x:v>45</x:v>
      </x:c>
      <x:c r="D49" s="21" t="str">
        <x:v>Grupo H</x:v>
      </x:c>
      <x:c r="E49" s="21" t="str">
        <x:v>2026-06-21</x:v>
      </x:c>
      <x:c r="F49" s="21" t="str">
        <x:f>IFERROR(INDEX('Resultados'!$G$5:$G$108,MATCH($B49,'Resultados'!$A$5:$A$108,0)),"")</x:f>
        <x:v>Espanha</x:v>
      </x:c>
      <x:c r="G49" s="21" t="str">
        <x:f>IFERROR(INDEX('Resultados'!$J$5:$J$108,MATCH($B49,'Resultados'!$A$5:$A$108,0)),"")</x:f>
        <x:v>Arábia Saudita</x:v>
      </x:c>
      <x:c r="H49" s="21" t="str">
        <x:v>Não</x:v>
      </x:c>
      <x:c r="I49" s="22"/>
      <x:c r="J49" s="22"/>
      <x:c r="K49" s="23"/>
      <x:c r="L49" s="21" t="str">
        <x:f>IFERROR(INDEX('Resultados'!$H$5:$H$108,MATCH($B49,'Resultados'!$A$5:$A$108,0)),"")</x:f>
      </x:c>
      <x:c r="M49" s="21" t="str">
        <x:f>IFERROR(INDEX('Resultados'!$I$5:$I$108,MATCH($B49,'Resultados'!$A$5:$A$108,0)),"")</x:f>
      </x:c>
      <x:c r="N49" s="21" t="str">
        <x:f>IFERROR(INDEX('Resultados'!$L$5:$L$108,MATCH($B49,'Resultados'!$A$5:$A$108,0)),"")</x:f>
      </x:c>
      <x:c r="O49" s="59" t="str">
        <x:f>IF(OR($I49="",$J49="",$L49="",$M49=""),"",IF(AND($H49="Sim",$L49=$M49),IF($I49&lt;&gt;$J49,0,IF(AND($I49=$L49,$J49=$M49),2,1)),IF(AND($I49=$L49,$J49=$M49),3,IF(AND($I49&lt;&gt;$J49,$I49=$M49,$J49=$L49),-2,IF(SIGN($I49-$J49)=SIGN($L49-$M49),1,0)))))</x:f>
      </x:c>
      <x:c r="P49" s="59" t="str">
        <x:f>IF(OR($H49&lt;&gt;"Sim",$I49="",$J49="",$L49="",$M49=""),"",IF(AND(IF($I49&gt;$J49,$F49,IF($I49&lt;$J49,$G49,$K49))&lt;&gt;"",IF($L49&gt;$M49,$F49,IF($L49&lt;$M49,$G49,$N49))&lt;&gt;"",IF($I49&gt;$J49,$F49,IF($I49&lt;$J49,$G49,$K49))=IF($L49&gt;$M49,$F49,IF($L49&lt;$M49,$G49,$N49))),1,0))</x:f>
      </x:c>
      <x:c r="Q49" s="59" t="str">
        <x:f>IF($O49="","",$O49+$P49)</x:f>
      </x:c>
      <x:c r="R49" s="59" t="str">
        <x:f>IF($Q49="","",IF($O49=3,"Cravada",IF(AND($H49="Sim",$L49=$M49,$I49=$J49,$O49=2),"Empate cravado",IF($O49=1,"Resultado certo",IF($O49=-2,"Invertida",IF($P49=1,"Acertou quem passa","Erro"))))))</x:f>
      </x:c>
      <x:c r="S49" s="59" t="str">
        <x:f>IF($O49="","",--(OR($O49=3,AND($H49="Sim",$L49=$M49,$I49=$J49,$O49=2))))</x:f>
      </x:c>
      <x:c r="T49" s="59" t="str">
        <x:f>IF($O49="","",--($O49=-2))</x:f>
      </x:c>
      <x:c r="U49" s="59" t="str">
        <x:f>IF($O49="","",--($O49=1))</x:f>
      </x:c>
      <x:c r="V49" s="59" t="n">
        <x:f>--(AND($I49&lt;&gt;"",$J49&lt;&gt;""))</x:f>
        <x:v>0</x:v>
      </x:c>
    </x:row>
    <x:row r="50">
      <x:c r="A50" s="21" t="str">
        <x:f>INDEX(Config!$B$10:$B$16,INT((ROW()-5)/104)+1)</x:f>
        <x:v>Leo B.</x:v>
      </x:c>
      <x:c r="B50" s="21" t="str">
        <x:v>GH4</x:v>
      </x:c>
      <x:c r="C50" s="21" t="n">
        <x:v>46</x:v>
      </x:c>
      <x:c r="D50" s="21" t="str">
        <x:v>Grupo H</x:v>
      </x:c>
      <x:c r="E50" s="21" t="str">
        <x:v>2026-06-21</x:v>
      </x:c>
      <x:c r="F50" s="21" t="str">
        <x:f>IFERROR(INDEX('Resultados'!$G$5:$G$108,MATCH($B50,'Resultados'!$A$5:$A$108,0)),"")</x:f>
        <x:v>Cabo Verde</x:v>
      </x:c>
      <x:c r="G50" s="21" t="str">
        <x:f>IFERROR(INDEX('Resultados'!$J$5:$J$108,MATCH($B50,'Resultados'!$A$5:$A$108,0)),"")</x:f>
        <x:v>Uruguai</x:v>
      </x:c>
      <x:c r="H50" s="21" t="str">
        <x:v>Não</x:v>
      </x:c>
      <x:c r="I50" s="22"/>
      <x:c r="J50" s="22"/>
      <x:c r="K50" s="23"/>
      <x:c r="L50" s="21" t="str">
        <x:f>IFERROR(INDEX('Resultados'!$H$5:$H$108,MATCH($B50,'Resultados'!$A$5:$A$108,0)),"")</x:f>
      </x:c>
      <x:c r="M50" s="21" t="str">
        <x:f>IFERROR(INDEX('Resultados'!$I$5:$I$108,MATCH($B50,'Resultados'!$A$5:$A$108,0)),"")</x:f>
      </x:c>
      <x:c r="N50" s="21" t="str">
        <x:f>IFERROR(INDEX('Resultados'!$L$5:$L$108,MATCH($B50,'Resultados'!$A$5:$A$108,0)),"")</x:f>
      </x:c>
      <x:c r="O50" s="59" t="str">
        <x:f>IF(OR($I50="",$J50="",$L50="",$M50=""),"",IF(AND($H50="Sim",$L50=$M50),IF($I50&lt;&gt;$J50,0,IF(AND($I50=$L50,$J50=$M50),2,1)),IF(AND($I50=$L50,$J50=$M50),3,IF(AND($I50&lt;&gt;$J50,$I50=$M50,$J50=$L50),-2,IF(SIGN($I50-$J50)=SIGN($L50-$M50),1,0)))))</x:f>
      </x:c>
      <x:c r="P50" s="59" t="str">
        <x:f>IF(OR($H50&lt;&gt;"Sim",$I50="",$J50="",$L50="",$M50=""),"",IF(AND(IF($I50&gt;$J50,$F50,IF($I50&lt;$J50,$G50,$K50))&lt;&gt;"",IF($L50&gt;$M50,$F50,IF($L50&lt;$M50,$G50,$N50))&lt;&gt;"",IF($I50&gt;$J50,$F50,IF($I50&lt;$J50,$G50,$K50))=IF($L50&gt;$M50,$F50,IF($L50&lt;$M50,$G50,$N50))),1,0))</x:f>
      </x:c>
      <x:c r="Q50" s="59" t="str">
        <x:f>IF($O50="","",$O50+$P50)</x:f>
      </x:c>
      <x:c r="R50" s="59" t="str">
        <x:f>IF($Q50="","",IF($O50=3,"Cravada",IF(AND($H50="Sim",$L50=$M50,$I50=$J50,$O50=2),"Empate cravado",IF($O50=1,"Resultado certo",IF($O50=-2,"Invertida",IF($P50=1,"Acertou quem passa","Erro"))))))</x:f>
      </x:c>
      <x:c r="S50" s="59" t="str">
        <x:f>IF($O50="","",--(OR($O50=3,AND($H50="Sim",$L50=$M50,$I50=$J50,$O50=2))))</x:f>
      </x:c>
      <x:c r="T50" s="59" t="str">
        <x:f>IF($O50="","",--($O50=-2))</x:f>
      </x:c>
      <x:c r="U50" s="59" t="str">
        <x:f>IF($O50="","",--($O50=1))</x:f>
      </x:c>
      <x:c r="V50" s="59" t="n">
        <x:f>--(AND($I50&lt;&gt;"",$J50&lt;&gt;""))</x:f>
        <x:v>0</x:v>
      </x:c>
    </x:row>
    <x:row r="51">
      <x:c r="A51" s="21" t="str">
        <x:f>INDEX(Config!$B$10:$B$16,INT((ROW()-5)/104)+1)</x:f>
        <x:v>Leo B.</x:v>
      </x:c>
      <x:c r="B51" s="21" t="str">
        <x:v>GH5</x:v>
      </x:c>
      <x:c r="C51" s="21" t="n">
        <x:v>47</x:v>
      </x:c>
      <x:c r="D51" s="21" t="str">
        <x:v>Grupo H</x:v>
      </x:c>
      <x:c r="E51" s="21" t="str">
        <x:v>2026-06-26</x:v>
      </x:c>
      <x:c r="F51" s="21" t="str">
        <x:f>IFERROR(INDEX('Resultados'!$G$5:$G$108,MATCH($B51,'Resultados'!$A$5:$A$108,0)),"")</x:f>
        <x:v>Espanha</x:v>
      </x:c>
      <x:c r="G51" s="21" t="str">
        <x:f>IFERROR(INDEX('Resultados'!$J$5:$J$108,MATCH($B51,'Resultados'!$A$5:$A$108,0)),"")</x:f>
        <x:v>Uruguai</x:v>
      </x:c>
      <x:c r="H51" s="21" t="str">
        <x:v>Não</x:v>
      </x:c>
      <x:c r="I51" s="22"/>
      <x:c r="J51" s="22"/>
      <x:c r="K51" s="23"/>
      <x:c r="L51" s="21" t="str">
        <x:f>IFERROR(INDEX('Resultados'!$H$5:$H$108,MATCH($B51,'Resultados'!$A$5:$A$108,0)),"")</x:f>
      </x:c>
      <x:c r="M51" s="21" t="str">
        <x:f>IFERROR(INDEX('Resultados'!$I$5:$I$108,MATCH($B51,'Resultados'!$A$5:$A$108,0)),"")</x:f>
      </x:c>
      <x:c r="N51" s="21" t="str">
        <x:f>IFERROR(INDEX('Resultados'!$L$5:$L$108,MATCH($B51,'Resultados'!$A$5:$A$108,0)),"")</x:f>
      </x:c>
      <x:c r="O51" s="59" t="str">
        <x:f>IF(OR($I51="",$J51="",$L51="",$M51=""),"",IF(AND($H51="Sim",$L51=$M51),IF($I51&lt;&gt;$J51,0,IF(AND($I51=$L51,$J51=$M51),2,1)),IF(AND($I51=$L51,$J51=$M51),3,IF(AND($I51&lt;&gt;$J51,$I51=$M51,$J51=$L51),-2,IF(SIGN($I51-$J51)=SIGN($L51-$M51),1,0)))))</x:f>
      </x:c>
      <x:c r="P51" s="59" t="str">
        <x:f>IF(OR($H51&lt;&gt;"Sim",$I51="",$J51="",$L51="",$M51=""),"",IF(AND(IF($I51&gt;$J51,$F51,IF($I51&lt;$J51,$G51,$K51))&lt;&gt;"",IF($L51&gt;$M51,$F51,IF($L51&lt;$M51,$G51,$N51))&lt;&gt;"",IF($I51&gt;$J51,$F51,IF($I51&lt;$J51,$G51,$K51))=IF($L51&gt;$M51,$F51,IF($L51&lt;$M51,$G51,$N51))),1,0))</x:f>
      </x:c>
      <x:c r="Q51" s="59" t="str">
        <x:f>IF($O51="","",$O51+$P51)</x:f>
      </x:c>
      <x:c r="R51" s="59" t="str">
        <x:f>IF($Q51="","",IF($O51=3,"Cravada",IF(AND($H51="Sim",$L51=$M51,$I51=$J51,$O51=2),"Empate cravado",IF($O51=1,"Resultado certo",IF($O51=-2,"Invertida",IF($P51=1,"Acertou quem passa","Erro"))))))</x:f>
      </x:c>
      <x:c r="S51" s="59" t="str">
        <x:f>IF($O51="","",--(OR($O51=3,AND($H51="Sim",$L51=$M51,$I51=$J51,$O51=2))))</x:f>
      </x:c>
      <x:c r="T51" s="59" t="str">
        <x:f>IF($O51="","",--($O51=-2))</x:f>
      </x:c>
      <x:c r="U51" s="59" t="str">
        <x:f>IF($O51="","",--($O51=1))</x:f>
      </x:c>
      <x:c r="V51" s="59" t="n">
        <x:f>--(AND($I51&lt;&gt;"",$J51&lt;&gt;""))</x:f>
        <x:v>0</x:v>
      </x:c>
    </x:row>
    <x:row r="52">
      <x:c r="A52" s="21" t="str">
        <x:f>INDEX(Config!$B$10:$B$16,INT((ROW()-5)/104)+1)</x:f>
        <x:v>Leo B.</x:v>
      </x:c>
      <x:c r="B52" s="21" t="str">
        <x:v>GH6</x:v>
      </x:c>
      <x:c r="C52" s="21" t="n">
        <x:v>48</x:v>
      </x:c>
      <x:c r="D52" s="21" t="str">
        <x:v>Grupo H</x:v>
      </x:c>
      <x:c r="E52" s="21" t="str">
        <x:v>2026-06-26</x:v>
      </x:c>
      <x:c r="F52" s="21" t="str">
        <x:f>IFERROR(INDEX('Resultados'!$G$5:$G$108,MATCH($B52,'Resultados'!$A$5:$A$108,0)),"")</x:f>
        <x:v>Cabo Verde</x:v>
      </x:c>
      <x:c r="G52" s="21" t="str">
        <x:f>IFERROR(INDEX('Resultados'!$J$5:$J$108,MATCH($B52,'Resultados'!$A$5:$A$108,0)),"")</x:f>
        <x:v>Arábia Saudita</x:v>
      </x:c>
      <x:c r="H52" s="21" t="str">
        <x:v>Não</x:v>
      </x:c>
      <x:c r="I52" s="22"/>
      <x:c r="J52" s="22"/>
      <x:c r="K52" s="23"/>
      <x:c r="L52" s="21" t="str">
        <x:f>IFERROR(INDEX('Resultados'!$H$5:$H$108,MATCH($B52,'Resultados'!$A$5:$A$108,0)),"")</x:f>
      </x:c>
      <x:c r="M52" s="21" t="str">
        <x:f>IFERROR(INDEX('Resultados'!$I$5:$I$108,MATCH($B52,'Resultados'!$A$5:$A$108,0)),"")</x:f>
      </x:c>
      <x:c r="N52" s="21" t="str">
        <x:f>IFERROR(INDEX('Resultados'!$L$5:$L$108,MATCH($B52,'Resultados'!$A$5:$A$108,0)),"")</x:f>
      </x:c>
      <x:c r="O52" s="59" t="str">
        <x:f>IF(OR($I52="",$J52="",$L52="",$M52=""),"",IF(AND($H52="Sim",$L52=$M52),IF($I52&lt;&gt;$J52,0,IF(AND($I52=$L52,$J52=$M52),2,1)),IF(AND($I52=$L52,$J52=$M52),3,IF(AND($I52&lt;&gt;$J52,$I52=$M52,$J52=$L52),-2,IF(SIGN($I52-$J52)=SIGN($L52-$M52),1,0)))))</x:f>
      </x:c>
      <x:c r="P52" s="59" t="str">
        <x:f>IF(OR($H52&lt;&gt;"Sim",$I52="",$J52="",$L52="",$M52=""),"",IF(AND(IF($I52&gt;$J52,$F52,IF($I52&lt;$J52,$G52,$K52))&lt;&gt;"",IF($L52&gt;$M52,$F52,IF($L52&lt;$M52,$G52,$N52))&lt;&gt;"",IF($I52&gt;$J52,$F52,IF($I52&lt;$J52,$G52,$K52))=IF($L52&gt;$M52,$F52,IF($L52&lt;$M52,$G52,$N52))),1,0))</x:f>
      </x:c>
      <x:c r="Q52" s="59" t="str">
        <x:f>IF($O52="","",$O52+$P52)</x:f>
      </x:c>
      <x:c r="R52" s="59" t="str">
        <x:f>IF($Q52="","",IF($O52=3,"Cravada",IF(AND($H52="Sim",$L52=$M52,$I52=$J52,$O52=2),"Empate cravado",IF($O52=1,"Resultado certo",IF($O52=-2,"Invertida",IF($P52=1,"Acertou quem passa","Erro"))))))</x:f>
      </x:c>
      <x:c r="S52" s="59" t="str">
        <x:f>IF($O52="","",--(OR($O52=3,AND($H52="Sim",$L52=$M52,$I52=$J52,$O52=2))))</x:f>
      </x:c>
      <x:c r="T52" s="59" t="str">
        <x:f>IF($O52="","",--($O52=-2))</x:f>
      </x:c>
      <x:c r="U52" s="59" t="str">
        <x:f>IF($O52="","",--($O52=1))</x:f>
      </x:c>
      <x:c r="V52" s="59" t="n">
        <x:f>--(AND($I52&lt;&gt;"",$J52&lt;&gt;""))</x:f>
        <x:v>0</x:v>
      </x:c>
    </x:row>
    <x:row r="53">
      <x:c r="A53" s="21" t="str">
        <x:f>INDEX(Config!$B$10:$B$16,INT((ROW()-5)/104)+1)</x:f>
        <x:v>Leo B.</x:v>
      </x:c>
      <x:c r="B53" s="21" t="str">
        <x:v>GI1</x:v>
      </x:c>
      <x:c r="C53" s="21" t="n">
        <x:v>49</x:v>
      </x:c>
      <x:c r="D53" s="21" t="str">
        <x:v>Grupo I</x:v>
      </x:c>
      <x:c r="E53" s="21" t="str">
        <x:v>2026-06-16</x:v>
      </x:c>
      <x:c r="F53" s="21" t="str">
        <x:f>IFERROR(INDEX('Resultados'!$G$5:$G$108,MATCH($B53,'Resultados'!$A$5:$A$108,0)),"")</x:f>
        <x:v>França</x:v>
      </x:c>
      <x:c r="G53" s="21" t="str">
        <x:f>IFERROR(INDEX('Resultados'!$J$5:$J$108,MATCH($B53,'Resultados'!$A$5:$A$108,0)),"")</x:f>
        <x:v>Senegal</x:v>
      </x:c>
      <x:c r="H53" s="21" t="str">
        <x:v>Não</x:v>
      </x:c>
      <x:c r="I53" s="22"/>
      <x:c r="J53" s="22"/>
      <x:c r="K53" s="23"/>
      <x:c r="L53" s="21" t="str">
        <x:f>IFERROR(INDEX('Resultados'!$H$5:$H$108,MATCH($B53,'Resultados'!$A$5:$A$108,0)),"")</x:f>
      </x:c>
      <x:c r="M53" s="21" t="str">
        <x:f>IFERROR(INDEX('Resultados'!$I$5:$I$108,MATCH($B53,'Resultados'!$A$5:$A$108,0)),"")</x:f>
      </x:c>
      <x:c r="N53" s="21" t="str">
        <x:f>IFERROR(INDEX('Resultados'!$L$5:$L$108,MATCH($B53,'Resultados'!$A$5:$A$108,0)),"")</x:f>
      </x:c>
      <x:c r="O53" s="59" t="str">
        <x:f>IF(OR($I53="",$J53="",$L53="",$M53=""),"",IF(AND($H53="Sim",$L53=$M53),IF($I53&lt;&gt;$J53,0,IF(AND($I53=$L53,$J53=$M53),2,1)),IF(AND($I53=$L53,$J53=$M53),3,IF(AND($I53&lt;&gt;$J53,$I53=$M53,$J53=$L53),-2,IF(SIGN($I53-$J53)=SIGN($L53-$M53),1,0)))))</x:f>
      </x:c>
      <x:c r="P53" s="59" t="str">
        <x:f>IF(OR($H53&lt;&gt;"Sim",$I53="",$J53="",$L53="",$M53=""),"",IF(AND(IF($I53&gt;$J53,$F53,IF($I53&lt;$J53,$G53,$K53))&lt;&gt;"",IF($L53&gt;$M53,$F53,IF($L53&lt;$M53,$G53,$N53))&lt;&gt;"",IF($I53&gt;$J53,$F53,IF($I53&lt;$J53,$G53,$K53))=IF($L53&gt;$M53,$F53,IF($L53&lt;$M53,$G53,$N53))),1,0))</x:f>
      </x:c>
      <x:c r="Q53" s="59" t="str">
        <x:f>IF($O53="","",$O53+$P53)</x:f>
      </x:c>
      <x:c r="R53" s="59" t="str">
        <x:f>IF($Q53="","",IF($O53=3,"Cravada",IF(AND($H53="Sim",$L53=$M53,$I53=$J53,$O53=2),"Empate cravado",IF($O53=1,"Resultado certo",IF($O53=-2,"Invertida",IF($P53=1,"Acertou quem passa","Erro"))))))</x:f>
      </x:c>
      <x:c r="S53" s="59" t="str">
        <x:f>IF($O53="","",--(OR($O53=3,AND($H53="Sim",$L53=$M53,$I53=$J53,$O53=2))))</x:f>
      </x:c>
      <x:c r="T53" s="59" t="str">
        <x:f>IF($O53="","",--($O53=-2))</x:f>
      </x:c>
      <x:c r="U53" s="59" t="str">
        <x:f>IF($O53="","",--($O53=1))</x:f>
      </x:c>
      <x:c r="V53" s="59" t="n">
        <x:f>--(AND($I53&lt;&gt;"",$J53&lt;&gt;""))</x:f>
        <x:v>0</x:v>
      </x:c>
    </x:row>
    <x:row r="54">
      <x:c r="A54" s="21" t="str">
        <x:f>INDEX(Config!$B$10:$B$16,INT((ROW()-5)/104)+1)</x:f>
        <x:v>Leo B.</x:v>
      </x:c>
      <x:c r="B54" s="21" t="str">
        <x:v>GI2</x:v>
      </x:c>
      <x:c r="C54" s="21" t="n">
        <x:v>50</x:v>
      </x:c>
      <x:c r="D54" s="21" t="str">
        <x:v>Grupo I</x:v>
      </x:c>
      <x:c r="E54" s="21" t="str">
        <x:v>2026-06-16</x:v>
      </x:c>
      <x:c r="F54" s="21" t="str">
        <x:f>IFERROR(INDEX('Resultados'!$G$5:$G$108,MATCH($B54,'Resultados'!$A$5:$A$108,0)),"")</x:f>
        <x:v>Iraque</x:v>
      </x:c>
      <x:c r="G54" s="21" t="str">
        <x:f>IFERROR(INDEX('Resultados'!$J$5:$J$108,MATCH($B54,'Resultados'!$A$5:$A$108,0)),"")</x:f>
        <x:v>Noruega</x:v>
      </x:c>
      <x:c r="H54" s="21" t="str">
        <x:v>Não</x:v>
      </x:c>
      <x:c r="I54" s="22"/>
      <x:c r="J54" s="22"/>
      <x:c r="K54" s="23"/>
      <x:c r="L54" s="21" t="str">
        <x:f>IFERROR(INDEX('Resultados'!$H$5:$H$108,MATCH($B54,'Resultados'!$A$5:$A$108,0)),"")</x:f>
      </x:c>
      <x:c r="M54" s="21" t="str">
        <x:f>IFERROR(INDEX('Resultados'!$I$5:$I$108,MATCH($B54,'Resultados'!$A$5:$A$108,0)),"")</x:f>
      </x:c>
      <x:c r="N54" s="21" t="str">
        <x:f>IFERROR(INDEX('Resultados'!$L$5:$L$108,MATCH($B54,'Resultados'!$A$5:$A$108,0)),"")</x:f>
      </x:c>
      <x:c r="O54" s="59" t="str">
        <x:f>IF(OR($I54="",$J54="",$L54="",$M54=""),"",IF(AND($H54="Sim",$L54=$M54),IF($I54&lt;&gt;$J54,0,IF(AND($I54=$L54,$J54=$M54),2,1)),IF(AND($I54=$L54,$J54=$M54),3,IF(AND($I54&lt;&gt;$J54,$I54=$M54,$J54=$L54),-2,IF(SIGN($I54-$J54)=SIGN($L54-$M54),1,0)))))</x:f>
      </x:c>
      <x:c r="P54" s="59" t="str">
        <x:f>IF(OR($H54&lt;&gt;"Sim",$I54="",$J54="",$L54="",$M54=""),"",IF(AND(IF($I54&gt;$J54,$F54,IF($I54&lt;$J54,$G54,$K54))&lt;&gt;"",IF($L54&gt;$M54,$F54,IF($L54&lt;$M54,$G54,$N54))&lt;&gt;"",IF($I54&gt;$J54,$F54,IF($I54&lt;$J54,$G54,$K54))=IF($L54&gt;$M54,$F54,IF($L54&lt;$M54,$G54,$N54))),1,0))</x:f>
      </x:c>
      <x:c r="Q54" s="59" t="str">
        <x:f>IF($O54="","",$O54+$P54)</x:f>
      </x:c>
      <x:c r="R54" s="59" t="str">
        <x:f>IF($Q54="","",IF($O54=3,"Cravada",IF(AND($H54="Sim",$L54=$M54,$I54=$J54,$O54=2),"Empate cravado",IF($O54=1,"Resultado certo",IF($O54=-2,"Invertida",IF($P54=1,"Acertou quem passa","Erro"))))))</x:f>
      </x:c>
      <x:c r="S54" s="59" t="str">
        <x:f>IF($O54="","",--(OR($O54=3,AND($H54="Sim",$L54=$M54,$I54=$J54,$O54=2))))</x:f>
      </x:c>
      <x:c r="T54" s="59" t="str">
        <x:f>IF($O54="","",--($O54=-2))</x:f>
      </x:c>
      <x:c r="U54" s="59" t="str">
        <x:f>IF($O54="","",--($O54=1))</x:f>
      </x:c>
      <x:c r="V54" s="59" t="n">
        <x:f>--(AND($I54&lt;&gt;"",$J54&lt;&gt;""))</x:f>
        <x:v>0</x:v>
      </x:c>
    </x:row>
    <x:row r="55">
      <x:c r="A55" s="21" t="str">
        <x:f>INDEX(Config!$B$10:$B$16,INT((ROW()-5)/104)+1)</x:f>
        <x:v>Leo B.</x:v>
      </x:c>
      <x:c r="B55" s="21" t="str">
        <x:v>GI3</x:v>
      </x:c>
      <x:c r="C55" s="21" t="n">
        <x:v>51</x:v>
      </x:c>
      <x:c r="D55" s="21" t="str">
        <x:v>Grupo I</x:v>
      </x:c>
      <x:c r="E55" s="21" t="str">
        <x:v>2026-06-22</x:v>
      </x:c>
      <x:c r="F55" s="21" t="str">
        <x:f>IFERROR(INDEX('Resultados'!$G$5:$G$108,MATCH($B55,'Resultados'!$A$5:$A$108,0)),"")</x:f>
        <x:v>França</x:v>
      </x:c>
      <x:c r="G55" s="21" t="str">
        <x:f>IFERROR(INDEX('Resultados'!$J$5:$J$108,MATCH($B55,'Resultados'!$A$5:$A$108,0)),"")</x:f>
        <x:v>Iraque</x:v>
      </x:c>
      <x:c r="H55" s="21" t="str">
        <x:v>Não</x:v>
      </x:c>
      <x:c r="I55" s="22"/>
      <x:c r="J55" s="22"/>
      <x:c r="K55" s="23"/>
      <x:c r="L55" s="21" t="str">
        <x:f>IFERROR(INDEX('Resultados'!$H$5:$H$108,MATCH($B55,'Resultados'!$A$5:$A$108,0)),"")</x:f>
      </x:c>
      <x:c r="M55" s="21" t="str">
        <x:f>IFERROR(INDEX('Resultados'!$I$5:$I$108,MATCH($B55,'Resultados'!$A$5:$A$108,0)),"")</x:f>
      </x:c>
      <x:c r="N55" s="21" t="str">
        <x:f>IFERROR(INDEX('Resultados'!$L$5:$L$108,MATCH($B55,'Resultados'!$A$5:$A$108,0)),"")</x:f>
      </x:c>
      <x:c r="O55" s="59" t="str">
        <x:f>IF(OR($I55="",$J55="",$L55="",$M55=""),"",IF(AND($H55="Sim",$L55=$M55),IF($I55&lt;&gt;$J55,0,IF(AND($I55=$L55,$J55=$M55),2,1)),IF(AND($I55=$L55,$J55=$M55),3,IF(AND($I55&lt;&gt;$J55,$I55=$M55,$J55=$L55),-2,IF(SIGN($I55-$J55)=SIGN($L55-$M55),1,0)))))</x:f>
      </x:c>
      <x:c r="P55" s="59" t="str">
        <x:f>IF(OR($H55&lt;&gt;"Sim",$I55="",$J55="",$L55="",$M55=""),"",IF(AND(IF($I55&gt;$J55,$F55,IF($I55&lt;$J55,$G55,$K55))&lt;&gt;"",IF($L55&gt;$M55,$F55,IF($L55&lt;$M55,$G55,$N55))&lt;&gt;"",IF($I55&gt;$J55,$F55,IF($I55&lt;$J55,$G55,$K55))=IF($L55&gt;$M55,$F55,IF($L55&lt;$M55,$G55,$N55))),1,0))</x:f>
      </x:c>
      <x:c r="Q55" s="59" t="str">
        <x:f>IF($O55="","",$O55+$P55)</x:f>
      </x:c>
      <x:c r="R55" s="59" t="str">
        <x:f>IF($Q55="","",IF($O55=3,"Cravada",IF(AND($H55="Sim",$L55=$M55,$I55=$J55,$O55=2),"Empate cravado",IF($O55=1,"Resultado certo",IF($O55=-2,"Invertida",IF($P55=1,"Acertou quem passa","Erro"))))))</x:f>
      </x:c>
      <x:c r="S55" s="59" t="str">
        <x:f>IF($O55="","",--(OR($O55=3,AND($H55="Sim",$L55=$M55,$I55=$J55,$O55=2))))</x:f>
      </x:c>
      <x:c r="T55" s="59" t="str">
        <x:f>IF($O55="","",--($O55=-2))</x:f>
      </x:c>
      <x:c r="U55" s="59" t="str">
        <x:f>IF($O55="","",--($O55=1))</x:f>
      </x:c>
      <x:c r="V55" s="59" t="n">
        <x:f>--(AND($I55&lt;&gt;"",$J55&lt;&gt;""))</x:f>
        <x:v>0</x:v>
      </x:c>
    </x:row>
    <x:row r="56">
      <x:c r="A56" s="21" t="str">
        <x:f>INDEX(Config!$B$10:$B$16,INT((ROW()-5)/104)+1)</x:f>
        <x:v>Leo B.</x:v>
      </x:c>
      <x:c r="B56" s="21" t="str">
        <x:v>GI4</x:v>
      </x:c>
      <x:c r="C56" s="21" t="n">
        <x:v>52</x:v>
      </x:c>
      <x:c r="D56" s="21" t="str">
        <x:v>Grupo I</x:v>
      </x:c>
      <x:c r="E56" s="21" t="str">
        <x:v>2026-06-22</x:v>
      </x:c>
      <x:c r="F56" s="21" t="str">
        <x:f>IFERROR(INDEX('Resultados'!$G$5:$G$108,MATCH($B56,'Resultados'!$A$5:$A$108,0)),"")</x:f>
        <x:v>Senegal</x:v>
      </x:c>
      <x:c r="G56" s="21" t="str">
        <x:f>IFERROR(INDEX('Resultados'!$J$5:$J$108,MATCH($B56,'Resultados'!$A$5:$A$108,0)),"")</x:f>
        <x:v>Noruega</x:v>
      </x:c>
      <x:c r="H56" s="21" t="str">
        <x:v>Não</x:v>
      </x:c>
      <x:c r="I56" s="22"/>
      <x:c r="J56" s="22"/>
      <x:c r="K56" s="23"/>
      <x:c r="L56" s="21" t="str">
        <x:f>IFERROR(INDEX('Resultados'!$H$5:$H$108,MATCH($B56,'Resultados'!$A$5:$A$108,0)),"")</x:f>
      </x:c>
      <x:c r="M56" s="21" t="str">
        <x:f>IFERROR(INDEX('Resultados'!$I$5:$I$108,MATCH($B56,'Resultados'!$A$5:$A$108,0)),"")</x:f>
      </x:c>
      <x:c r="N56" s="21" t="str">
        <x:f>IFERROR(INDEX('Resultados'!$L$5:$L$108,MATCH($B56,'Resultados'!$A$5:$A$108,0)),"")</x:f>
      </x:c>
      <x:c r="O56" s="59" t="str">
        <x:f>IF(OR($I56="",$J56="",$L56="",$M56=""),"",IF(AND($H56="Sim",$L56=$M56),IF($I56&lt;&gt;$J56,0,IF(AND($I56=$L56,$J56=$M56),2,1)),IF(AND($I56=$L56,$J56=$M56),3,IF(AND($I56&lt;&gt;$J56,$I56=$M56,$J56=$L56),-2,IF(SIGN($I56-$J56)=SIGN($L56-$M56),1,0)))))</x:f>
      </x:c>
      <x:c r="P56" s="59" t="str">
        <x:f>IF(OR($H56&lt;&gt;"Sim",$I56="",$J56="",$L56="",$M56=""),"",IF(AND(IF($I56&gt;$J56,$F56,IF($I56&lt;$J56,$G56,$K56))&lt;&gt;"",IF($L56&gt;$M56,$F56,IF($L56&lt;$M56,$G56,$N56))&lt;&gt;"",IF($I56&gt;$J56,$F56,IF($I56&lt;$J56,$G56,$K56))=IF($L56&gt;$M56,$F56,IF($L56&lt;$M56,$G56,$N56))),1,0))</x:f>
      </x:c>
      <x:c r="Q56" s="59" t="str">
        <x:f>IF($O56="","",$O56+$P56)</x:f>
      </x:c>
      <x:c r="R56" s="59" t="str">
        <x:f>IF($Q56="","",IF($O56=3,"Cravada",IF(AND($H56="Sim",$L56=$M56,$I56=$J56,$O56=2),"Empate cravado",IF($O56=1,"Resultado certo",IF($O56=-2,"Invertida",IF($P56=1,"Acertou quem passa","Erro"))))))</x:f>
      </x:c>
      <x:c r="S56" s="59" t="str">
        <x:f>IF($O56="","",--(OR($O56=3,AND($H56="Sim",$L56=$M56,$I56=$J56,$O56=2))))</x:f>
      </x:c>
      <x:c r="T56" s="59" t="str">
        <x:f>IF($O56="","",--($O56=-2))</x:f>
      </x:c>
      <x:c r="U56" s="59" t="str">
        <x:f>IF($O56="","",--($O56=1))</x:f>
      </x:c>
      <x:c r="V56" s="59" t="n">
        <x:f>--(AND($I56&lt;&gt;"",$J56&lt;&gt;""))</x:f>
        <x:v>0</x:v>
      </x:c>
    </x:row>
    <x:row r="57">
      <x:c r="A57" s="21" t="str">
        <x:f>INDEX(Config!$B$10:$B$16,INT((ROW()-5)/104)+1)</x:f>
        <x:v>Leo B.</x:v>
      </x:c>
      <x:c r="B57" s="21" t="str">
        <x:v>GI5</x:v>
      </x:c>
      <x:c r="C57" s="21" t="n">
        <x:v>53</x:v>
      </x:c>
      <x:c r="D57" s="21" t="str">
        <x:v>Grupo I</x:v>
      </x:c>
      <x:c r="E57" s="21" t="str">
        <x:v>2026-06-26</x:v>
      </x:c>
      <x:c r="F57" s="21" t="str">
        <x:f>IFERROR(INDEX('Resultados'!$G$5:$G$108,MATCH($B57,'Resultados'!$A$5:$A$108,0)),"")</x:f>
        <x:v>França</x:v>
      </x:c>
      <x:c r="G57" s="21" t="str">
        <x:f>IFERROR(INDEX('Resultados'!$J$5:$J$108,MATCH($B57,'Resultados'!$A$5:$A$108,0)),"")</x:f>
        <x:v>Noruega</x:v>
      </x:c>
      <x:c r="H57" s="21" t="str">
        <x:v>Não</x:v>
      </x:c>
      <x:c r="I57" s="22"/>
      <x:c r="J57" s="22"/>
      <x:c r="K57" s="23"/>
      <x:c r="L57" s="21" t="str">
        <x:f>IFERROR(INDEX('Resultados'!$H$5:$H$108,MATCH($B57,'Resultados'!$A$5:$A$108,0)),"")</x:f>
      </x:c>
      <x:c r="M57" s="21" t="str">
        <x:f>IFERROR(INDEX('Resultados'!$I$5:$I$108,MATCH($B57,'Resultados'!$A$5:$A$108,0)),"")</x:f>
      </x:c>
      <x:c r="N57" s="21" t="str">
        <x:f>IFERROR(INDEX('Resultados'!$L$5:$L$108,MATCH($B57,'Resultados'!$A$5:$A$108,0)),"")</x:f>
      </x:c>
      <x:c r="O57" s="59" t="str">
        <x:f>IF(OR($I57="",$J57="",$L57="",$M57=""),"",IF(AND($H57="Sim",$L57=$M57),IF($I57&lt;&gt;$J57,0,IF(AND($I57=$L57,$J57=$M57),2,1)),IF(AND($I57=$L57,$J57=$M57),3,IF(AND($I57&lt;&gt;$J57,$I57=$M57,$J57=$L57),-2,IF(SIGN($I57-$J57)=SIGN($L57-$M57),1,0)))))</x:f>
      </x:c>
      <x:c r="P57" s="59" t="str">
        <x:f>IF(OR($H57&lt;&gt;"Sim",$I57="",$J57="",$L57="",$M57=""),"",IF(AND(IF($I57&gt;$J57,$F57,IF($I57&lt;$J57,$G57,$K57))&lt;&gt;"",IF($L57&gt;$M57,$F57,IF($L57&lt;$M57,$G57,$N57))&lt;&gt;"",IF($I57&gt;$J57,$F57,IF($I57&lt;$J57,$G57,$K57))=IF($L57&gt;$M57,$F57,IF($L57&lt;$M57,$G57,$N57))),1,0))</x:f>
      </x:c>
      <x:c r="Q57" s="59" t="str">
        <x:f>IF($O57="","",$O57+$P57)</x:f>
      </x:c>
      <x:c r="R57" s="59" t="str">
        <x:f>IF($Q57="","",IF($O57=3,"Cravada",IF(AND($H57="Sim",$L57=$M57,$I57=$J57,$O57=2),"Empate cravado",IF($O57=1,"Resultado certo",IF($O57=-2,"Invertida",IF($P57=1,"Acertou quem passa","Erro"))))))</x:f>
      </x:c>
      <x:c r="S57" s="59" t="str">
        <x:f>IF($O57="","",--(OR($O57=3,AND($H57="Sim",$L57=$M57,$I57=$J57,$O57=2))))</x:f>
      </x:c>
      <x:c r="T57" s="59" t="str">
        <x:f>IF($O57="","",--($O57=-2))</x:f>
      </x:c>
      <x:c r="U57" s="59" t="str">
        <x:f>IF($O57="","",--($O57=1))</x:f>
      </x:c>
      <x:c r="V57" s="59" t="n">
        <x:f>--(AND($I57&lt;&gt;"",$J57&lt;&gt;""))</x:f>
        <x:v>0</x:v>
      </x:c>
    </x:row>
    <x:row r="58">
      <x:c r="A58" s="21" t="str">
        <x:f>INDEX(Config!$B$10:$B$16,INT((ROW()-5)/104)+1)</x:f>
        <x:v>Leo B.</x:v>
      </x:c>
      <x:c r="B58" s="21" t="str">
        <x:v>GI6</x:v>
      </x:c>
      <x:c r="C58" s="21" t="n">
        <x:v>54</x:v>
      </x:c>
      <x:c r="D58" s="21" t="str">
        <x:v>Grupo I</x:v>
      </x:c>
      <x:c r="E58" s="21" t="str">
        <x:v>2026-06-26</x:v>
      </x:c>
      <x:c r="F58" s="21" t="str">
        <x:f>IFERROR(INDEX('Resultados'!$G$5:$G$108,MATCH($B58,'Resultados'!$A$5:$A$108,0)),"")</x:f>
        <x:v>Senegal</x:v>
      </x:c>
      <x:c r="G58" s="21" t="str">
        <x:f>IFERROR(INDEX('Resultados'!$J$5:$J$108,MATCH($B58,'Resultados'!$A$5:$A$108,0)),"")</x:f>
        <x:v>Iraque</x:v>
      </x:c>
      <x:c r="H58" s="21" t="str">
        <x:v>Não</x:v>
      </x:c>
      <x:c r="I58" s="22"/>
      <x:c r="J58" s="22"/>
      <x:c r="K58" s="23"/>
      <x:c r="L58" s="21" t="str">
        <x:f>IFERROR(INDEX('Resultados'!$H$5:$H$108,MATCH($B58,'Resultados'!$A$5:$A$108,0)),"")</x:f>
      </x:c>
      <x:c r="M58" s="21" t="str">
        <x:f>IFERROR(INDEX('Resultados'!$I$5:$I$108,MATCH($B58,'Resultados'!$A$5:$A$108,0)),"")</x:f>
      </x:c>
      <x:c r="N58" s="21" t="str">
        <x:f>IFERROR(INDEX('Resultados'!$L$5:$L$108,MATCH($B58,'Resultados'!$A$5:$A$108,0)),"")</x:f>
      </x:c>
      <x:c r="O58" s="59" t="str">
        <x:f>IF(OR($I58="",$J58="",$L58="",$M58=""),"",IF(AND($H58="Sim",$L58=$M58),IF($I58&lt;&gt;$J58,0,IF(AND($I58=$L58,$J58=$M58),2,1)),IF(AND($I58=$L58,$J58=$M58),3,IF(AND($I58&lt;&gt;$J58,$I58=$M58,$J58=$L58),-2,IF(SIGN($I58-$J58)=SIGN($L58-$M58),1,0)))))</x:f>
      </x:c>
      <x:c r="P58" s="59" t="str">
        <x:f>IF(OR($H58&lt;&gt;"Sim",$I58="",$J58="",$L58="",$M58=""),"",IF(AND(IF($I58&gt;$J58,$F58,IF($I58&lt;$J58,$G58,$K58))&lt;&gt;"",IF($L58&gt;$M58,$F58,IF($L58&lt;$M58,$G58,$N58))&lt;&gt;"",IF($I58&gt;$J58,$F58,IF($I58&lt;$J58,$G58,$K58))=IF($L58&gt;$M58,$F58,IF($L58&lt;$M58,$G58,$N58))),1,0))</x:f>
      </x:c>
      <x:c r="Q58" s="59" t="str">
        <x:f>IF($O58="","",$O58+$P58)</x:f>
      </x:c>
      <x:c r="R58" s="59" t="str">
        <x:f>IF($Q58="","",IF($O58=3,"Cravada",IF(AND($H58="Sim",$L58=$M58,$I58=$J58,$O58=2),"Empate cravado",IF($O58=1,"Resultado certo",IF($O58=-2,"Invertida",IF($P58=1,"Acertou quem passa","Erro"))))))</x:f>
      </x:c>
      <x:c r="S58" s="59" t="str">
        <x:f>IF($O58="","",--(OR($O58=3,AND($H58="Sim",$L58=$M58,$I58=$J58,$O58=2))))</x:f>
      </x:c>
      <x:c r="T58" s="59" t="str">
        <x:f>IF($O58="","",--($O58=-2))</x:f>
      </x:c>
      <x:c r="U58" s="59" t="str">
        <x:f>IF($O58="","",--($O58=1))</x:f>
      </x:c>
      <x:c r="V58" s="59" t="n">
        <x:f>--(AND($I58&lt;&gt;"",$J58&lt;&gt;""))</x:f>
        <x:v>0</x:v>
      </x:c>
    </x:row>
    <x:row r="59">
      <x:c r="A59" s="21" t="str">
        <x:f>INDEX(Config!$B$10:$B$16,INT((ROW()-5)/104)+1)</x:f>
        <x:v>Leo B.</x:v>
      </x:c>
      <x:c r="B59" s="21" t="str">
        <x:v>GJ1</x:v>
      </x:c>
      <x:c r="C59" s="21" t="n">
        <x:v>55</x:v>
      </x:c>
      <x:c r="D59" s="21" t="str">
        <x:v>Grupo J</x:v>
      </x:c>
      <x:c r="E59" s="21" t="str">
        <x:v>2026-06-16</x:v>
      </x:c>
      <x:c r="F59" s="21" t="str">
        <x:f>IFERROR(INDEX('Resultados'!$G$5:$G$108,MATCH($B59,'Resultados'!$A$5:$A$108,0)),"")</x:f>
        <x:v>Argentina</x:v>
      </x:c>
      <x:c r="G59" s="21" t="str">
        <x:f>IFERROR(INDEX('Resultados'!$J$5:$J$108,MATCH($B59,'Resultados'!$A$5:$A$108,0)),"")</x:f>
        <x:v>Argélia</x:v>
      </x:c>
      <x:c r="H59" s="21" t="str">
        <x:v>Não</x:v>
      </x:c>
      <x:c r="I59" s="22"/>
      <x:c r="J59" s="22"/>
      <x:c r="K59" s="23"/>
      <x:c r="L59" s="21" t="str">
        <x:f>IFERROR(INDEX('Resultados'!$H$5:$H$108,MATCH($B59,'Resultados'!$A$5:$A$108,0)),"")</x:f>
      </x:c>
      <x:c r="M59" s="21" t="str">
        <x:f>IFERROR(INDEX('Resultados'!$I$5:$I$108,MATCH($B59,'Resultados'!$A$5:$A$108,0)),"")</x:f>
      </x:c>
      <x:c r="N59" s="21" t="str">
        <x:f>IFERROR(INDEX('Resultados'!$L$5:$L$108,MATCH($B59,'Resultados'!$A$5:$A$108,0)),"")</x:f>
      </x:c>
      <x:c r="O59" s="59" t="str">
        <x:f>IF(OR($I59="",$J59="",$L59="",$M59=""),"",IF(AND($H59="Sim",$L59=$M59),IF($I59&lt;&gt;$J59,0,IF(AND($I59=$L59,$J59=$M59),2,1)),IF(AND($I59=$L59,$J59=$M59),3,IF(AND($I59&lt;&gt;$J59,$I59=$M59,$J59=$L59),-2,IF(SIGN($I59-$J59)=SIGN($L59-$M59),1,0)))))</x:f>
      </x:c>
      <x:c r="P59" s="59" t="str">
        <x:f>IF(OR($H59&lt;&gt;"Sim",$I59="",$J59="",$L59="",$M59=""),"",IF(AND(IF($I59&gt;$J59,$F59,IF($I59&lt;$J59,$G59,$K59))&lt;&gt;"",IF($L59&gt;$M59,$F59,IF($L59&lt;$M59,$G59,$N59))&lt;&gt;"",IF($I59&gt;$J59,$F59,IF($I59&lt;$J59,$G59,$K59))=IF($L59&gt;$M59,$F59,IF($L59&lt;$M59,$G59,$N59))),1,0))</x:f>
      </x:c>
      <x:c r="Q59" s="59" t="str">
        <x:f>IF($O59="","",$O59+$P59)</x:f>
      </x:c>
      <x:c r="R59" s="59" t="str">
        <x:f>IF($Q59="","",IF($O59=3,"Cravada",IF(AND($H59="Sim",$L59=$M59,$I59=$J59,$O59=2),"Empate cravado",IF($O59=1,"Resultado certo",IF($O59=-2,"Invertida",IF($P59=1,"Acertou quem passa","Erro"))))))</x:f>
      </x:c>
      <x:c r="S59" s="59" t="str">
        <x:f>IF($O59="","",--(OR($O59=3,AND($H59="Sim",$L59=$M59,$I59=$J59,$O59=2))))</x:f>
      </x:c>
      <x:c r="T59" s="59" t="str">
        <x:f>IF($O59="","",--($O59=-2))</x:f>
      </x:c>
      <x:c r="U59" s="59" t="str">
        <x:f>IF($O59="","",--($O59=1))</x:f>
      </x:c>
      <x:c r="V59" s="59" t="n">
        <x:f>--(AND($I59&lt;&gt;"",$J59&lt;&gt;""))</x:f>
        <x:v>0</x:v>
      </x:c>
    </x:row>
    <x:row r="60">
      <x:c r="A60" s="21" t="str">
        <x:f>INDEX(Config!$B$10:$B$16,INT((ROW()-5)/104)+1)</x:f>
        <x:v>Leo B.</x:v>
      </x:c>
      <x:c r="B60" s="21" t="str">
        <x:v>GJ2</x:v>
      </x:c>
      <x:c r="C60" s="21" t="n">
        <x:v>56</x:v>
      </x:c>
      <x:c r="D60" s="21" t="str">
        <x:v>Grupo J</x:v>
      </x:c>
      <x:c r="E60" s="21" t="str">
        <x:v>2026-06-17</x:v>
      </x:c>
      <x:c r="F60" s="21" t="str">
        <x:f>IFERROR(INDEX('Resultados'!$G$5:$G$108,MATCH($B60,'Resultados'!$A$5:$A$108,0)),"")</x:f>
        <x:v>Áustria</x:v>
      </x:c>
      <x:c r="G60" s="21" t="str">
        <x:f>IFERROR(INDEX('Resultados'!$J$5:$J$108,MATCH($B60,'Resultados'!$A$5:$A$108,0)),"")</x:f>
        <x:v>Jordânia</x:v>
      </x:c>
      <x:c r="H60" s="21" t="str">
        <x:v>Não</x:v>
      </x:c>
      <x:c r="I60" s="22"/>
      <x:c r="J60" s="22"/>
      <x:c r="K60" s="23"/>
      <x:c r="L60" s="21" t="str">
        <x:f>IFERROR(INDEX('Resultados'!$H$5:$H$108,MATCH($B60,'Resultados'!$A$5:$A$108,0)),"")</x:f>
      </x:c>
      <x:c r="M60" s="21" t="str">
        <x:f>IFERROR(INDEX('Resultados'!$I$5:$I$108,MATCH($B60,'Resultados'!$A$5:$A$108,0)),"")</x:f>
      </x:c>
      <x:c r="N60" s="21" t="str">
        <x:f>IFERROR(INDEX('Resultados'!$L$5:$L$108,MATCH($B60,'Resultados'!$A$5:$A$108,0)),"")</x:f>
      </x:c>
      <x:c r="O60" s="59" t="str">
        <x:f>IF(OR($I60="",$J60="",$L60="",$M60=""),"",IF(AND($H60="Sim",$L60=$M60),IF($I60&lt;&gt;$J60,0,IF(AND($I60=$L60,$J60=$M60),2,1)),IF(AND($I60=$L60,$J60=$M60),3,IF(AND($I60&lt;&gt;$J60,$I60=$M60,$J60=$L60),-2,IF(SIGN($I60-$J60)=SIGN($L60-$M60),1,0)))))</x:f>
      </x:c>
      <x:c r="P60" s="59" t="str">
        <x:f>IF(OR($H60&lt;&gt;"Sim",$I60="",$J60="",$L60="",$M60=""),"",IF(AND(IF($I60&gt;$J60,$F60,IF($I60&lt;$J60,$G60,$K60))&lt;&gt;"",IF($L60&gt;$M60,$F60,IF($L60&lt;$M60,$G60,$N60))&lt;&gt;"",IF($I60&gt;$J60,$F60,IF($I60&lt;$J60,$G60,$K60))=IF($L60&gt;$M60,$F60,IF($L60&lt;$M60,$G60,$N60))),1,0))</x:f>
      </x:c>
      <x:c r="Q60" s="59" t="str">
        <x:f>IF($O60="","",$O60+$P60)</x:f>
      </x:c>
      <x:c r="R60" s="59" t="str">
        <x:f>IF($Q60="","",IF($O60=3,"Cravada",IF(AND($H60="Sim",$L60=$M60,$I60=$J60,$O60=2),"Empate cravado",IF($O60=1,"Resultado certo",IF($O60=-2,"Invertida",IF($P60=1,"Acertou quem passa","Erro"))))))</x:f>
      </x:c>
      <x:c r="S60" s="59" t="str">
        <x:f>IF($O60="","",--(OR($O60=3,AND($H60="Sim",$L60=$M60,$I60=$J60,$O60=2))))</x:f>
      </x:c>
      <x:c r="T60" s="59" t="str">
        <x:f>IF($O60="","",--($O60=-2))</x:f>
      </x:c>
      <x:c r="U60" s="59" t="str">
        <x:f>IF($O60="","",--($O60=1))</x:f>
      </x:c>
      <x:c r="V60" s="59" t="n">
        <x:f>--(AND($I60&lt;&gt;"",$J60&lt;&gt;""))</x:f>
        <x:v>0</x:v>
      </x:c>
    </x:row>
    <x:row r="61">
      <x:c r="A61" s="21" t="str">
        <x:f>INDEX(Config!$B$10:$B$16,INT((ROW()-5)/104)+1)</x:f>
        <x:v>Leo B.</x:v>
      </x:c>
      <x:c r="B61" s="21" t="str">
        <x:v>GJ3</x:v>
      </x:c>
      <x:c r="C61" s="21" t="n">
        <x:v>57</x:v>
      </x:c>
      <x:c r="D61" s="21" t="str">
        <x:v>Grupo J</x:v>
      </x:c>
      <x:c r="E61" s="21" t="str">
        <x:v>2026-06-22</x:v>
      </x:c>
      <x:c r="F61" s="21" t="str">
        <x:f>IFERROR(INDEX('Resultados'!$G$5:$G$108,MATCH($B61,'Resultados'!$A$5:$A$108,0)),"")</x:f>
        <x:v>Argentina</x:v>
      </x:c>
      <x:c r="G61" s="21" t="str">
        <x:f>IFERROR(INDEX('Resultados'!$J$5:$J$108,MATCH($B61,'Resultados'!$A$5:$A$108,0)),"")</x:f>
        <x:v>Áustria</x:v>
      </x:c>
      <x:c r="H61" s="21" t="str">
        <x:v>Não</x:v>
      </x:c>
      <x:c r="I61" s="22"/>
      <x:c r="J61" s="22"/>
      <x:c r="K61" s="23"/>
      <x:c r="L61" s="21" t="str">
        <x:f>IFERROR(INDEX('Resultados'!$H$5:$H$108,MATCH($B61,'Resultados'!$A$5:$A$108,0)),"")</x:f>
      </x:c>
      <x:c r="M61" s="21" t="str">
        <x:f>IFERROR(INDEX('Resultados'!$I$5:$I$108,MATCH($B61,'Resultados'!$A$5:$A$108,0)),"")</x:f>
      </x:c>
      <x:c r="N61" s="21" t="str">
        <x:f>IFERROR(INDEX('Resultados'!$L$5:$L$108,MATCH($B61,'Resultados'!$A$5:$A$108,0)),"")</x:f>
      </x:c>
      <x:c r="O61" s="59" t="str">
        <x:f>IF(OR($I61="",$J61="",$L61="",$M61=""),"",IF(AND($H61="Sim",$L61=$M61),IF($I61&lt;&gt;$J61,0,IF(AND($I61=$L61,$J61=$M61),2,1)),IF(AND($I61=$L61,$J61=$M61),3,IF(AND($I61&lt;&gt;$J61,$I61=$M61,$J61=$L61),-2,IF(SIGN($I61-$J61)=SIGN($L61-$M61),1,0)))))</x:f>
      </x:c>
      <x:c r="P61" s="59" t="str">
        <x:f>IF(OR($H61&lt;&gt;"Sim",$I61="",$J61="",$L61="",$M61=""),"",IF(AND(IF($I61&gt;$J61,$F61,IF($I61&lt;$J61,$G61,$K61))&lt;&gt;"",IF($L61&gt;$M61,$F61,IF($L61&lt;$M61,$G61,$N61))&lt;&gt;"",IF($I61&gt;$J61,$F61,IF($I61&lt;$J61,$G61,$K61))=IF($L61&gt;$M61,$F61,IF($L61&lt;$M61,$G61,$N61))),1,0))</x:f>
      </x:c>
      <x:c r="Q61" s="59" t="str">
        <x:f>IF($O61="","",$O61+$P61)</x:f>
      </x:c>
      <x:c r="R61" s="59" t="str">
        <x:f>IF($Q61="","",IF($O61=3,"Cravada",IF(AND($H61="Sim",$L61=$M61,$I61=$J61,$O61=2),"Empate cravado",IF($O61=1,"Resultado certo",IF($O61=-2,"Invertida",IF($P61=1,"Acertou quem passa","Erro"))))))</x:f>
      </x:c>
      <x:c r="S61" s="59" t="str">
        <x:f>IF($O61="","",--(OR($O61=3,AND($H61="Sim",$L61=$M61,$I61=$J61,$O61=2))))</x:f>
      </x:c>
      <x:c r="T61" s="59" t="str">
        <x:f>IF($O61="","",--($O61=-2))</x:f>
      </x:c>
      <x:c r="U61" s="59" t="str">
        <x:f>IF($O61="","",--($O61=1))</x:f>
      </x:c>
      <x:c r="V61" s="59" t="n">
        <x:f>--(AND($I61&lt;&gt;"",$J61&lt;&gt;""))</x:f>
        <x:v>0</x:v>
      </x:c>
    </x:row>
    <x:row r="62">
      <x:c r="A62" s="21" t="str">
        <x:f>INDEX(Config!$B$10:$B$16,INT((ROW()-5)/104)+1)</x:f>
        <x:v>Leo B.</x:v>
      </x:c>
      <x:c r="B62" s="21" t="str">
        <x:v>GJ4</x:v>
      </x:c>
      <x:c r="C62" s="21" t="n">
        <x:v>58</x:v>
      </x:c>
      <x:c r="D62" s="21" t="str">
        <x:v>Grupo J</x:v>
      </x:c>
      <x:c r="E62" s="21" t="str">
        <x:v>2026-06-23</x:v>
      </x:c>
      <x:c r="F62" s="21" t="str">
        <x:f>IFERROR(INDEX('Resultados'!$G$5:$G$108,MATCH($B62,'Resultados'!$A$5:$A$108,0)),"")</x:f>
        <x:v>Argélia</x:v>
      </x:c>
      <x:c r="G62" s="21" t="str">
        <x:f>IFERROR(INDEX('Resultados'!$J$5:$J$108,MATCH($B62,'Resultados'!$A$5:$A$108,0)),"")</x:f>
        <x:v>Jordânia</x:v>
      </x:c>
      <x:c r="H62" s="21" t="str">
        <x:v>Não</x:v>
      </x:c>
      <x:c r="I62" s="22"/>
      <x:c r="J62" s="22"/>
      <x:c r="K62" s="23"/>
      <x:c r="L62" s="21" t="str">
        <x:f>IFERROR(INDEX('Resultados'!$H$5:$H$108,MATCH($B62,'Resultados'!$A$5:$A$108,0)),"")</x:f>
      </x:c>
      <x:c r="M62" s="21" t="str">
        <x:f>IFERROR(INDEX('Resultados'!$I$5:$I$108,MATCH($B62,'Resultados'!$A$5:$A$108,0)),"")</x:f>
      </x:c>
      <x:c r="N62" s="21" t="str">
        <x:f>IFERROR(INDEX('Resultados'!$L$5:$L$108,MATCH($B62,'Resultados'!$A$5:$A$108,0)),"")</x:f>
      </x:c>
      <x:c r="O62" s="59" t="str">
        <x:f>IF(OR($I62="",$J62="",$L62="",$M62=""),"",IF(AND($H62="Sim",$L62=$M62),IF($I62&lt;&gt;$J62,0,IF(AND($I62=$L62,$J62=$M62),2,1)),IF(AND($I62=$L62,$J62=$M62),3,IF(AND($I62&lt;&gt;$J62,$I62=$M62,$J62=$L62),-2,IF(SIGN($I62-$J62)=SIGN($L62-$M62),1,0)))))</x:f>
      </x:c>
      <x:c r="P62" s="59" t="str">
        <x:f>IF(OR($H62&lt;&gt;"Sim",$I62="",$J62="",$L62="",$M62=""),"",IF(AND(IF($I62&gt;$J62,$F62,IF($I62&lt;$J62,$G62,$K62))&lt;&gt;"",IF($L62&gt;$M62,$F62,IF($L62&lt;$M62,$G62,$N62))&lt;&gt;"",IF($I62&gt;$J62,$F62,IF($I62&lt;$J62,$G62,$K62))=IF($L62&gt;$M62,$F62,IF($L62&lt;$M62,$G62,$N62))),1,0))</x:f>
      </x:c>
      <x:c r="Q62" s="59" t="str">
        <x:f>IF($O62="","",$O62+$P62)</x:f>
      </x:c>
      <x:c r="R62" s="59" t="str">
        <x:f>IF($Q62="","",IF($O62=3,"Cravada",IF(AND($H62="Sim",$L62=$M62,$I62=$J62,$O62=2),"Empate cravado",IF($O62=1,"Resultado certo",IF($O62=-2,"Invertida",IF($P62=1,"Acertou quem passa","Erro"))))))</x:f>
      </x:c>
      <x:c r="S62" s="59" t="str">
        <x:f>IF($O62="","",--(OR($O62=3,AND($H62="Sim",$L62=$M62,$I62=$J62,$O62=2))))</x:f>
      </x:c>
      <x:c r="T62" s="59" t="str">
        <x:f>IF($O62="","",--($O62=-2))</x:f>
      </x:c>
      <x:c r="U62" s="59" t="str">
        <x:f>IF($O62="","",--($O62=1))</x:f>
      </x:c>
      <x:c r="V62" s="59" t="n">
        <x:f>--(AND($I62&lt;&gt;"",$J62&lt;&gt;""))</x:f>
        <x:v>0</x:v>
      </x:c>
    </x:row>
    <x:row r="63">
      <x:c r="A63" s="21" t="str">
        <x:f>INDEX(Config!$B$10:$B$16,INT((ROW()-5)/104)+1)</x:f>
        <x:v>Leo B.</x:v>
      </x:c>
      <x:c r="B63" s="21" t="str">
        <x:v>GJ5</x:v>
      </x:c>
      <x:c r="C63" s="21" t="n">
        <x:v>59</x:v>
      </x:c>
      <x:c r="D63" s="21" t="str">
        <x:v>Grupo J</x:v>
      </x:c>
      <x:c r="E63" s="21" t="str">
        <x:v>2026-06-27</x:v>
      </x:c>
      <x:c r="F63" s="21" t="str">
        <x:f>IFERROR(INDEX('Resultados'!$G$5:$G$108,MATCH($B63,'Resultados'!$A$5:$A$108,0)),"")</x:f>
        <x:v>Argentina</x:v>
      </x:c>
      <x:c r="G63" s="21" t="str">
        <x:f>IFERROR(INDEX('Resultados'!$J$5:$J$108,MATCH($B63,'Resultados'!$A$5:$A$108,0)),"")</x:f>
        <x:v>Jordânia</x:v>
      </x:c>
      <x:c r="H63" s="21" t="str">
        <x:v>Não</x:v>
      </x:c>
      <x:c r="I63" s="22"/>
      <x:c r="J63" s="22"/>
      <x:c r="K63" s="23"/>
      <x:c r="L63" s="21" t="str">
        <x:f>IFERROR(INDEX('Resultados'!$H$5:$H$108,MATCH($B63,'Resultados'!$A$5:$A$108,0)),"")</x:f>
      </x:c>
      <x:c r="M63" s="21" t="str">
        <x:f>IFERROR(INDEX('Resultados'!$I$5:$I$108,MATCH($B63,'Resultados'!$A$5:$A$108,0)),"")</x:f>
      </x:c>
      <x:c r="N63" s="21" t="str">
        <x:f>IFERROR(INDEX('Resultados'!$L$5:$L$108,MATCH($B63,'Resultados'!$A$5:$A$108,0)),"")</x:f>
      </x:c>
      <x:c r="O63" s="59" t="str">
        <x:f>IF(OR($I63="",$J63="",$L63="",$M63=""),"",IF(AND($H63="Sim",$L63=$M63),IF($I63&lt;&gt;$J63,0,IF(AND($I63=$L63,$J63=$M63),2,1)),IF(AND($I63=$L63,$J63=$M63),3,IF(AND($I63&lt;&gt;$J63,$I63=$M63,$J63=$L63),-2,IF(SIGN($I63-$J63)=SIGN($L63-$M63),1,0)))))</x:f>
      </x:c>
      <x:c r="P63" s="59" t="str">
        <x:f>IF(OR($H63&lt;&gt;"Sim",$I63="",$J63="",$L63="",$M63=""),"",IF(AND(IF($I63&gt;$J63,$F63,IF($I63&lt;$J63,$G63,$K63))&lt;&gt;"",IF($L63&gt;$M63,$F63,IF($L63&lt;$M63,$G63,$N63))&lt;&gt;"",IF($I63&gt;$J63,$F63,IF($I63&lt;$J63,$G63,$K63))=IF($L63&gt;$M63,$F63,IF($L63&lt;$M63,$G63,$N63))),1,0))</x:f>
      </x:c>
      <x:c r="Q63" s="59" t="str">
        <x:f>IF($O63="","",$O63+$P63)</x:f>
      </x:c>
      <x:c r="R63" s="59" t="str">
        <x:f>IF($Q63="","",IF($O63=3,"Cravada",IF(AND($H63="Sim",$L63=$M63,$I63=$J63,$O63=2),"Empate cravado",IF($O63=1,"Resultado certo",IF($O63=-2,"Invertida",IF($P63=1,"Acertou quem passa","Erro"))))))</x:f>
      </x:c>
      <x:c r="S63" s="59" t="str">
        <x:f>IF($O63="","",--(OR($O63=3,AND($H63="Sim",$L63=$M63,$I63=$J63,$O63=2))))</x:f>
      </x:c>
      <x:c r="T63" s="59" t="str">
        <x:f>IF($O63="","",--($O63=-2))</x:f>
      </x:c>
      <x:c r="U63" s="59" t="str">
        <x:f>IF($O63="","",--($O63=1))</x:f>
      </x:c>
      <x:c r="V63" s="59" t="n">
        <x:f>--(AND($I63&lt;&gt;"",$J63&lt;&gt;""))</x:f>
        <x:v>0</x:v>
      </x:c>
    </x:row>
    <x:row r="64">
      <x:c r="A64" s="21" t="str">
        <x:f>INDEX(Config!$B$10:$B$16,INT((ROW()-5)/104)+1)</x:f>
        <x:v>Leo B.</x:v>
      </x:c>
      <x:c r="B64" s="21" t="str">
        <x:v>GJ6</x:v>
      </x:c>
      <x:c r="C64" s="21" t="n">
        <x:v>60</x:v>
      </x:c>
      <x:c r="D64" s="21" t="str">
        <x:v>Grupo J</x:v>
      </x:c>
      <x:c r="E64" s="21" t="str">
        <x:v>2026-06-27</x:v>
      </x:c>
      <x:c r="F64" s="21" t="str">
        <x:f>IFERROR(INDEX('Resultados'!$G$5:$G$108,MATCH($B64,'Resultados'!$A$5:$A$108,0)),"")</x:f>
        <x:v>Argélia</x:v>
      </x:c>
      <x:c r="G64" s="21" t="str">
        <x:f>IFERROR(INDEX('Resultados'!$J$5:$J$108,MATCH($B64,'Resultados'!$A$5:$A$108,0)),"")</x:f>
        <x:v>Áustria</x:v>
      </x:c>
      <x:c r="H64" s="21" t="str">
        <x:v>Não</x:v>
      </x:c>
      <x:c r="I64" s="22"/>
      <x:c r="J64" s="22"/>
      <x:c r="K64" s="23"/>
      <x:c r="L64" s="21" t="str">
        <x:f>IFERROR(INDEX('Resultados'!$H$5:$H$108,MATCH($B64,'Resultados'!$A$5:$A$108,0)),"")</x:f>
      </x:c>
      <x:c r="M64" s="21" t="str">
        <x:f>IFERROR(INDEX('Resultados'!$I$5:$I$108,MATCH($B64,'Resultados'!$A$5:$A$108,0)),"")</x:f>
      </x:c>
      <x:c r="N64" s="21" t="str">
        <x:f>IFERROR(INDEX('Resultados'!$L$5:$L$108,MATCH($B64,'Resultados'!$A$5:$A$108,0)),"")</x:f>
      </x:c>
      <x:c r="O64" s="59" t="str">
        <x:f>IF(OR($I64="",$J64="",$L64="",$M64=""),"",IF(AND($H64="Sim",$L64=$M64),IF($I64&lt;&gt;$J64,0,IF(AND($I64=$L64,$J64=$M64),2,1)),IF(AND($I64=$L64,$J64=$M64),3,IF(AND($I64&lt;&gt;$J64,$I64=$M64,$J64=$L64),-2,IF(SIGN($I64-$J64)=SIGN($L64-$M64),1,0)))))</x:f>
      </x:c>
      <x:c r="P64" s="59" t="str">
        <x:f>IF(OR($H64&lt;&gt;"Sim",$I64="",$J64="",$L64="",$M64=""),"",IF(AND(IF($I64&gt;$J64,$F64,IF($I64&lt;$J64,$G64,$K64))&lt;&gt;"",IF($L64&gt;$M64,$F64,IF($L64&lt;$M64,$G64,$N64))&lt;&gt;"",IF($I64&gt;$J64,$F64,IF($I64&lt;$J64,$G64,$K64))=IF($L64&gt;$M64,$F64,IF($L64&lt;$M64,$G64,$N64))),1,0))</x:f>
      </x:c>
      <x:c r="Q64" s="59" t="str">
        <x:f>IF($O64="","",$O64+$P64)</x:f>
      </x:c>
      <x:c r="R64" s="59" t="str">
        <x:f>IF($Q64="","",IF($O64=3,"Cravada",IF(AND($H64="Sim",$L64=$M64,$I64=$J64,$O64=2),"Empate cravado",IF($O64=1,"Resultado certo",IF($O64=-2,"Invertida",IF($P64=1,"Acertou quem passa","Erro"))))))</x:f>
      </x:c>
      <x:c r="S64" s="59" t="str">
        <x:f>IF($O64="","",--(OR($O64=3,AND($H64="Sim",$L64=$M64,$I64=$J64,$O64=2))))</x:f>
      </x:c>
      <x:c r="T64" s="59" t="str">
        <x:f>IF($O64="","",--($O64=-2))</x:f>
      </x:c>
      <x:c r="U64" s="59" t="str">
        <x:f>IF($O64="","",--($O64=1))</x:f>
      </x:c>
      <x:c r="V64" s="59" t="n">
        <x:f>--(AND($I64&lt;&gt;"",$J64&lt;&gt;""))</x:f>
        <x:v>0</x:v>
      </x:c>
    </x:row>
    <x:row r="65">
      <x:c r="A65" s="21" t="str">
        <x:f>INDEX(Config!$B$10:$B$16,INT((ROW()-5)/104)+1)</x:f>
        <x:v>Leo B.</x:v>
      </x:c>
      <x:c r="B65" s="21" t="str">
        <x:v>GK1</x:v>
      </x:c>
      <x:c r="C65" s="21" t="n">
        <x:v>61</x:v>
      </x:c>
      <x:c r="D65" s="21" t="str">
        <x:v>Grupo K</x:v>
      </x:c>
      <x:c r="E65" s="21" t="str">
        <x:v>2026-06-17</x:v>
      </x:c>
      <x:c r="F65" s="21" t="str">
        <x:f>IFERROR(INDEX('Resultados'!$G$5:$G$108,MATCH($B65,'Resultados'!$A$5:$A$108,0)),"")</x:f>
        <x:v>Portugal</x:v>
      </x:c>
      <x:c r="G65" s="21" t="str">
        <x:f>IFERROR(INDEX('Resultados'!$J$5:$J$108,MATCH($B65,'Resultados'!$A$5:$A$108,0)),"")</x:f>
        <x:v>Rep. D. do Congo</x:v>
      </x:c>
      <x:c r="H65" s="21" t="str">
        <x:v>Não</x:v>
      </x:c>
      <x:c r="I65" s="22"/>
      <x:c r="J65" s="22"/>
      <x:c r="K65" s="23"/>
      <x:c r="L65" s="21" t="str">
        <x:f>IFERROR(INDEX('Resultados'!$H$5:$H$108,MATCH($B65,'Resultados'!$A$5:$A$108,0)),"")</x:f>
      </x:c>
      <x:c r="M65" s="21" t="str">
        <x:f>IFERROR(INDEX('Resultados'!$I$5:$I$108,MATCH($B65,'Resultados'!$A$5:$A$108,0)),"")</x:f>
      </x:c>
      <x:c r="N65" s="21" t="str">
        <x:f>IFERROR(INDEX('Resultados'!$L$5:$L$108,MATCH($B65,'Resultados'!$A$5:$A$108,0)),"")</x:f>
      </x:c>
      <x:c r="O65" s="59" t="str">
        <x:f>IF(OR($I65="",$J65="",$L65="",$M65=""),"",IF(AND($H65="Sim",$L65=$M65),IF($I65&lt;&gt;$J65,0,IF(AND($I65=$L65,$J65=$M65),2,1)),IF(AND($I65=$L65,$J65=$M65),3,IF(AND($I65&lt;&gt;$J65,$I65=$M65,$J65=$L65),-2,IF(SIGN($I65-$J65)=SIGN($L65-$M65),1,0)))))</x:f>
      </x:c>
      <x:c r="P65" s="59" t="str">
        <x:f>IF(OR($H65&lt;&gt;"Sim",$I65="",$J65="",$L65="",$M65=""),"",IF(AND(IF($I65&gt;$J65,$F65,IF($I65&lt;$J65,$G65,$K65))&lt;&gt;"",IF($L65&gt;$M65,$F65,IF($L65&lt;$M65,$G65,$N65))&lt;&gt;"",IF($I65&gt;$J65,$F65,IF($I65&lt;$J65,$G65,$K65))=IF($L65&gt;$M65,$F65,IF($L65&lt;$M65,$G65,$N65))),1,0))</x:f>
      </x:c>
      <x:c r="Q65" s="59" t="str">
        <x:f>IF($O65="","",$O65+$P65)</x:f>
      </x:c>
      <x:c r="R65" s="59" t="str">
        <x:f>IF($Q65="","",IF($O65=3,"Cravada",IF(AND($H65="Sim",$L65=$M65,$I65=$J65,$O65=2),"Empate cravado",IF($O65=1,"Resultado certo",IF($O65=-2,"Invertida",IF($P65=1,"Acertou quem passa","Erro"))))))</x:f>
      </x:c>
      <x:c r="S65" s="59" t="str">
        <x:f>IF($O65="","",--(OR($O65=3,AND($H65="Sim",$L65=$M65,$I65=$J65,$O65=2))))</x:f>
      </x:c>
      <x:c r="T65" s="59" t="str">
        <x:f>IF($O65="","",--($O65=-2))</x:f>
      </x:c>
      <x:c r="U65" s="59" t="str">
        <x:f>IF($O65="","",--($O65=1))</x:f>
      </x:c>
      <x:c r="V65" s="59" t="n">
        <x:f>--(AND($I65&lt;&gt;"",$J65&lt;&gt;""))</x:f>
        <x:v>0</x:v>
      </x:c>
    </x:row>
    <x:row r="66">
      <x:c r="A66" s="21" t="str">
        <x:f>INDEX(Config!$B$10:$B$16,INT((ROW()-5)/104)+1)</x:f>
        <x:v>Leo B.</x:v>
      </x:c>
      <x:c r="B66" s="21" t="str">
        <x:v>GK2</x:v>
      </x:c>
      <x:c r="C66" s="21" t="n">
        <x:v>62</x:v>
      </x:c>
      <x:c r="D66" s="21" t="str">
        <x:v>Grupo K</x:v>
      </x:c>
      <x:c r="E66" s="21" t="str">
        <x:v>2026-06-17</x:v>
      </x:c>
      <x:c r="F66" s="21" t="str">
        <x:f>IFERROR(INDEX('Resultados'!$G$5:$G$108,MATCH($B66,'Resultados'!$A$5:$A$108,0)),"")</x:f>
        <x:v>Uzbequistão</x:v>
      </x:c>
      <x:c r="G66" s="21" t="str">
        <x:f>IFERROR(INDEX('Resultados'!$J$5:$J$108,MATCH($B66,'Resultados'!$A$5:$A$108,0)),"")</x:f>
        <x:v>Colômbia</x:v>
      </x:c>
      <x:c r="H66" s="21" t="str">
        <x:v>Não</x:v>
      </x:c>
      <x:c r="I66" s="22"/>
      <x:c r="J66" s="22"/>
      <x:c r="K66" s="23"/>
      <x:c r="L66" s="21" t="str">
        <x:f>IFERROR(INDEX('Resultados'!$H$5:$H$108,MATCH($B66,'Resultados'!$A$5:$A$108,0)),"")</x:f>
      </x:c>
      <x:c r="M66" s="21" t="str">
        <x:f>IFERROR(INDEX('Resultados'!$I$5:$I$108,MATCH($B66,'Resultados'!$A$5:$A$108,0)),"")</x:f>
      </x:c>
      <x:c r="N66" s="21" t="str">
        <x:f>IFERROR(INDEX('Resultados'!$L$5:$L$108,MATCH($B66,'Resultados'!$A$5:$A$108,0)),"")</x:f>
      </x:c>
      <x:c r="O66" s="59" t="str">
        <x:f>IF(OR($I66="",$J66="",$L66="",$M66=""),"",IF(AND($H66="Sim",$L66=$M66),IF($I66&lt;&gt;$J66,0,IF(AND($I66=$L66,$J66=$M66),2,1)),IF(AND($I66=$L66,$J66=$M66),3,IF(AND($I66&lt;&gt;$J66,$I66=$M66,$J66=$L66),-2,IF(SIGN($I66-$J66)=SIGN($L66-$M66),1,0)))))</x:f>
      </x:c>
      <x:c r="P66" s="59" t="str">
        <x:f>IF(OR($H66&lt;&gt;"Sim",$I66="",$J66="",$L66="",$M66=""),"",IF(AND(IF($I66&gt;$J66,$F66,IF($I66&lt;$J66,$G66,$K66))&lt;&gt;"",IF($L66&gt;$M66,$F66,IF($L66&lt;$M66,$G66,$N66))&lt;&gt;"",IF($I66&gt;$J66,$F66,IF($I66&lt;$J66,$G66,$K66))=IF($L66&gt;$M66,$F66,IF($L66&lt;$M66,$G66,$N66))),1,0))</x:f>
      </x:c>
      <x:c r="Q66" s="59" t="str">
        <x:f>IF($O66="","",$O66+$P66)</x:f>
      </x:c>
      <x:c r="R66" s="59" t="str">
        <x:f>IF($Q66="","",IF($O66=3,"Cravada",IF(AND($H66="Sim",$L66=$M66,$I66=$J66,$O66=2),"Empate cravado",IF($O66=1,"Resultado certo",IF($O66=-2,"Invertida",IF($P66=1,"Acertou quem passa","Erro"))))))</x:f>
      </x:c>
      <x:c r="S66" s="59" t="str">
        <x:f>IF($O66="","",--(OR($O66=3,AND($H66="Sim",$L66=$M66,$I66=$J66,$O66=2))))</x:f>
      </x:c>
      <x:c r="T66" s="59" t="str">
        <x:f>IF($O66="","",--($O66=-2))</x:f>
      </x:c>
      <x:c r="U66" s="59" t="str">
        <x:f>IF($O66="","",--($O66=1))</x:f>
      </x:c>
      <x:c r="V66" s="59" t="n">
        <x:f>--(AND($I66&lt;&gt;"",$J66&lt;&gt;""))</x:f>
        <x:v>0</x:v>
      </x:c>
    </x:row>
    <x:row r="67">
      <x:c r="A67" s="21" t="str">
        <x:f>INDEX(Config!$B$10:$B$16,INT((ROW()-5)/104)+1)</x:f>
        <x:v>Leo B.</x:v>
      </x:c>
      <x:c r="B67" s="21" t="str">
        <x:v>GK3</x:v>
      </x:c>
      <x:c r="C67" s="21" t="n">
        <x:v>63</x:v>
      </x:c>
      <x:c r="D67" s="21" t="str">
        <x:v>Grupo K</x:v>
      </x:c>
      <x:c r="E67" s="21" t="str">
        <x:v>2026-06-23</x:v>
      </x:c>
      <x:c r="F67" s="21" t="str">
        <x:f>IFERROR(INDEX('Resultados'!$G$5:$G$108,MATCH($B67,'Resultados'!$A$5:$A$108,0)),"")</x:f>
        <x:v>Portugal</x:v>
      </x:c>
      <x:c r="G67" s="21" t="str">
        <x:f>IFERROR(INDEX('Resultados'!$J$5:$J$108,MATCH($B67,'Resultados'!$A$5:$A$108,0)),"")</x:f>
        <x:v>Uzbequistão</x:v>
      </x:c>
      <x:c r="H67" s="21" t="str">
        <x:v>Não</x:v>
      </x:c>
      <x:c r="I67" s="22"/>
      <x:c r="J67" s="22"/>
      <x:c r="K67" s="23"/>
      <x:c r="L67" s="21" t="str">
        <x:f>IFERROR(INDEX('Resultados'!$H$5:$H$108,MATCH($B67,'Resultados'!$A$5:$A$108,0)),"")</x:f>
      </x:c>
      <x:c r="M67" s="21" t="str">
        <x:f>IFERROR(INDEX('Resultados'!$I$5:$I$108,MATCH($B67,'Resultados'!$A$5:$A$108,0)),"")</x:f>
      </x:c>
      <x:c r="N67" s="21" t="str">
        <x:f>IFERROR(INDEX('Resultados'!$L$5:$L$108,MATCH($B67,'Resultados'!$A$5:$A$108,0)),"")</x:f>
      </x:c>
      <x:c r="O67" s="59" t="str">
        <x:f>IF(OR($I67="",$J67="",$L67="",$M67=""),"",IF(AND($H67="Sim",$L67=$M67),IF($I67&lt;&gt;$J67,0,IF(AND($I67=$L67,$J67=$M67),2,1)),IF(AND($I67=$L67,$J67=$M67),3,IF(AND($I67&lt;&gt;$J67,$I67=$M67,$J67=$L67),-2,IF(SIGN($I67-$J67)=SIGN($L67-$M67),1,0)))))</x:f>
      </x:c>
      <x:c r="P67" s="59" t="str">
        <x:f>IF(OR($H67&lt;&gt;"Sim",$I67="",$J67="",$L67="",$M67=""),"",IF(AND(IF($I67&gt;$J67,$F67,IF($I67&lt;$J67,$G67,$K67))&lt;&gt;"",IF($L67&gt;$M67,$F67,IF($L67&lt;$M67,$G67,$N67))&lt;&gt;"",IF($I67&gt;$J67,$F67,IF($I67&lt;$J67,$G67,$K67))=IF($L67&gt;$M67,$F67,IF($L67&lt;$M67,$G67,$N67))),1,0))</x:f>
      </x:c>
      <x:c r="Q67" s="59" t="str">
        <x:f>IF($O67="","",$O67+$P67)</x:f>
      </x:c>
      <x:c r="R67" s="59" t="str">
        <x:f>IF($Q67="","",IF($O67=3,"Cravada",IF(AND($H67="Sim",$L67=$M67,$I67=$J67,$O67=2),"Empate cravado",IF($O67=1,"Resultado certo",IF($O67=-2,"Invertida",IF($P67=1,"Acertou quem passa","Erro"))))))</x:f>
      </x:c>
      <x:c r="S67" s="59" t="str">
        <x:f>IF($O67="","",--(OR($O67=3,AND($H67="Sim",$L67=$M67,$I67=$J67,$O67=2))))</x:f>
      </x:c>
      <x:c r="T67" s="59" t="str">
        <x:f>IF($O67="","",--($O67=-2))</x:f>
      </x:c>
      <x:c r="U67" s="59" t="str">
        <x:f>IF($O67="","",--($O67=1))</x:f>
      </x:c>
      <x:c r="V67" s="59" t="n">
        <x:f>--(AND($I67&lt;&gt;"",$J67&lt;&gt;""))</x:f>
        <x:v>0</x:v>
      </x:c>
    </x:row>
    <x:row r="68">
      <x:c r="A68" s="21" t="str">
        <x:f>INDEX(Config!$B$10:$B$16,INT((ROW()-5)/104)+1)</x:f>
        <x:v>Leo B.</x:v>
      </x:c>
      <x:c r="B68" s="21" t="str">
        <x:v>GK4</x:v>
      </x:c>
      <x:c r="C68" s="21" t="n">
        <x:v>64</x:v>
      </x:c>
      <x:c r="D68" s="21" t="str">
        <x:v>Grupo K</x:v>
      </x:c>
      <x:c r="E68" s="21" t="str">
        <x:v>2026-06-23</x:v>
      </x:c>
      <x:c r="F68" s="21" t="str">
        <x:f>IFERROR(INDEX('Resultados'!$G$5:$G$108,MATCH($B68,'Resultados'!$A$5:$A$108,0)),"")</x:f>
        <x:v>Rep. D. do Congo</x:v>
      </x:c>
      <x:c r="G68" s="21" t="str">
        <x:f>IFERROR(INDEX('Resultados'!$J$5:$J$108,MATCH($B68,'Resultados'!$A$5:$A$108,0)),"")</x:f>
        <x:v>Colômbia</x:v>
      </x:c>
      <x:c r="H68" s="21" t="str">
        <x:v>Não</x:v>
      </x:c>
      <x:c r="I68" s="22"/>
      <x:c r="J68" s="22"/>
      <x:c r="K68" s="23"/>
      <x:c r="L68" s="21" t="str">
        <x:f>IFERROR(INDEX('Resultados'!$H$5:$H$108,MATCH($B68,'Resultados'!$A$5:$A$108,0)),"")</x:f>
      </x:c>
      <x:c r="M68" s="21" t="str">
        <x:f>IFERROR(INDEX('Resultados'!$I$5:$I$108,MATCH($B68,'Resultados'!$A$5:$A$108,0)),"")</x:f>
      </x:c>
      <x:c r="N68" s="21" t="str">
        <x:f>IFERROR(INDEX('Resultados'!$L$5:$L$108,MATCH($B68,'Resultados'!$A$5:$A$108,0)),"")</x:f>
      </x:c>
      <x:c r="O68" s="59" t="str">
        <x:f>IF(OR($I68="",$J68="",$L68="",$M68=""),"",IF(AND($H68="Sim",$L68=$M68),IF($I68&lt;&gt;$J68,0,IF(AND($I68=$L68,$J68=$M68),2,1)),IF(AND($I68=$L68,$J68=$M68),3,IF(AND($I68&lt;&gt;$J68,$I68=$M68,$J68=$L68),-2,IF(SIGN($I68-$J68)=SIGN($L68-$M68),1,0)))))</x:f>
      </x:c>
      <x:c r="P68" s="59" t="str">
        <x:f>IF(OR($H68&lt;&gt;"Sim",$I68="",$J68="",$L68="",$M68=""),"",IF(AND(IF($I68&gt;$J68,$F68,IF($I68&lt;$J68,$G68,$K68))&lt;&gt;"",IF($L68&gt;$M68,$F68,IF($L68&lt;$M68,$G68,$N68))&lt;&gt;"",IF($I68&gt;$J68,$F68,IF($I68&lt;$J68,$G68,$K68))=IF($L68&gt;$M68,$F68,IF($L68&lt;$M68,$G68,$N68))),1,0))</x:f>
      </x:c>
      <x:c r="Q68" s="59" t="str">
        <x:f>IF($O68="","",$O68+$P68)</x:f>
      </x:c>
      <x:c r="R68" s="59" t="str">
        <x:f>IF($Q68="","",IF($O68=3,"Cravada",IF(AND($H68="Sim",$L68=$M68,$I68=$J68,$O68=2),"Empate cravado",IF($O68=1,"Resultado certo",IF($O68=-2,"Invertida",IF($P68=1,"Acertou quem passa","Erro"))))))</x:f>
      </x:c>
      <x:c r="S68" s="59" t="str">
        <x:f>IF($O68="","",--(OR($O68=3,AND($H68="Sim",$L68=$M68,$I68=$J68,$O68=2))))</x:f>
      </x:c>
      <x:c r="T68" s="59" t="str">
        <x:f>IF($O68="","",--($O68=-2))</x:f>
      </x:c>
      <x:c r="U68" s="59" t="str">
        <x:f>IF($O68="","",--($O68=1))</x:f>
      </x:c>
      <x:c r="V68" s="59" t="n">
        <x:f>--(AND($I68&lt;&gt;"",$J68&lt;&gt;""))</x:f>
        <x:v>0</x:v>
      </x:c>
    </x:row>
    <x:row r="69">
      <x:c r="A69" s="21" t="str">
        <x:f>INDEX(Config!$B$10:$B$16,INT((ROW()-5)/104)+1)</x:f>
        <x:v>Leo B.</x:v>
      </x:c>
      <x:c r="B69" s="21" t="str">
        <x:v>GK5</x:v>
      </x:c>
      <x:c r="C69" s="21" t="n">
        <x:v>65</x:v>
      </x:c>
      <x:c r="D69" s="21" t="str">
        <x:v>Grupo K</x:v>
      </x:c>
      <x:c r="E69" s="21" t="str">
        <x:v>2026-06-27</x:v>
      </x:c>
      <x:c r="F69" s="21" t="str">
        <x:f>IFERROR(INDEX('Resultados'!$G$5:$G$108,MATCH($B69,'Resultados'!$A$5:$A$108,0)),"")</x:f>
        <x:v>Portugal</x:v>
      </x:c>
      <x:c r="G69" s="21" t="str">
        <x:f>IFERROR(INDEX('Resultados'!$J$5:$J$108,MATCH($B69,'Resultados'!$A$5:$A$108,0)),"")</x:f>
        <x:v>Colômbia</x:v>
      </x:c>
      <x:c r="H69" s="21" t="str">
        <x:v>Não</x:v>
      </x:c>
      <x:c r="I69" s="22"/>
      <x:c r="J69" s="22"/>
      <x:c r="K69" s="23"/>
      <x:c r="L69" s="21" t="str">
        <x:f>IFERROR(INDEX('Resultados'!$H$5:$H$108,MATCH($B69,'Resultados'!$A$5:$A$108,0)),"")</x:f>
      </x:c>
      <x:c r="M69" s="21" t="str">
        <x:f>IFERROR(INDEX('Resultados'!$I$5:$I$108,MATCH($B69,'Resultados'!$A$5:$A$108,0)),"")</x:f>
      </x:c>
      <x:c r="N69" s="21" t="str">
        <x:f>IFERROR(INDEX('Resultados'!$L$5:$L$108,MATCH($B69,'Resultados'!$A$5:$A$108,0)),"")</x:f>
      </x:c>
      <x:c r="O69" s="59" t="str">
        <x:f>IF(OR($I69="",$J69="",$L69="",$M69=""),"",IF(AND($H69="Sim",$L69=$M69),IF($I69&lt;&gt;$J69,0,IF(AND($I69=$L69,$J69=$M69),2,1)),IF(AND($I69=$L69,$J69=$M69),3,IF(AND($I69&lt;&gt;$J69,$I69=$M69,$J69=$L69),-2,IF(SIGN($I69-$J69)=SIGN($L69-$M69),1,0)))))</x:f>
      </x:c>
      <x:c r="P69" s="59" t="str">
        <x:f>IF(OR($H69&lt;&gt;"Sim",$I69="",$J69="",$L69="",$M69=""),"",IF(AND(IF($I69&gt;$J69,$F69,IF($I69&lt;$J69,$G69,$K69))&lt;&gt;"",IF($L69&gt;$M69,$F69,IF($L69&lt;$M69,$G69,$N69))&lt;&gt;"",IF($I69&gt;$J69,$F69,IF($I69&lt;$J69,$G69,$K69))=IF($L69&gt;$M69,$F69,IF($L69&lt;$M69,$G69,$N69))),1,0))</x:f>
      </x:c>
      <x:c r="Q69" s="59" t="str">
        <x:f>IF($O69="","",$O69+$P69)</x:f>
      </x:c>
      <x:c r="R69" s="59" t="str">
        <x:f>IF($Q69="","",IF($O69=3,"Cravada",IF(AND($H69="Sim",$L69=$M69,$I69=$J69,$O69=2),"Empate cravado",IF($O69=1,"Resultado certo",IF($O69=-2,"Invertida",IF($P69=1,"Acertou quem passa","Erro"))))))</x:f>
      </x:c>
      <x:c r="S69" s="59" t="str">
        <x:f>IF($O69="","",--(OR($O69=3,AND($H69="Sim",$L69=$M69,$I69=$J69,$O69=2))))</x:f>
      </x:c>
      <x:c r="T69" s="59" t="str">
        <x:f>IF($O69="","",--($O69=-2))</x:f>
      </x:c>
      <x:c r="U69" s="59" t="str">
        <x:f>IF($O69="","",--($O69=1))</x:f>
      </x:c>
      <x:c r="V69" s="59" t="n">
        <x:f>--(AND($I69&lt;&gt;"",$J69&lt;&gt;""))</x:f>
        <x:v>0</x:v>
      </x:c>
    </x:row>
    <x:row r="70">
      <x:c r="A70" s="21" t="str">
        <x:f>INDEX(Config!$B$10:$B$16,INT((ROW()-5)/104)+1)</x:f>
        <x:v>Leo B.</x:v>
      </x:c>
      <x:c r="B70" s="21" t="str">
        <x:v>GK6</x:v>
      </x:c>
      <x:c r="C70" s="21" t="n">
        <x:v>66</x:v>
      </x:c>
      <x:c r="D70" s="21" t="str">
        <x:v>Grupo K</x:v>
      </x:c>
      <x:c r="E70" s="21" t="str">
        <x:v>2026-06-27</x:v>
      </x:c>
      <x:c r="F70" s="21" t="str">
        <x:f>IFERROR(INDEX('Resultados'!$G$5:$G$108,MATCH($B70,'Resultados'!$A$5:$A$108,0)),"")</x:f>
        <x:v>Rep. D. do Congo</x:v>
      </x:c>
      <x:c r="G70" s="21" t="str">
        <x:f>IFERROR(INDEX('Resultados'!$J$5:$J$108,MATCH($B70,'Resultados'!$A$5:$A$108,0)),"")</x:f>
        <x:v>Uzbequistão</x:v>
      </x:c>
      <x:c r="H70" s="21" t="str">
        <x:v>Não</x:v>
      </x:c>
      <x:c r="I70" s="22"/>
      <x:c r="J70" s="22"/>
      <x:c r="K70" s="23"/>
      <x:c r="L70" s="21" t="str">
        <x:f>IFERROR(INDEX('Resultados'!$H$5:$H$108,MATCH($B70,'Resultados'!$A$5:$A$108,0)),"")</x:f>
      </x:c>
      <x:c r="M70" s="21" t="str">
        <x:f>IFERROR(INDEX('Resultados'!$I$5:$I$108,MATCH($B70,'Resultados'!$A$5:$A$108,0)),"")</x:f>
      </x:c>
      <x:c r="N70" s="21" t="str">
        <x:f>IFERROR(INDEX('Resultados'!$L$5:$L$108,MATCH($B70,'Resultados'!$A$5:$A$108,0)),"")</x:f>
      </x:c>
      <x:c r="O70" s="59" t="str">
        <x:f>IF(OR($I70="",$J70="",$L70="",$M70=""),"",IF(AND($H70="Sim",$L70=$M70),IF($I70&lt;&gt;$J70,0,IF(AND($I70=$L70,$J70=$M70),2,1)),IF(AND($I70=$L70,$J70=$M70),3,IF(AND($I70&lt;&gt;$J70,$I70=$M70,$J70=$L70),-2,IF(SIGN($I70-$J70)=SIGN($L70-$M70),1,0)))))</x:f>
      </x:c>
      <x:c r="P70" s="59" t="str">
        <x:f>IF(OR($H70&lt;&gt;"Sim",$I70="",$J70="",$L70="",$M70=""),"",IF(AND(IF($I70&gt;$J70,$F70,IF($I70&lt;$J70,$G70,$K70))&lt;&gt;"",IF($L70&gt;$M70,$F70,IF($L70&lt;$M70,$G70,$N70))&lt;&gt;"",IF($I70&gt;$J70,$F70,IF($I70&lt;$J70,$G70,$K70))=IF($L70&gt;$M70,$F70,IF($L70&lt;$M70,$G70,$N70))),1,0))</x:f>
      </x:c>
      <x:c r="Q70" s="59" t="str">
        <x:f>IF($O70="","",$O70+$P70)</x:f>
      </x:c>
      <x:c r="R70" s="59" t="str">
        <x:f>IF($Q70="","",IF($O70=3,"Cravada",IF(AND($H70="Sim",$L70=$M70,$I70=$J70,$O70=2),"Empate cravado",IF($O70=1,"Resultado certo",IF($O70=-2,"Invertida",IF($P70=1,"Acertou quem passa","Erro"))))))</x:f>
      </x:c>
      <x:c r="S70" s="59" t="str">
        <x:f>IF($O70="","",--(OR($O70=3,AND($H70="Sim",$L70=$M70,$I70=$J70,$O70=2))))</x:f>
      </x:c>
      <x:c r="T70" s="59" t="str">
        <x:f>IF($O70="","",--($O70=-2))</x:f>
      </x:c>
      <x:c r="U70" s="59" t="str">
        <x:f>IF($O70="","",--($O70=1))</x:f>
      </x:c>
      <x:c r="V70" s="59" t="n">
        <x:f>--(AND($I70&lt;&gt;"",$J70&lt;&gt;""))</x:f>
        <x:v>0</x:v>
      </x:c>
    </x:row>
    <x:row r="71">
      <x:c r="A71" s="21" t="str">
        <x:f>INDEX(Config!$B$10:$B$16,INT((ROW()-5)/104)+1)</x:f>
        <x:v>Leo B.</x:v>
      </x:c>
      <x:c r="B71" s="21" t="str">
        <x:v>GL1</x:v>
      </x:c>
      <x:c r="C71" s="21" t="n">
        <x:v>67</x:v>
      </x:c>
      <x:c r="D71" s="21" t="str">
        <x:v>Grupo L</x:v>
      </x:c>
      <x:c r="E71" s="21" t="str">
        <x:v>2026-06-17</x:v>
      </x:c>
      <x:c r="F71" s="21" t="str">
        <x:f>IFERROR(INDEX('Resultados'!$G$5:$G$108,MATCH($B71,'Resultados'!$A$5:$A$108,0)),"")</x:f>
        <x:v>Inglaterra</x:v>
      </x:c>
      <x:c r="G71" s="21" t="str">
        <x:f>IFERROR(INDEX('Resultados'!$J$5:$J$108,MATCH($B71,'Resultados'!$A$5:$A$108,0)),"")</x:f>
        <x:v>Croácia</x:v>
      </x:c>
      <x:c r="H71" s="21" t="str">
        <x:v>Não</x:v>
      </x:c>
      <x:c r="I71" s="22"/>
      <x:c r="J71" s="22"/>
      <x:c r="K71" s="23"/>
      <x:c r="L71" s="21" t="str">
        <x:f>IFERROR(INDEX('Resultados'!$H$5:$H$108,MATCH($B71,'Resultados'!$A$5:$A$108,0)),"")</x:f>
      </x:c>
      <x:c r="M71" s="21" t="str">
        <x:f>IFERROR(INDEX('Resultados'!$I$5:$I$108,MATCH($B71,'Resultados'!$A$5:$A$108,0)),"")</x:f>
      </x:c>
      <x:c r="N71" s="21" t="str">
        <x:f>IFERROR(INDEX('Resultados'!$L$5:$L$108,MATCH($B71,'Resultados'!$A$5:$A$108,0)),"")</x:f>
      </x:c>
      <x:c r="O71" s="59" t="str">
        <x:f>IF(OR($I71="",$J71="",$L71="",$M71=""),"",IF(AND($H71="Sim",$L71=$M71),IF($I71&lt;&gt;$J71,0,IF(AND($I71=$L71,$J71=$M71),2,1)),IF(AND($I71=$L71,$J71=$M71),3,IF(AND($I71&lt;&gt;$J71,$I71=$M71,$J71=$L71),-2,IF(SIGN($I71-$J71)=SIGN($L71-$M71),1,0)))))</x:f>
      </x:c>
      <x:c r="P71" s="59" t="str">
        <x:f>IF(OR($H71&lt;&gt;"Sim",$I71="",$J71="",$L71="",$M71=""),"",IF(AND(IF($I71&gt;$J71,$F71,IF($I71&lt;$J71,$G71,$K71))&lt;&gt;"",IF($L71&gt;$M71,$F71,IF($L71&lt;$M71,$G71,$N71))&lt;&gt;"",IF($I71&gt;$J71,$F71,IF($I71&lt;$J71,$G71,$K71))=IF($L71&gt;$M71,$F71,IF($L71&lt;$M71,$G71,$N71))),1,0))</x:f>
      </x:c>
      <x:c r="Q71" s="59" t="str">
        <x:f>IF($O71="","",$O71+$P71)</x:f>
      </x:c>
      <x:c r="R71" s="59" t="str">
        <x:f>IF($Q71="","",IF($O71=3,"Cravada",IF(AND($H71="Sim",$L71=$M71,$I71=$J71,$O71=2),"Empate cravado",IF($O71=1,"Resultado certo",IF($O71=-2,"Invertida",IF($P71=1,"Acertou quem passa","Erro"))))))</x:f>
      </x:c>
      <x:c r="S71" s="59" t="str">
        <x:f>IF($O71="","",--(OR($O71=3,AND($H71="Sim",$L71=$M71,$I71=$J71,$O71=2))))</x:f>
      </x:c>
      <x:c r="T71" s="59" t="str">
        <x:f>IF($O71="","",--($O71=-2))</x:f>
      </x:c>
      <x:c r="U71" s="59" t="str">
        <x:f>IF($O71="","",--($O71=1))</x:f>
      </x:c>
      <x:c r="V71" s="59" t="n">
        <x:f>--(AND($I71&lt;&gt;"",$J71&lt;&gt;""))</x:f>
        <x:v>0</x:v>
      </x:c>
    </x:row>
    <x:row r="72">
      <x:c r="A72" s="21" t="str">
        <x:f>INDEX(Config!$B$10:$B$16,INT((ROW()-5)/104)+1)</x:f>
        <x:v>Leo B.</x:v>
      </x:c>
      <x:c r="B72" s="21" t="str">
        <x:v>GL2</x:v>
      </x:c>
      <x:c r="C72" s="21" t="n">
        <x:v>68</x:v>
      </x:c>
      <x:c r="D72" s="21" t="str">
        <x:v>Grupo L</x:v>
      </x:c>
      <x:c r="E72" s="21" t="str">
        <x:v>2026-06-17</x:v>
      </x:c>
      <x:c r="F72" s="21" t="str">
        <x:f>IFERROR(INDEX('Resultados'!$G$5:$G$108,MATCH($B72,'Resultados'!$A$5:$A$108,0)),"")</x:f>
        <x:v>Gana</x:v>
      </x:c>
      <x:c r="G72" s="21" t="str">
        <x:f>IFERROR(INDEX('Resultados'!$J$5:$J$108,MATCH($B72,'Resultados'!$A$5:$A$108,0)),"")</x:f>
        <x:v>Panamá</x:v>
      </x:c>
      <x:c r="H72" s="21" t="str">
        <x:v>Não</x:v>
      </x:c>
      <x:c r="I72" s="22"/>
      <x:c r="J72" s="22"/>
      <x:c r="K72" s="23"/>
      <x:c r="L72" s="21" t="str">
        <x:f>IFERROR(INDEX('Resultados'!$H$5:$H$108,MATCH($B72,'Resultados'!$A$5:$A$108,0)),"")</x:f>
      </x:c>
      <x:c r="M72" s="21" t="str">
        <x:f>IFERROR(INDEX('Resultados'!$I$5:$I$108,MATCH($B72,'Resultados'!$A$5:$A$108,0)),"")</x:f>
      </x:c>
      <x:c r="N72" s="21" t="str">
        <x:f>IFERROR(INDEX('Resultados'!$L$5:$L$108,MATCH($B72,'Resultados'!$A$5:$A$108,0)),"")</x:f>
      </x:c>
      <x:c r="O72" s="59" t="str">
        <x:f>IF(OR($I72="",$J72="",$L72="",$M72=""),"",IF(AND($H72="Sim",$L72=$M72),IF($I72&lt;&gt;$J72,0,IF(AND($I72=$L72,$J72=$M72),2,1)),IF(AND($I72=$L72,$J72=$M72),3,IF(AND($I72&lt;&gt;$J72,$I72=$M72,$J72=$L72),-2,IF(SIGN($I72-$J72)=SIGN($L72-$M72),1,0)))))</x:f>
      </x:c>
      <x:c r="P72" s="59" t="str">
        <x:f>IF(OR($H72&lt;&gt;"Sim",$I72="",$J72="",$L72="",$M72=""),"",IF(AND(IF($I72&gt;$J72,$F72,IF($I72&lt;$J72,$G72,$K72))&lt;&gt;"",IF($L72&gt;$M72,$F72,IF($L72&lt;$M72,$G72,$N72))&lt;&gt;"",IF($I72&gt;$J72,$F72,IF($I72&lt;$J72,$G72,$K72))=IF($L72&gt;$M72,$F72,IF($L72&lt;$M72,$G72,$N72))),1,0))</x:f>
      </x:c>
      <x:c r="Q72" s="59" t="str">
        <x:f>IF($O72="","",$O72+$P72)</x:f>
      </x:c>
      <x:c r="R72" s="59" t="str">
        <x:f>IF($Q72="","",IF($O72=3,"Cravada",IF(AND($H72="Sim",$L72=$M72,$I72=$J72,$O72=2),"Empate cravado",IF($O72=1,"Resultado certo",IF($O72=-2,"Invertida",IF($P72=1,"Acertou quem passa","Erro"))))))</x:f>
      </x:c>
      <x:c r="S72" s="59" t="str">
        <x:f>IF($O72="","",--(OR($O72=3,AND($H72="Sim",$L72=$M72,$I72=$J72,$O72=2))))</x:f>
      </x:c>
      <x:c r="T72" s="59" t="str">
        <x:f>IF($O72="","",--($O72=-2))</x:f>
      </x:c>
      <x:c r="U72" s="59" t="str">
        <x:f>IF($O72="","",--($O72=1))</x:f>
      </x:c>
      <x:c r="V72" s="59" t="n">
        <x:f>--(AND($I72&lt;&gt;"",$J72&lt;&gt;""))</x:f>
        <x:v>0</x:v>
      </x:c>
    </x:row>
    <x:row r="73">
      <x:c r="A73" s="21" t="str">
        <x:f>INDEX(Config!$B$10:$B$16,INT((ROW()-5)/104)+1)</x:f>
        <x:v>Leo B.</x:v>
      </x:c>
      <x:c r="B73" s="21" t="str">
        <x:v>GL3</x:v>
      </x:c>
      <x:c r="C73" s="21" t="n">
        <x:v>69</x:v>
      </x:c>
      <x:c r="D73" s="21" t="str">
        <x:v>Grupo L</x:v>
      </x:c>
      <x:c r="E73" s="21" t="str">
        <x:v>2026-06-23</x:v>
      </x:c>
      <x:c r="F73" s="21" t="str">
        <x:f>IFERROR(INDEX('Resultados'!$G$5:$G$108,MATCH($B73,'Resultados'!$A$5:$A$108,0)),"")</x:f>
        <x:v>Inglaterra</x:v>
      </x:c>
      <x:c r="G73" s="21" t="str">
        <x:f>IFERROR(INDEX('Resultados'!$J$5:$J$108,MATCH($B73,'Resultados'!$A$5:$A$108,0)),"")</x:f>
        <x:v>Gana</x:v>
      </x:c>
      <x:c r="H73" s="21" t="str">
        <x:v>Não</x:v>
      </x:c>
      <x:c r="I73" s="22"/>
      <x:c r="J73" s="22"/>
      <x:c r="K73" s="23"/>
      <x:c r="L73" s="21" t="str">
        <x:f>IFERROR(INDEX('Resultados'!$H$5:$H$108,MATCH($B73,'Resultados'!$A$5:$A$108,0)),"")</x:f>
      </x:c>
      <x:c r="M73" s="21" t="str">
        <x:f>IFERROR(INDEX('Resultados'!$I$5:$I$108,MATCH($B73,'Resultados'!$A$5:$A$108,0)),"")</x:f>
      </x:c>
      <x:c r="N73" s="21" t="str">
        <x:f>IFERROR(INDEX('Resultados'!$L$5:$L$108,MATCH($B73,'Resultados'!$A$5:$A$108,0)),"")</x:f>
      </x:c>
      <x:c r="O73" s="59" t="str">
        <x:f>IF(OR($I73="",$J73="",$L73="",$M73=""),"",IF(AND($H73="Sim",$L73=$M73),IF($I73&lt;&gt;$J73,0,IF(AND($I73=$L73,$J73=$M73),2,1)),IF(AND($I73=$L73,$J73=$M73),3,IF(AND($I73&lt;&gt;$J73,$I73=$M73,$J73=$L73),-2,IF(SIGN($I73-$J73)=SIGN($L73-$M73),1,0)))))</x:f>
      </x:c>
      <x:c r="P73" s="59" t="str">
        <x:f>IF(OR($H73&lt;&gt;"Sim",$I73="",$J73="",$L73="",$M73=""),"",IF(AND(IF($I73&gt;$J73,$F73,IF($I73&lt;$J73,$G73,$K73))&lt;&gt;"",IF($L73&gt;$M73,$F73,IF($L73&lt;$M73,$G73,$N73))&lt;&gt;"",IF($I73&gt;$J73,$F73,IF($I73&lt;$J73,$G73,$K73))=IF($L73&gt;$M73,$F73,IF($L73&lt;$M73,$G73,$N73))),1,0))</x:f>
      </x:c>
      <x:c r="Q73" s="59" t="str">
        <x:f>IF($O73="","",$O73+$P73)</x:f>
      </x:c>
      <x:c r="R73" s="59" t="str">
        <x:f>IF($Q73="","",IF($O73=3,"Cravada",IF(AND($H73="Sim",$L73=$M73,$I73=$J73,$O73=2),"Empate cravado",IF($O73=1,"Resultado certo",IF($O73=-2,"Invertida",IF($P73=1,"Acertou quem passa","Erro"))))))</x:f>
      </x:c>
      <x:c r="S73" s="59" t="str">
        <x:f>IF($O73="","",--(OR($O73=3,AND($H73="Sim",$L73=$M73,$I73=$J73,$O73=2))))</x:f>
      </x:c>
      <x:c r="T73" s="59" t="str">
        <x:f>IF($O73="","",--($O73=-2))</x:f>
      </x:c>
      <x:c r="U73" s="59" t="str">
        <x:f>IF($O73="","",--($O73=1))</x:f>
      </x:c>
      <x:c r="V73" s="59" t="n">
        <x:f>--(AND($I73&lt;&gt;"",$J73&lt;&gt;""))</x:f>
        <x:v>0</x:v>
      </x:c>
    </x:row>
    <x:row r="74">
      <x:c r="A74" s="21" t="str">
        <x:f>INDEX(Config!$B$10:$B$16,INT((ROW()-5)/104)+1)</x:f>
        <x:v>Leo B.</x:v>
      </x:c>
      <x:c r="B74" s="21" t="str">
        <x:v>GL4</x:v>
      </x:c>
      <x:c r="C74" s="21" t="n">
        <x:v>70</x:v>
      </x:c>
      <x:c r="D74" s="21" t="str">
        <x:v>Grupo L</x:v>
      </x:c>
      <x:c r="E74" s="21" t="str">
        <x:v>2026-06-23</x:v>
      </x:c>
      <x:c r="F74" s="21" t="str">
        <x:f>IFERROR(INDEX('Resultados'!$G$5:$G$108,MATCH($B74,'Resultados'!$A$5:$A$108,0)),"")</x:f>
        <x:v>Croácia</x:v>
      </x:c>
      <x:c r="G74" s="21" t="str">
        <x:f>IFERROR(INDEX('Resultados'!$J$5:$J$108,MATCH($B74,'Resultados'!$A$5:$A$108,0)),"")</x:f>
        <x:v>Panamá</x:v>
      </x:c>
      <x:c r="H74" s="21" t="str">
        <x:v>Não</x:v>
      </x:c>
      <x:c r="I74" s="22"/>
      <x:c r="J74" s="22"/>
      <x:c r="K74" s="23"/>
      <x:c r="L74" s="21" t="str">
        <x:f>IFERROR(INDEX('Resultados'!$H$5:$H$108,MATCH($B74,'Resultados'!$A$5:$A$108,0)),"")</x:f>
      </x:c>
      <x:c r="M74" s="21" t="str">
        <x:f>IFERROR(INDEX('Resultados'!$I$5:$I$108,MATCH($B74,'Resultados'!$A$5:$A$108,0)),"")</x:f>
      </x:c>
      <x:c r="N74" s="21" t="str">
        <x:f>IFERROR(INDEX('Resultados'!$L$5:$L$108,MATCH($B74,'Resultados'!$A$5:$A$108,0)),"")</x:f>
      </x:c>
      <x:c r="O74" s="59" t="str">
        <x:f>IF(OR($I74="",$J74="",$L74="",$M74=""),"",IF(AND($H74="Sim",$L74=$M74),IF($I74&lt;&gt;$J74,0,IF(AND($I74=$L74,$J74=$M74),2,1)),IF(AND($I74=$L74,$J74=$M74),3,IF(AND($I74&lt;&gt;$J74,$I74=$M74,$J74=$L74),-2,IF(SIGN($I74-$J74)=SIGN($L74-$M74),1,0)))))</x:f>
      </x:c>
      <x:c r="P74" s="59" t="str">
        <x:f>IF(OR($H74&lt;&gt;"Sim",$I74="",$J74="",$L74="",$M74=""),"",IF(AND(IF($I74&gt;$J74,$F74,IF($I74&lt;$J74,$G74,$K74))&lt;&gt;"",IF($L74&gt;$M74,$F74,IF($L74&lt;$M74,$G74,$N74))&lt;&gt;"",IF($I74&gt;$J74,$F74,IF($I74&lt;$J74,$G74,$K74))=IF($L74&gt;$M74,$F74,IF($L74&lt;$M74,$G74,$N74))),1,0))</x:f>
      </x:c>
      <x:c r="Q74" s="59" t="str">
        <x:f>IF($O74="","",$O74+$P74)</x:f>
      </x:c>
      <x:c r="R74" s="59" t="str">
        <x:f>IF($Q74="","",IF($O74=3,"Cravada",IF(AND($H74="Sim",$L74=$M74,$I74=$J74,$O74=2),"Empate cravado",IF($O74=1,"Resultado certo",IF($O74=-2,"Invertida",IF($P74=1,"Acertou quem passa","Erro"))))))</x:f>
      </x:c>
      <x:c r="S74" s="59" t="str">
        <x:f>IF($O74="","",--(OR($O74=3,AND($H74="Sim",$L74=$M74,$I74=$J74,$O74=2))))</x:f>
      </x:c>
      <x:c r="T74" s="59" t="str">
        <x:f>IF($O74="","",--($O74=-2))</x:f>
      </x:c>
      <x:c r="U74" s="59" t="str">
        <x:f>IF($O74="","",--($O74=1))</x:f>
      </x:c>
      <x:c r="V74" s="59" t="n">
        <x:f>--(AND($I74&lt;&gt;"",$J74&lt;&gt;""))</x:f>
        <x:v>0</x:v>
      </x:c>
    </x:row>
    <x:row r="75">
      <x:c r="A75" s="21" t="str">
        <x:f>INDEX(Config!$B$10:$B$16,INT((ROW()-5)/104)+1)</x:f>
        <x:v>Leo B.</x:v>
      </x:c>
      <x:c r="B75" s="21" t="str">
        <x:v>GL5</x:v>
      </x:c>
      <x:c r="C75" s="21" t="n">
        <x:v>71</x:v>
      </x:c>
      <x:c r="D75" s="21" t="str">
        <x:v>Grupo L</x:v>
      </x:c>
      <x:c r="E75" s="21" t="str">
        <x:v>2026-06-27</x:v>
      </x:c>
      <x:c r="F75" s="21" t="str">
        <x:f>IFERROR(INDEX('Resultados'!$G$5:$G$108,MATCH($B75,'Resultados'!$A$5:$A$108,0)),"")</x:f>
        <x:v>Inglaterra</x:v>
      </x:c>
      <x:c r="G75" s="21" t="str">
        <x:f>IFERROR(INDEX('Resultados'!$J$5:$J$108,MATCH($B75,'Resultados'!$A$5:$A$108,0)),"")</x:f>
        <x:v>Panamá</x:v>
      </x:c>
      <x:c r="H75" s="21" t="str">
        <x:v>Não</x:v>
      </x:c>
      <x:c r="I75" s="22"/>
      <x:c r="J75" s="22"/>
      <x:c r="K75" s="23"/>
      <x:c r="L75" s="21" t="str">
        <x:f>IFERROR(INDEX('Resultados'!$H$5:$H$108,MATCH($B75,'Resultados'!$A$5:$A$108,0)),"")</x:f>
      </x:c>
      <x:c r="M75" s="21" t="str">
        <x:f>IFERROR(INDEX('Resultados'!$I$5:$I$108,MATCH($B75,'Resultados'!$A$5:$A$108,0)),"")</x:f>
      </x:c>
      <x:c r="N75" s="21" t="str">
        <x:f>IFERROR(INDEX('Resultados'!$L$5:$L$108,MATCH($B75,'Resultados'!$A$5:$A$108,0)),"")</x:f>
      </x:c>
      <x:c r="O75" s="59" t="str">
        <x:f>IF(OR($I75="",$J75="",$L75="",$M75=""),"",IF(AND($H75="Sim",$L75=$M75),IF($I75&lt;&gt;$J75,0,IF(AND($I75=$L75,$J75=$M75),2,1)),IF(AND($I75=$L75,$J75=$M75),3,IF(AND($I75&lt;&gt;$J75,$I75=$M75,$J75=$L75),-2,IF(SIGN($I75-$J75)=SIGN($L75-$M75),1,0)))))</x:f>
      </x:c>
      <x:c r="P75" s="59" t="str">
        <x:f>IF(OR($H75&lt;&gt;"Sim",$I75="",$J75="",$L75="",$M75=""),"",IF(AND(IF($I75&gt;$J75,$F75,IF($I75&lt;$J75,$G75,$K75))&lt;&gt;"",IF($L75&gt;$M75,$F75,IF($L75&lt;$M75,$G75,$N75))&lt;&gt;"",IF($I75&gt;$J75,$F75,IF($I75&lt;$J75,$G75,$K75))=IF($L75&gt;$M75,$F75,IF($L75&lt;$M75,$G75,$N75))),1,0))</x:f>
      </x:c>
      <x:c r="Q75" s="59" t="str">
        <x:f>IF($O75="","",$O75+$P75)</x:f>
      </x:c>
      <x:c r="R75" s="59" t="str">
        <x:f>IF($Q75="","",IF($O75=3,"Cravada",IF(AND($H75="Sim",$L75=$M75,$I75=$J75,$O75=2),"Empate cravado",IF($O75=1,"Resultado certo",IF($O75=-2,"Invertida",IF($P75=1,"Acertou quem passa","Erro"))))))</x:f>
      </x:c>
      <x:c r="S75" s="59" t="str">
        <x:f>IF($O75="","",--(OR($O75=3,AND($H75="Sim",$L75=$M75,$I75=$J75,$O75=2))))</x:f>
      </x:c>
      <x:c r="T75" s="59" t="str">
        <x:f>IF($O75="","",--($O75=-2))</x:f>
      </x:c>
      <x:c r="U75" s="59" t="str">
        <x:f>IF($O75="","",--($O75=1))</x:f>
      </x:c>
      <x:c r="V75" s="59" t="n">
        <x:f>--(AND($I75&lt;&gt;"",$J75&lt;&gt;""))</x:f>
        <x:v>0</x:v>
      </x:c>
    </x:row>
    <x:row r="76">
      <x:c r="A76" s="21" t="str">
        <x:f>INDEX(Config!$B$10:$B$16,INT((ROW()-5)/104)+1)</x:f>
        <x:v>Leo B.</x:v>
      </x:c>
      <x:c r="B76" s="21" t="str">
        <x:v>GL6</x:v>
      </x:c>
      <x:c r="C76" s="21" t="n">
        <x:v>72</x:v>
      </x:c>
      <x:c r="D76" s="21" t="str">
        <x:v>Grupo L</x:v>
      </x:c>
      <x:c r="E76" s="21" t="str">
        <x:v>2026-06-27</x:v>
      </x:c>
      <x:c r="F76" s="21" t="str">
        <x:f>IFERROR(INDEX('Resultados'!$G$5:$G$108,MATCH($B76,'Resultados'!$A$5:$A$108,0)),"")</x:f>
        <x:v>Croácia</x:v>
      </x:c>
      <x:c r="G76" s="21" t="str">
        <x:f>IFERROR(INDEX('Resultados'!$J$5:$J$108,MATCH($B76,'Resultados'!$A$5:$A$108,0)),"")</x:f>
        <x:v>Gana</x:v>
      </x:c>
      <x:c r="H76" s="21" t="str">
        <x:v>Não</x:v>
      </x:c>
      <x:c r="I76" s="22"/>
      <x:c r="J76" s="22"/>
      <x:c r="K76" s="23"/>
      <x:c r="L76" s="21" t="str">
        <x:f>IFERROR(INDEX('Resultados'!$H$5:$H$108,MATCH($B76,'Resultados'!$A$5:$A$108,0)),"")</x:f>
      </x:c>
      <x:c r="M76" s="21" t="str">
        <x:f>IFERROR(INDEX('Resultados'!$I$5:$I$108,MATCH($B76,'Resultados'!$A$5:$A$108,0)),"")</x:f>
      </x:c>
      <x:c r="N76" s="21" t="str">
        <x:f>IFERROR(INDEX('Resultados'!$L$5:$L$108,MATCH($B76,'Resultados'!$A$5:$A$108,0)),"")</x:f>
      </x:c>
      <x:c r="O76" s="59" t="str">
        <x:f>IF(OR($I76="",$J76="",$L76="",$M76=""),"",IF(AND($H76="Sim",$L76=$M76),IF($I76&lt;&gt;$J76,0,IF(AND($I76=$L76,$J76=$M76),2,1)),IF(AND($I76=$L76,$J76=$M76),3,IF(AND($I76&lt;&gt;$J76,$I76=$M76,$J76=$L76),-2,IF(SIGN($I76-$J76)=SIGN($L76-$M76),1,0)))))</x:f>
      </x:c>
      <x:c r="P76" s="59" t="str">
        <x:f>IF(OR($H76&lt;&gt;"Sim",$I76="",$J76="",$L76="",$M76=""),"",IF(AND(IF($I76&gt;$J76,$F76,IF($I76&lt;$J76,$G76,$K76))&lt;&gt;"",IF($L76&gt;$M76,$F76,IF($L76&lt;$M76,$G76,$N76))&lt;&gt;"",IF($I76&gt;$J76,$F76,IF($I76&lt;$J76,$G76,$K76))=IF($L76&gt;$M76,$F76,IF($L76&lt;$M76,$G76,$N76))),1,0))</x:f>
      </x:c>
      <x:c r="Q76" s="59" t="str">
        <x:f>IF($O76="","",$O76+$P76)</x:f>
      </x:c>
      <x:c r="R76" s="59" t="str">
        <x:f>IF($Q76="","",IF($O76=3,"Cravada",IF(AND($H76="Sim",$L76=$M76,$I76=$J76,$O76=2),"Empate cravado",IF($O76=1,"Resultado certo",IF($O76=-2,"Invertida",IF($P76=1,"Acertou quem passa","Erro"))))))</x:f>
      </x:c>
      <x:c r="S76" s="59" t="str">
        <x:f>IF($O76="","",--(OR($O76=3,AND($H76="Sim",$L76=$M76,$I76=$J76,$O76=2))))</x:f>
      </x:c>
      <x:c r="T76" s="59" t="str">
        <x:f>IF($O76="","",--($O76=-2))</x:f>
      </x:c>
      <x:c r="U76" s="59" t="str">
        <x:f>IF($O76="","",--($O76=1))</x:f>
      </x:c>
      <x:c r="V76" s="59" t="n">
        <x:f>--(AND($I76&lt;&gt;"",$J76&lt;&gt;""))</x:f>
        <x:v>0</x:v>
      </x:c>
    </x:row>
    <x:row r="77">
      <x:c r="A77" s="21" t="str">
        <x:f>INDEX(Config!$B$10:$B$16,INT((ROW()-5)/104)+1)</x:f>
        <x:v>Leo B.</x:v>
      </x:c>
      <x:c r="B77" s="21" t="str">
        <x:v>R32_01</x:v>
      </x:c>
      <x:c r="C77" s="21" t="n">
        <x:v>73</x:v>
      </x:c>
      <x:c r="D77" s="21" t="str">
        <x:v>16-avos de final</x:v>
      </x:c>
      <x:c r="E77" s="21" t="str">
        <x:v>2026-06-28</x:v>
      </x:c>
      <x:c r="F77" s="21" t="str">
        <x:f>IFERROR(INDEX('Resultados'!$G$5:$G$108,MATCH($B77,'Resultados'!$A$5:$A$108,0)),"")</x:f>
        <x:v>2º Grupo A</x:v>
      </x:c>
      <x:c r="G77" s="21" t="str">
        <x:f>IFERROR(INDEX('Resultados'!$J$5:$J$108,MATCH($B77,'Resultados'!$A$5:$A$108,0)),"")</x:f>
        <x:v>2º Grupo B</x:v>
      </x:c>
      <x:c r="H77" s="21" t="str">
        <x:v>Sim</x:v>
      </x:c>
      <x:c r="I77" s="22"/>
      <x:c r="J77" s="22"/>
      <x:c r="K77" s="23"/>
      <x:c r="L77" s="21" t="str">
        <x:f>IFERROR(INDEX('Resultados'!$H$5:$H$108,MATCH($B77,'Resultados'!$A$5:$A$108,0)),"")</x:f>
      </x:c>
      <x:c r="M77" s="21" t="str">
        <x:f>IFERROR(INDEX('Resultados'!$I$5:$I$108,MATCH($B77,'Resultados'!$A$5:$A$108,0)),"")</x:f>
      </x:c>
      <x:c r="N77" s="21" t="str">
        <x:f>IFERROR(INDEX('Resultados'!$L$5:$L$108,MATCH($B77,'Resultados'!$A$5:$A$108,0)),"")</x:f>
      </x:c>
      <x:c r="O77" s="59" t="str">
        <x:f>IF(OR($I77="",$J77="",$L77="",$M77=""),"",IF(AND($H77="Sim",$L77=$M77),IF($I77&lt;&gt;$J77,0,IF(AND($I77=$L77,$J77=$M77),2,1)),IF(AND($I77=$L77,$J77=$M77),3,IF(AND($I77&lt;&gt;$J77,$I77=$M77,$J77=$L77),-2,IF(SIGN($I77-$J77)=SIGN($L77-$M77),1,0)))))</x:f>
      </x:c>
      <x:c r="P77" s="59" t="str">
        <x:f>IF(OR($H77&lt;&gt;"Sim",$I77="",$J77="",$L77="",$M77=""),"",IF(AND(IF($I77&gt;$J77,$F77,IF($I77&lt;$J77,$G77,$K77))&lt;&gt;"",IF($L77&gt;$M77,$F77,IF($L77&lt;$M77,$G77,$N77))&lt;&gt;"",IF($I77&gt;$J77,$F77,IF($I77&lt;$J77,$G77,$K77))=IF($L77&gt;$M77,$F77,IF($L77&lt;$M77,$G77,$N77))),1,0))</x:f>
      </x:c>
      <x:c r="Q77" s="59" t="str">
        <x:f>IF($O77="","",$O77+$P77)</x:f>
      </x:c>
      <x:c r="R77" s="59" t="str">
        <x:f>IF($Q77="","",IF($O77=3,"Cravada",IF(AND($H77="Sim",$L77=$M77,$I77=$J77,$O77=2),"Empate cravado",IF($O77=1,"Resultado certo",IF($O77=-2,"Invertida",IF($P77=1,"Acertou quem passa","Erro"))))))</x:f>
      </x:c>
      <x:c r="S77" s="59" t="str">
        <x:f>IF($O77="","",--(OR($O77=3,AND($H77="Sim",$L77=$M77,$I77=$J77,$O77=2))))</x:f>
      </x:c>
      <x:c r="T77" s="59" t="str">
        <x:f>IF($O77="","",--($O77=-2))</x:f>
      </x:c>
      <x:c r="U77" s="59" t="str">
        <x:f>IF($O77="","",--($O77=1))</x:f>
      </x:c>
      <x:c r="V77" s="59" t="n">
        <x:f>--(AND($I77&lt;&gt;"",$J77&lt;&gt;""))</x:f>
        <x:v>0</x:v>
      </x:c>
    </x:row>
    <x:row r="78">
      <x:c r="A78" s="21" t="str">
        <x:f>INDEX(Config!$B$10:$B$16,INT((ROW()-5)/104)+1)</x:f>
        <x:v>Leo B.</x:v>
      </x:c>
      <x:c r="B78" s="21" t="str">
        <x:v>R32_02</x:v>
      </x:c>
      <x:c r="C78" s="21" t="n">
        <x:v>74</x:v>
      </x:c>
      <x:c r="D78" s="21" t="str">
        <x:v>16-avos de final</x:v>
      </x:c>
      <x:c r="E78" s="21" t="str">
        <x:v>2026-06-29</x:v>
      </x:c>
      <x:c r="F78" s="21" t="str">
        <x:f>IFERROR(INDEX('Resultados'!$G$5:$G$108,MATCH($B78,'Resultados'!$A$5:$A$108,0)),"")</x:f>
        <x:v>1º Grupo E</x:v>
      </x:c>
      <x:c r="G78" s="21" t="str">
        <x:f>IFERROR(INDEX('Resultados'!$J$5:$J$108,MATCH($B78,'Resultados'!$A$5:$A$108,0)),"")</x:f>
        <x:v>3º A/B/C/D/F</x:v>
      </x:c>
      <x:c r="H78" s="21" t="str">
        <x:v>Sim</x:v>
      </x:c>
      <x:c r="I78" s="22"/>
      <x:c r="J78" s="22"/>
      <x:c r="K78" s="23"/>
      <x:c r="L78" s="21" t="str">
        <x:f>IFERROR(INDEX('Resultados'!$H$5:$H$108,MATCH($B78,'Resultados'!$A$5:$A$108,0)),"")</x:f>
      </x:c>
      <x:c r="M78" s="21" t="str">
        <x:f>IFERROR(INDEX('Resultados'!$I$5:$I$108,MATCH($B78,'Resultados'!$A$5:$A$108,0)),"")</x:f>
      </x:c>
      <x:c r="N78" s="21" t="str">
        <x:f>IFERROR(INDEX('Resultados'!$L$5:$L$108,MATCH($B78,'Resultados'!$A$5:$A$108,0)),"")</x:f>
      </x:c>
      <x:c r="O78" s="59" t="str">
        <x:f>IF(OR($I78="",$J78="",$L78="",$M78=""),"",IF(AND($H78="Sim",$L78=$M78),IF($I78&lt;&gt;$J78,0,IF(AND($I78=$L78,$J78=$M78),2,1)),IF(AND($I78=$L78,$J78=$M78),3,IF(AND($I78&lt;&gt;$J78,$I78=$M78,$J78=$L78),-2,IF(SIGN($I78-$J78)=SIGN($L78-$M78),1,0)))))</x:f>
      </x:c>
      <x:c r="P78" s="59" t="str">
        <x:f>IF(OR($H78&lt;&gt;"Sim",$I78="",$J78="",$L78="",$M78=""),"",IF(AND(IF($I78&gt;$J78,$F78,IF($I78&lt;$J78,$G78,$K78))&lt;&gt;"",IF($L78&gt;$M78,$F78,IF($L78&lt;$M78,$G78,$N78))&lt;&gt;"",IF($I78&gt;$J78,$F78,IF($I78&lt;$J78,$G78,$K78))=IF($L78&gt;$M78,$F78,IF($L78&lt;$M78,$G78,$N78))),1,0))</x:f>
      </x:c>
      <x:c r="Q78" s="59" t="str">
        <x:f>IF($O78="","",$O78+$P78)</x:f>
      </x:c>
      <x:c r="R78" s="59" t="str">
        <x:f>IF($Q78="","",IF($O78=3,"Cravada",IF(AND($H78="Sim",$L78=$M78,$I78=$J78,$O78=2),"Empate cravado",IF($O78=1,"Resultado certo",IF($O78=-2,"Invertida",IF($P78=1,"Acertou quem passa","Erro"))))))</x:f>
      </x:c>
      <x:c r="S78" s="59" t="str">
        <x:f>IF($O78="","",--(OR($O78=3,AND($H78="Sim",$L78=$M78,$I78=$J78,$O78=2))))</x:f>
      </x:c>
      <x:c r="T78" s="59" t="str">
        <x:f>IF($O78="","",--($O78=-2))</x:f>
      </x:c>
      <x:c r="U78" s="59" t="str">
        <x:f>IF($O78="","",--($O78=1))</x:f>
      </x:c>
      <x:c r="V78" s="59" t="n">
        <x:f>--(AND($I78&lt;&gt;"",$J78&lt;&gt;""))</x:f>
        <x:v>0</x:v>
      </x:c>
    </x:row>
    <x:row r="79">
      <x:c r="A79" s="21" t="str">
        <x:f>INDEX(Config!$B$10:$B$16,INT((ROW()-5)/104)+1)</x:f>
        <x:v>Leo B.</x:v>
      </x:c>
      <x:c r="B79" s="21" t="str">
        <x:v>R32_03</x:v>
      </x:c>
      <x:c r="C79" s="21" t="n">
        <x:v>75</x:v>
      </x:c>
      <x:c r="D79" s="21" t="str">
        <x:v>16-avos de final</x:v>
      </x:c>
      <x:c r="E79" s="21" t="str">
        <x:v>2026-06-29</x:v>
      </x:c>
      <x:c r="F79" s="21" t="str">
        <x:f>IFERROR(INDEX('Resultados'!$G$5:$G$108,MATCH($B79,'Resultados'!$A$5:$A$108,0)),"")</x:f>
        <x:v>1º Grupo F</x:v>
      </x:c>
      <x:c r="G79" s="21" t="str">
        <x:f>IFERROR(INDEX('Resultados'!$J$5:$J$108,MATCH($B79,'Resultados'!$A$5:$A$108,0)),"")</x:f>
        <x:v>2º Grupo C</x:v>
      </x:c>
      <x:c r="H79" s="21" t="str">
        <x:v>Sim</x:v>
      </x:c>
      <x:c r="I79" s="22"/>
      <x:c r="J79" s="22"/>
      <x:c r="K79" s="23"/>
      <x:c r="L79" s="21" t="str">
        <x:f>IFERROR(INDEX('Resultados'!$H$5:$H$108,MATCH($B79,'Resultados'!$A$5:$A$108,0)),"")</x:f>
      </x:c>
      <x:c r="M79" s="21" t="str">
        <x:f>IFERROR(INDEX('Resultados'!$I$5:$I$108,MATCH($B79,'Resultados'!$A$5:$A$108,0)),"")</x:f>
      </x:c>
      <x:c r="N79" s="21" t="str">
        <x:f>IFERROR(INDEX('Resultados'!$L$5:$L$108,MATCH($B79,'Resultados'!$A$5:$A$108,0)),"")</x:f>
      </x:c>
      <x:c r="O79" s="59" t="str">
        <x:f>IF(OR($I79="",$J79="",$L79="",$M79=""),"",IF(AND($H79="Sim",$L79=$M79),IF($I79&lt;&gt;$J79,0,IF(AND($I79=$L79,$J79=$M79),2,1)),IF(AND($I79=$L79,$J79=$M79),3,IF(AND($I79&lt;&gt;$J79,$I79=$M79,$J79=$L79),-2,IF(SIGN($I79-$J79)=SIGN($L79-$M79),1,0)))))</x:f>
      </x:c>
      <x:c r="P79" s="59" t="str">
        <x:f>IF(OR($H79&lt;&gt;"Sim",$I79="",$J79="",$L79="",$M79=""),"",IF(AND(IF($I79&gt;$J79,$F79,IF($I79&lt;$J79,$G79,$K79))&lt;&gt;"",IF($L79&gt;$M79,$F79,IF($L79&lt;$M79,$G79,$N79))&lt;&gt;"",IF($I79&gt;$J79,$F79,IF($I79&lt;$J79,$G79,$K79))=IF($L79&gt;$M79,$F79,IF($L79&lt;$M79,$G79,$N79))),1,0))</x:f>
      </x:c>
      <x:c r="Q79" s="59" t="str">
        <x:f>IF($O79="","",$O79+$P79)</x:f>
      </x:c>
      <x:c r="R79" s="59" t="str">
        <x:f>IF($Q79="","",IF($O79=3,"Cravada",IF(AND($H79="Sim",$L79=$M79,$I79=$J79,$O79=2),"Empate cravado",IF($O79=1,"Resultado certo",IF($O79=-2,"Invertida",IF($P79=1,"Acertou quem passa","Erro"))))))</x:f>
      </x:c>
      <x:c r="S79" s="59" t="str">
        <x:f>IF($O79="","",--(OR($O79=3,AND($H79="Sim",$L79=$M79,$I79=$J79,$O79=2))))</x:f>
      </x:c>
      <x:c r="T79" s="59" t="str">
        <x:f>IF($O79="","",--($O79=-2))</x:f>
      </x:c>
      <x:c r="U79" s="59" t="str">
        <x:f>IF($O79="","",--($O79=1))</x:f>
      </x:c>
      <x:c r="V79" s="59" t="n">
        <x:f>--(AND($I79&lt;&gt;"",$J79&lt;&gt;""))</x:f>
        <x:v>0</x:v>
      </x:c>
    </x:row>
    <x:row r="80">
      <x:c r="A80" s="21" t="str">
        <x:f>INDEX(Config!$B$10:$B$16,INT((ROW()-5)/104)+1)</x:f>
        <x:v>Leo B.</x:v>
      </x:c>
      <x:c r="B80" s="21" t="str">
        <x:v>R32_04</x:v>
      </x:c>
      <x:c r="C80" s="21" t="n">
        <x:v>76</x:v>
      </x:c>
      <x:c r="D80" s="21" t="str">
        <x:v>16-avos de final</x:v>
      </x:c>
      <x:c r="E80" s="21" t="str">
        <x:v>2026-06-29</x:v>
      </x:c>
      <x:c r="F80" s="21" t="str">
        <x:f>IFERROR(INDEX('Resultados'!$G$5:$G$108,MATCH($B80,'Resultados'!$A$5:$A$108,0)),"")</x:f>
        <x:v>1º Grupo C</x:v>
      </x:c>
      <x:c r="G80" s="21" t="str">
        <x:f>IFERROR(INDEX('Resultados'!$J$5:$J$108,MATCH($B80,'Resultados'!$A$5:$A$108,0)),"")</x:f>
        <x:v>2º Grupo F</x:v>
      </x:c>
      <x:c r="H80" s="21" t="str">
        <x:v>Sim</x:v>
      </x:c>
      <x:c r="I80" s="22"/>
      <x:c r="J80" s="22"/>
      <x:c r="K80" s="23"/>
      <x:c r="L80" s="21" t="str">
        <x:f>IFERROR(INDEX('Resultados'!$H$5:$H$108,MATCH($B80,'Resultados'!$A$5:$A$108,0)),"")</x:f>
      </x:c>
      <x:c r="M80" s="21" t="str">
        <x:f>IFERROR(INDEX('Resultados'!$I$5:$I$108,MATCH($B80,'Resultados'!$A$5:$A$108,0)),"")</x:f>
      </x:c>
      <x:c r="N80" s="21" t="str">
        <x:f>IFERROR(INDEX('Resultados'!$L$5:$L$108,MATCH($B80,'Resultados'!$A$5:$A$108,0)),"")</x:f>
      </x:c>
      <x:c r="O80" s="59" t="str">
        <x:f>IF(OR($I80="",$J80="",$L80="",$M80=""),"",IF(AND($H80="Sim",$L80=$M80),IF($I80&lt;&gt;$J80,0,IF(AND($I80=$L80,$J80=$M80),2,1)),IF(AND($I80=$L80,$J80=$M80),3,IF(AND($I80&lt;&gt;$J80,$I80=$M80,$J80=$L80),-2,IF(SIGN($I80-$J80)=SIGN($L80-$M80),1,0)))))</x:f>
      </x:c>
      <x:c r="P80" s="59" t="str">
        <x:f>IF(OR($H80&lt;&gt;"Sim",$I80="",$J80="",$L80="",$M80=""),"",IF(AND(IF($I80&gt;$J80,$F80,IF($I80&lt;$J80,$G80,$K80))&lt;&gt;"",IF($L80&gt;$M80,$F80,IF($L80&lt;$M80,$G80,$N80))&lt;&gt;"",IF($I80&gt;$J80,$F80,IF($I80&lt;$J80,$G80,$K80))=IF($L80&gt;$M80,$F80,IF($L80&lt;$M80,$G80,$N80))),1,0))</x:f>
      </x:c>
      <x:c r="Q80" s="59" t="str">
        <x:f>IF($O80="","",$O80+$P80)</x:f>
      </x:c>
      <x:c r="R80" s="59" t="str">
        <x:f>IF($Q80="","",IF($O80=3,"Cravada",IF(AND($H80="Sim",$L80=$M80,$I80=$J80,$O80=2),"Empate cravado",IF($O80=1,"Resultado certo",IF($O80=-2,"Invertida",IF($P80=1,"Acertou quem passa","Erro"))))))</x:f>
      </x:c>
      <x:c r="S80" s="59" t="str">
        <x:f>IF($O80="","",--(OR($O80=3,AND($H80="Sim",$L80=$M80,$I80=$J80,$O80=2))))</x:f>
      </x:c>
      <x:c r="T80" s="59" t="str">
        <x:f>IF($O80="","",--($O80=-2))</x:f>
      </x:c>
      <x:c r="U80" s="59" t="str">
        <x:f>IF($O80="","",--($O80=1))</x:f>
      </x:c>
      <x:c r="V80" s="59" t="n">
        <x:f>--(AND($I80&lt;&gt;"",$J80&lt;&gt;""))</x:f>
        <x:v>0</x:v>
      </x:c>
    </x:row>
    <x:row r="81">
      <x:c r="A81" s="21" t="str">
        <x:f>INDEX(Config!$B$10:$B$16,INT((ROW()-5)/104)+1)</x:f>
        <x:v>Leo B.</x:v>
      </x:c>
      <x:c r="B81" s="21" t="str">
        <x:v>R32_05</x:v>
      </x:c>
      <x:c r="C81" s="21" t="n">
        <x:v>77</x:v>
      </x:c>
      <x:c r="D81" s="21" t="str">
        <x:v>16-avos de final</x:v>
      </x:c>
      <x:c r="E81" s="21" t="str">
        <x:v>2026-06-30</x:v>
      </x:c>
      <x:c r="F81" s="21" t="str">
        <x:f>IFERROR(INDEX('Resultados'!$G$5:$G$108,MATCH($B81,'Resultados'!$A$5:$A$108,0)),"")</x:f>
        <x:v>1º Grupo I</x:v>
      </x:c>
      <x:c r="G81" s="21" t="str">
        <x:f>IFERROR(INDEX('Resultados'!$J$5:$J$108,MATCH($B81,'Resultados'!$A$5:$A$108,0)),"")</x:f>
        <x:v>3º C/D/F/G/H</x:v>
      </x:c>
      <x:c r="H81" s="21" t="str">
        <x:v>Sim</x:v>
      </x:c>
      <x:c r="I81" s="22"/>
      <x:c r="J81" s="22"/>
      <x:c r="K81" s="23"/>
      <x:c r="L81" s="21" t="str">
        <x:f>IFERROR(INDEX('Resultados'!$H$5:$H$108,MATCH($B81,'Resultados'!$A$5:$A$108,0)),"")</x:f>
      </x:c>
      <x:c r="M81" s="21" t="str">
        <x:f>IFERROR(INDEX('Resultados'!$I$5:$I$108,MATCH($B81,'Resultados'!$A$5:$A$108,0)),"")</x:f>
      </x:c>
      <x:c r="N81" s="21" t="str">
        <x:f>IFERROR(INDEX('Resultados'!$L$5:$L$108,MATCH($B81,'Resultados'!$A$5:$A$108,0)),"")</x:f>
      </x:c>
      <x:c r="O81" s="59" t="str">
        <x:f>IF(OR($I81="",$J81="",$L81="",$M81=""),"",IF(AND($H81="Sim",$L81=$M81),IF($I81&lt;&gt;$J81,0,IF(AND($I81=$L81,$J81=$M81),2,1)),IF(AND($I81=$L81,$J81=$M81),3,IF(AND($I81&lt;&gt;$J81,$I81=$M81,$J81=$L81),-2,IF(SIGN($I81-$J81)=SIGN($L81-$M81),1,0)))))</x:f>
      </x:c>
      <x:c r="P81" s="59" t="str">
        <x:f>IF(OR($H81&lt;&gt;"Sim",$I81="",$J81="",$L81="",$M81=""),"",IF(AND(IF($I81&gt;$J81,$F81,IF($I81&lt;$J81,$G81,$K81))&lt;&gt;"",IF($L81&gt;$M81,$F81,IF($L81&lt;$M81,$G81,$N81))&lt;&gt;"",IF($I81&gt;$J81,$F81,IF($I81&lt;$J81,$G81,$K81))=IF($L81&gt;$M81,$F81,IF($L81&lt;$M81,$G81,$N81))),1,0))</x:f>
      </x:c>
      <x:c r="Q81" s="59" t="str">
        <x:f>IF($O81="","",$O81+$P81)</x:f>
      </x:c>
      <x:c r="R81" s="59" t="str">
        <x:f>IF($Q81="","",IF($O81=3,"Cravada",IF(AND($H81="Sim",$L81=$M81,$I81=$J81,$O81=2),"Empate cravado",IF($O81=1,"Resultado certo",IF($O81=-2,"Invertida",IF($P81=1,"Acertou quem passa","Erro"))))))</x:f>
      </x:c>
      <x:c r="S81" s="59" t="str">
        <x:f>IF($O81="","",--(OR($O81=3,AND($H81="Sim",$L81=$M81,$I81=$J81,$O81=2))))</x:f>
      </x:c>
      <x:c r="T81" s="59" t="str">
        <x:f>IF($O81="","",--($O81=-2))</x:f>
      </x:c>
      <x:c r="U81" s="59" t="str">
        <x:f>IF($O81="","",--($O81=1))</x:f>
      </x:c>
      <x:c r="V81" s="59" t="n">
        <x:f>--(AND($I81&lt;&gt;"",$J81&lt;&gt;""))</x:f>
        <x:v>0</x:v>
      </x:c>
    </x:row>
    <x:row r="82">
      <x:c r="A82" s="21" t="str">
        <x:f>INDEX(Config!$B$10:$B$16,INT((ROW()-5)/104)+1)</x:f>
        <x:v>Leo B.</x:v>
      </x:c>
      <x:c r="B82" s="21" t="str">
        <x:v>R32_06</x:v>
      </x:c>
      <x:c r="C82" s="21" t="n">
        <x:v>78</x:v>
      </x:c>
      <x:c r="D82" s="21" t="str">
        <x:v>16-avos de final</x:v>
      </x:c>
      <x:c r="E82" s="21" t="str">
        <x:v>2026-06-30</x:v>
      </x:c>
      <x:c r="F82" s="21" t="str">
        <x:f>IFERROR(INDEX('Resultados'!$G$5:$G$108,MATCH($B82,'Resultados'!$A$5:$A$108,0)),"")</x:f>
        <x:v>2º Grupo E</x:v>
      </x:c>
      <x:c r="G82" s="21" t="str">
        <x:f>IFERROR(INDEX('Resultados'!$J$5:$J$108,MATCH($B82,'Resultados'!$A$5:$A$108,0)),"")</x:f>
        <x:v>2º Grupo I</x:v>
      </x:c>
      <x:c r="H82" s="21" t="str">
        <x:v>Sim</x:v>
      </x:c>
      <x:c r="I82" s="22"/>
      <x:c r="J82" s="22"/>
      <x:c r="K82" s="23"/>
      <x:c r="L82" s="21" t="str">
        <x:f>IFERROR(INDEX('Resultados'!$H$5:$H$108,MATCH($B82,'Resultados'!$A$5:$A$108,0)),"")</x:f>
      </x:c>
      <x:c r="M82" s="21" t="str">
        <x:f>IFERROR(INDEX('Resultados'!$I$5:$I$108,MATCH($B82,'Resultados'!$A$5:$A$108,0)),"")</x:f>
      </x:c>
      <x:c r="N82" s="21" t="str">
        <x:f>IFERROR(INDEX('Resultados'!$L$5:$L$108,MATCH($B82,'Resultados'!$A$5:$A$108,0)),"")</x:f>
      </x:c>
      <x:c r="O82" s="59" t="str">
        <x:f>IF(OR($I82="",$J82="",$L82="",$M82=""),"",IF(AND($H82="Sim",$L82=$M82),IF($I82&lt;&gt;$J82,0,IF(AND($I82=$L82,$J82=$M82),2,1)),IF(AND($I82=$L82,$J82=$M82),3,IF(AND($I82&lt;&gt;$J82,$I82=$M82,$J82=$L82),-2,IF(SIGN($I82-$J82)=SIGN($L82-$M82),1,0)))))</x:f>
      </x:c>
      <x:c r="P82" s="59" t="str">
        <x:f>IF(OR($H82&lt;&gt;"Sim",$I82="",$J82="",$L82="",$M82=""),"",IF(AND(IF($I82&gt;$J82,$F82,IF($I82&lt;$J82,$G82,$K82))&lt;&gt;"",IF($L82&gt;$M82,$F82,IF($L82&lt;$M82,$G82,$N82))&lt;&gt;"",IF($I82&gt;$J82,$F82,IF($I82&lt;$J82,$G82,$K82))=IF($L82&gt;$M82,$F82,IF($L82&lt;$M82,$G82,$N82))),1,0))</x:f>
      </x:c>
      <x:c r="Q82" s="59" t="str">
        <x:f>IF($O82="","",$O82+$P82)</x:f>
      </x:c>
      <x:c r="R82" s="59" t="str">
        <x:f>IF($Q82="","",IF($O82=3,"Cravada",IF(AND($H82="Sim",$L82=$M82,$I82=$J82,$O82=2),"Empate cravado",IF($O82=1,"Resultado certo",IF($O82=-2,"Invertida",IF($P82=1,"Acertou quem passa","Erro"))))))</x:f>
      </x:c>
      <x:c r="S82" s="59" t="str">
        <x:f>IF($O82="","",--(OR($O82=3,AND($H82="Sim",$L82=$M82,$I82=$J82,$O82=2))))</x:f>
      </x:c>
      <x:c r="T82" s="59" t="str">
        <x:f>IF($O82="","",--($O82=-2))</x:f>
      </x:c>
      <x:c r="U82" s="59" t="str">
        <x:f>IF($O82="","",--($O82=1))</x:f>
      </x:c>
      <x:c r="V82" s="59" t="n">
        <x:f>--(AND($I82&lt;&gt;"",$J82&lt;&gt;""))</x:f>
        <x:v>0</x:v>
      </x:c>
    </x:row>
    <x:row r="83">
      <x:c r="A83" s="21" t="str">
        <x:f>INDEX(Config!$B$10:$B$16,INT((ROW()-5)/104)+1)</x:f>
        <x:v>Leo B.</x:v>
      </x:c>
      <x:c r="B83" s="21" t="str">
        <x:v>R32_07</x:v>
      </x:c>
      <x:c r="C83" s="21" t="n">
        <x:v>79</x:v>
      </x:c>
      <x:c r="D83" s="21" t="str">
        <x:v>16-avos de final</x:v>
      </x:c>
      <x:c r="E83" s="21" t="str">
        <x:v>2026-06-30</x:v>
      </x:c>
      <x:c r="F83" s="21" t="str">
        <x:f>IFERROR(INDEX('Resultados'!$G$5:$G$108,MATCH($B83,'Resultados'!$A$5:$A$108,0)),"")</x:f>
        <x:v>1º Grupo A</x:v>
      </x:c>
      <x:c r="G83" s="21" t="str">
        <x:f>IFERROR(INDEX('Resultados'!$J$5:$J$108,MATCH($B83,'Resultados'!$A$5:$A$108,0)),"")</x:f>
        <x:v>3º C/E/F/H/I</x:v>
      </x:c>
      <x:c r="H83" s="21" t="str">
        <x:v>Sim</x:v>
      </x:c>
      <x:c r="I83" s="22"/>
      <x:c r="J83" s="22"/>
      <x:c r="K83" s="23"/>
      <x:c r="L83" s="21" t="str">
        <x:f>IFERROR(INDEX('Resultados'!$H$5:$H$108,MATCH($B83,'Resultados'!$A$5:$A$108,0)),"")</x:f>
      </x:c>
      <x:c r="M83" s="21" t="str">
        <x:f>IFERROR(INDEX('Resultados'!$I$5:$I$108,MATCH($B83,'Resultados'!$A$5:$A$108,0)),"")</x:f>
      </x:c>
      <x:c r="N83" s="21" t="str">
        <x:f>IFERROR(INDEX('Resultados'!$L$5:$L$108,MATCH($B83,'Resultados'!$A$5:$A$108,0)),"")</x:f>
      </x:c>
      <x:c r="O83" s="59" t="str">
        <x:f>IF(OR($I83="",$J83="",$L83="",$M83=""),"",IF(AND($H83="Sim",$L83=$M83),IF($I83&lt;&gt;$J83,0,IF(AND($I83=$L83,$J83=$M83),2,1)),IF(AND($I83=$L83,$J83=$M83),3,IF(AND($I83&lt;&gt;$J83,$I83=$M83,$J83=$L83),-2,IF(SIGN($I83-$J83)=SIGN($L83-$M83),1,0)))))</x:f>
      </x:c>
      <x:c r="P83" s="59" t="str">
        <x:f>IF(OR($H83&lt;&gt;"Sim",$I83="",$J83="",$L83="",$M83=""),"",IF(AND(IF($I83&gt;$J83,$F83,IF($I83&lt;$J83,$G83,$K83))&lt;&gt;"",IF($L83&gt;$M83,$F83,IF($L83&lt;$M83,$G83,$N83))&lt;&gt;"",IF($I83&gt;$J83,$F83,IF($I83&lt;$J83,$G83,$K83))=IF($L83&gt;$M83,$F83,IF($L83&lt;$M83,$G83,$N83))),1,0))</x:f>
      </x:c>
      <x:c r="Q83" s="59" t="str">
        <x:f>IF($O83="","",$O83+$P83)</x:f>
      </x:c>
      <x:c r="R83" s="59" t="str">
        <x:f>IF($Q83="","",IF($O83=3,"Cravada",IF(AND($H83="Sim",$L83=$M83,$I83=$J83,$O83=2),"Empate cravado",IF($O83=1,"Resultado certo",IF($O83=-2,"Invertida",IF($P83=1,"Acertou quem passa","Erro"))))))</x:f>
      </x:c>
      <x:c r="S83" s="59" t="str">
        <x:f>IF($O83="","",--(OR($O83=3,AND($H83="Sim",$L83=$M83,$I83=$J83,$O83=2))))</x:f>
      </x:c>
      <x:c r="T83" s="59" t="str">
        <x:f>IF($O83="","",--($O83=-2))</x:f>
      </x:c>
      <x:c r="U83" s="59" t="str">
        <x:f>IF($O83="","",--($O83=1))</x:f>
      </x:c>
      <x:c r="V83" s="59" t="n">
        <x:f>--(AND($I83&lt;&gt;"",$J83&lt;&gt;""))</x:f>
        <x:v>0</x:v>
      </x:c>
    </x:row>
    <x:row r="84">
      <x:c r="A84" s="21" t="str">
        <x:f>INDEX(Config!$B$10:$B$16,INT((ROW()-5)/104)+1)</x:f>
        <x:v>Leo B.</x:v>
      </x:c>
      <x:c r="B84" s="21" t="str">
        <x:v>R32_08</x:v>
      </x:c>
      <x:c r="C84" s="21" t="n">
        <x:v>80</x:v>
      </x:c>
      <x:c r="D84" s="21" t="str">
        <x:v>16-avos de final</x:v>
      </x:c>
      <x:c r="E84" s="21" t="str">
        <x:v>2026-07-01</x:v>
      </x:c>
      <x:c r="F84" s="21" t="str">
        <x:f>IFERROR(INDEX('Resultados'!$G$5:$G$108,MATCH($B84,'Resultados'!$A$5:$A$108,0)),"")</x:f>
        <x:v>1º Grupo L</x:v>
      </x:c>
      <x:c r="G84" s="21" t="str">
        <x:f>IFERROR(INDEX('Resultados'!$J$5:$J$108,MATCH($B84,'Resultados'!$A$5:$A$108,0)),"")</x:f>
        <x:v>3º E/H/I/J/K</x:v>
      </x:c>
      <x:c r="H84" s="21" t="str">
        <x:v>Sim</x:v>
      </x:c>
      <x:c r="I84" s="22"/>
      <x:c r="J84" s="22"/>
      <x:c r="K84" s="23"/>
      <x:c r="L84" s="21" t="str">
        <x:f>IFERROR(INDEX('Resultados'!$H$5:$H$108,MATCH($B84,'Resultados'!$A$5:$A$108,0)),"")</x:f>
      </x:c>
      <x:c r="M84" s="21" t="str">
        <x:f>IFERROR(INDEX('Resultados'!$I$5:$I$108,MATCH($B84,'Resultados'!$A$5:$A$108,0)),"")</x:f>
      </x:c>
      <x:c r="N84" s="21" t="str">
        <x:f>IFERROR(INDEX('Resultados'!$L$5:$L$108,MATCH($B84,'Resultados'!$A$5:$A$108,0)),"")</x:f>
      </x:c>
      <x:c r="O84" s="59" t="str">
        <x:f>IF(OR($I84="",$J84="",$L84="",$M84=""),"",IF(AND($H84="Sim",$L84=$M84),IF($I84&lt;&gt;$J84,0,IF(AND($I84=$L84,$J84=$M84),2,1)),IF(AND($I84=$L84,$J84=$M84),3,IF(AND($I84&lt;&gt;$J84,$I84=$M84,$J84=$L84),-2,IF(SIGN($I84-$J84)=SIGN($L84-$M84),1,0)))))</x:f>
      </x:c>
      <x:c r="P84" s="59" t="str">
        <x:f>IF(OR($H84&lt;&gt;"Sim",$I84="",$J84="",$L84="",$M84=""),"",IF(AND(IF($I84&gt;$J84,$F84,IF($I84&lt;$J84,$G84,$K84))&lt;&gt;"",IF($L84&gt;$M84,$F84,IF($L84&lt;$M84,$G84,$N84))&lt;&gt;"",IF($I84&gt;$J84,$F84,IF($I84&lt;$J84,$G84,$K84))=IF($L84&gt;$M84,$F84,IF($L84&lt;$M84,$G84,$N84))),1,0))</x:f>
      </x:c>
      <x:c r="Q84" s="59" t="str">
        <x:f>IF($O84="","",$O84+$P84)</x:f>
      </x:c>
      <x:c r="R84" s="59" t="str">
        <x:f>IF($Q84="","",IF($O84=3,"Cravada",IF(AND($H84="Sim",$L84=$M84,$I84=$J84,$O84=2),"Empate cravado",IF($O84=1,"Resultado certo",IF($O84=-2,"Invertida",IF($P84=1,"Acertou quem passa","Erro"))))))</x:f>
      </x:c>
      <x:c r="S84" s="59" t="str">
        <x:f>IF($O84="","",--(OR($O84=3,AND($H84="Sim",$L84=$M84,$I84=$J84,$O84=2))))</x:f>
      </x:c>
      <x:c r="T84" s="59" t="str">
        <x:f>IF($O84="","",--($O84=-2))</x:f>
      </x:c>
      <x:c r="U84" s="59" t="str">
        <x:f>IF($O84="","",--($O84=1))</x:f>
      </x:c>
      <x:c r="V84" s="59" t="n">
        <x:f>--(AND($I84&lt;&gt;"",$J84&lt;&gt;""))</x:f>
        <x:v>0</x:v>
      </x:c>
    </x:row>
    <x:row r="85">
      <x:c r="A85" s="21" t="str">
        <x:f>INDEX(Config!$B$10:$B$16,INT((ROW()-5)/104)+1)</x:f>
        <x:v>Leo B.</x:v>
      </x:c>
      <x:c r="B85" s="21" t="str">
        <x:v>R32_09</x:v>
      </x:c>
      <x:c r="C85" s="21" t="n">
        <x:v>81</x:v>
      </x:c>
      <x:c r="D85" s="21" t="str">
        <x:v>16-avos de final</x:v>
      </x:c>
      <x:c r="E85" s="21" t="str">
        <x:v>2026-07-01</x:v>
      </x:c>
      <x:c r="F85" s="21" t="str">
        <x:f>IFERROR(INDEX('Resultados'!$G$5:$G$108,MATCH($B85,'Resultados'!$A$5:$A$108,0)),"")</x:f>
        <x:v>1º Grupo D</x:v>
      </x:c>
      <x:c r="G85" s="21" t="str">
        <x:f>IFERROR(INDEX('Resultados'!$J$5:$J$108,MATCH($B85,'Resultados'!$A$5:$A$108,0)),"")</x:f>
        <x:v>3º B/E/F/I/J</x:v>
      </x:c>
      <x:c r="H85" s="21" t="str">
        <x:v>Sim</x:v>
      </x:c>
      <x:c r="I85" s="22"/>
      <x:c r="J85" s="22"/>
      <x:c r="K85" s="23"/>
      <x:c r="L85" s="21" t="str">
        <x:f>IFERROR(INDEX('Resultados'!$H$5:$H$108,MATCH($B85,'Resultados'!$A$5:$A$108,0)),"")</x:f>
      </x:c>
      <x:c r="M85" s="21" t="str">
        <x:f>IFERROR(INDEX('Resultados'!$I$5:$I$108,MATCH($B85,'Resultados'!$A$5:$A$108,0)),"")</x:f>
      </x:c>
      <x:c r="N85" s="21" t="str">
        <x:f>IFERROR(INDEX('Resultados'!$L$5:$L$108,MATCH($B85,'Resultados'!$A$5:$A$108,0)),"")</x:f>
      </x:c>
      <x:c r="O85" s="59" t="str">
        <x:f>IF(OR($I85="",$J85="",$L85="",$M85=""),"",IF(AND($H85="Sim",$L85=$M85),IF($I85&lt;&gt;$J85,0,IF(AND($I85=$L85,$J85=$M85),2,1)),IF(AND($I85=$L85,$J85=$M85),3,IF(AND($I85&lt;&gt;$J85,$I85=$M85,$J85=$L85),-2,IF(SIGN($I85-$J85)=SIGN($L85-$M85),1,0)))))</x:f>
      </x:c>
      <x:c r="P85" s="59" t="str">
        <x:f>IF(OR($H85&lt;&gt;"Sim",$I85="",$J85="",$L85="",$M85=""),"",IF(AND(IF($I85&gt;$J85,$F85,IF($I85&lt;$J85,$G85,$K85))&lt;&gt;"",IF($L85&gt;$M85,$F85,IF($L85&lt;$M85,$G85,$N85))&lt;&gt;"",IF($I85&gt;$J85,$F85,IF($I85&lt;$J85,$G85,$K85))=IF($L85&gt;$M85,$F85,IF($L85&lt;$M85,$G85,$N85))),1,0))</x:f>
      </x:c>
      <x:c r="Q85" s="59" t="str">
        <x:f>IF($O85="","",$O85+$P85)</x:f>
      </x:c>
      <x:c r="R85" s="59" t="str">
        <x:f>IF($Q85="","",IF($O85=3,"Cravada",IF(AND($H85="Sim",$L85=$M85,$I85=$J85,$O85=2),"Empate cravado",IF($O85=1,"Resultado certo",IF($O85=-2,"Invertida",IF($P85=1,"Acertou quem passa","Erro"))))))</x:f>
      </x:c>
      <x:c r="S85" s="59" t="str">
        <x:f>IF($O85="","",--(OR($O85=3,AND($H85="Sim",$L85=$M85,$I85=$J85,$O85=2))))</x:f>
      </x:c>
      <x:c r="T85" s="59" t="str">
        <x:f>IF($O85="","",--($O85=-2))</x:f>
      </x:c>
      <x:c r="U85" s="59" t="str">
        <x:f>IF($O85="","",--($O85=1))</x:f>
      </x:c>
      <x:c r="V85" s="59" t="n">
        <x:f>--(AND($I85&lt;&gt;"",$J85&lt;&gt;""))</x:f>
        <x:v>0</x:v>
      </x:c>
    </x:row>
    <x:row r="86">
      <x:c r="A86" s="21" t="str">
        <x:f>INDEX(Config!$B$10:$B$16,INT((ROW()-5)/104)+1)</x:f>
        <x:v>Leo B.</x:v>
      </x:c>
      <x:c r="B86" s="21" t="str">
        <x:v>R32_10</x:v>
      </x:c>
      <x:c r="C86" s="21" t="n">
        <x:v>82</x:v>
      </x:c>
      <x:c r="D86" s="21" t="str">
        <x:v>16-avos de final</x:v>
      </x:c>
      <x:c r="E86" s="21" t="str">
        <x:v>2026-07-01</x:v>
      </x:c>
      <x:c r="F86" s="21" t="str">
        <x:f>IFERROR(INDEX('Resultados'!$G$5:$G$108,MATCH($B86,'Resultados'!$A$5:$A$108,0)),"")</x:f>
        <x:v>1º Grupo G</x:v>
      </x:c>
      <x:c r="G86" s="21" t="str">
        <x:f>IFERROR(INDEX('Resultados'!$J$5:$J$108,MATCH($B86,'Resultados'!$A$5:$A$108,0)),"")</x:f>
        <x:v>3º A/E/H/I/J</x:v>
      </x:c>
      <x:c r="H86" s="21" t="str">
        <x:v>Sim</x:v>
      </x:c>
      <x:c r="I86" s="22"/>
      <x:c r="J86" s="22"/>
      <x:c r="K86" s="23"/>
      <x:c r="L86" s="21" t="str">
        <x:f>IFERROR(INDEX('Resultados'!$H$5:$H$108,MATCH($B86,'Resultados'!$A$5:$A$108,0)),"")</x:f>
      </x:c>
      <x:c r="M86" s="21" t="str">
        <x:f>IFERROR(INDEX('Resultados'!$I$5:$I$108,MATCH($B86,'Resultados'!$A$5:$A$108,0)),"")</x:f>
      </x:c>
      <x:c r="N86" s="21" t="str">
        <x:f>IFERROR(INDEX('Resultados'!$L$5:$L$108,MATCH($B86,'Resultados'!$A$5:$A$108,0)),"")</x:f>
      </x:c>
      <x:c r="O86" s="59" t="str">
        <x:f>IF(OR($I86="",$J86="",$L86="",$M86=""),"",IF(AND($H86="Sim",$L86=$M86),IF($I86&lt;&gt;$J86,0,IF(AND($I86=$L86,$J86=$M86),2,1)),IF(AND($I86=$L86,$J86=$M86),3,IF(AND($I86&lt;&gt;$J86,$I86=$M86,$J86=$L86),-2,IF(SIGN($I86-$J86)=SIGN($L86-$M86),1,0)))))</x:f>
      </x:c>
      <x:c r="P86" s="59" t="str">
        <x:f>IF(OR($H86&lt;&gt;"Sim",$I86="",$J86="",$L86="",$M86=""),"",IF(AND(IF($I86&gt;$J86,$F86,IF($I86&lt;$J86,$G86,$K86))&lt;&gt;"",IF($L86&gt;$M86,$F86,IF($L86&lt;$M86,$G86,$N86))&lt;&gt;"",IF($I86&gt;$J86,$F86,IF($I86&lt;$J86,$G86,$K86))=IF($L86&gt;$M86,$F86,IF($L86&lt;$M86,$G86,$N86))),1,0))</x:f>
      </x:c>
      <x:c r="Q86" s="59" t="str">
        <x:f>IF($O86="","",$O86+$P86)</x:f>
      </x:c>
      <x:c r="R86" s="59" t="str">
        <x:f>IF($Q86="","",IF($O86=3,"Cravada",IF(AND($H86="Sim",$L86=$M86,$I86=$J86,$O86=2),"Empate cravado",IF($O86=1,"Resultado certo",IF($O86=-2,"Invertida",IF($P86=1,"Acertou quem passa","Erro"))))))</x:f>
      </x:c>
      <x:c r="S86" s="59" t="str">
        <x:f>IF($O86="","",--(OR($O86=3,AND($H86="Sim",$L86=$M86,$I86=$J86,$O86=2))))</x:f>
      </x:c>
      <x:c r="T86" s="59" t="str">
        <x:f>IF($O86="","",--($O86=-2))</x:f>
      </x:c>
      <x:c r="U86" s="59" t="str">
        <x:f>IF($O86="","",--($O86=1))</x:f>
      </x:c>
      <x:c r="V86" s="59" t="n">
        <x:f>--(AND($I86&lt;&gt;"",$J86&lt;&gt;""))</x:f>
        <x:v>0</x:v>
      </x:c>
    </x:row>
    <x:row r="87">
      <x:c r="A87" s="21" t="str">
        <x:f>INDEX(Config!$B$10:$B$16,INT((ROW()-5)/104)+1)</x:f>
        <x:v>Leo B.</x:v>
      </x:c>
      <x:c r="B87" s="21" t="str">
        <x:v>R32_11</x:v>
      </x:c>
      <x:c r="C87" s="21" t="n">
        <x:v>83</x:v>
      </x:c>
      <x:c r="D87" s="21" t="str">
        <x:v>16-avos de final</x:v>
      </x:c>
      <x:c r="E87" s="21" t="str">
        <x:v>2026-07-02</x:v>
      </x:c>
      <x:c r="F87" s="21" t="str">
        <x:f>IFERROR(INDEX('Resultados'!$G$5:$G$108,MATCH($B87,'Resultados'!$A$5:$A$108,0)),"")</x:f>
        <x:v>2º Grupo K</x:v>
      </x:c>
      <x:c r="G87" s="21" t="str">
        <x:f>IFERROR(INDEX('Resultados'!$J$5:$J$108,MATCH($B87,'Resultados'!$A$5:$A$108,0)),"")</x:f>
        <x:v>2º Grupo L</x:v>
      </x:c>
      <x:c r="H87" s="21" t="str">
        <x:v>Sim</x:v>
      </x:c>
      <x:c r="I87" s="22"/>
      <x:c r="J87" s="22"/>
      <x:c r="K87" s="23"/>
      <x:c r="L87" s="21" t="str">
        <x:f>IFERROR(INDEX('Resultados'!$H$5:$H$108,MATCH($B87,'Resultados'!$A$5:$A$108,0)),"")</x:f>
      </x:c>
      <x:c r="M87" s="21" t="str">
        <x:f>IFERROR(INDEX('Resultados'!$I$5:$I$108,MATCH($B87,'Resultados'!$A$5:$A$108,0)),"")</x:f>
      </x:c>
      <x:c r="N87" s="21" t="str">
        <x:f>IFERROR(INDEX('Resultados'!$L$5:$L$108,MATCH($B87,'Resultados'!$A$5:$A$108,0)),"")</x:f>
      </x:c>
      <x:c r="O87" s="59" t="str">
        <x:f>IF(OR($I87="",$J87="",$L87="",$M87=""),"",IF(AND($H87="Sim",$L87=$M87),IF($I87&lt;&gt;$J87,0,IF(AND($I87=$L87,$J87=$M87),2,1)),IF(AND($I87=$L87,$J87=$M87),3,IF(AND($I87&lt;&gt;$J87,$I87=$M87,$J87=$L87),-2,IF(SIGN($I87-$J87)=SIGN($L87-$M87),1,0)))))</x:f>
      </x:c>
      <x:c r="P87" s="59" t="str">
        <x:f>IF(OR($H87&lt;&gt;"Sim",$I87="",$J87="",$L87="",$M87=""),"",IF(AND(IF($I87&gt;$J87,$F87,IF($I87&lt;$J87,$G87,$K87))&lt;&gt;"",IF($L87&gt;$M87,$F87,IF($L87&lt;$M87,$G87,$N87))&lt;&gt;"",IF($I87&gt;$J87,$F87,IF($I87&lt;$J87,$G87,$K87))=IF($L87&gt;$M87,$F87,IF($L87&lt;$M87,$G87,$N87))),1,0))</x:f>
      </x:c>
      <x:c r="Q87" s="59" t="str">
        <x:f>IF($O87="","",$O87+$P87)</x:f>
      </x:c>
      <x:c r="R87" s="59" t="str">
        <x:f>IF($Q87="","",IF($O87=3,"Cravada",IF(AND($H87="Sim",$L87=$M87,$I87=$J87,$O87=2),"Empate cravado",IF($O87=1,"Resultado certo",IF($O87=-2,"Invertida",IF($P87=1,"Acertou quem passa","Erro"))))))</x:f>
      </x:c>
      <x:c r="S87" s="59" t="str">
        <x:f>IF($O87="","",--(OR($O87=3,AND($H87="Sim",$L87=$M87,$I87=$J87,$O87=2))))</x:f>
      </x:c>
      <x:c r="T87" s="59" t="str">
        <x:f>IF($O87="","",--($O87=-2))</x:f>
      </x:c>
      <x:c r="U87" s="59" t="str">
        <x:f>IF($O87="","",--($O87=1))</x:f>
      </x:c>
      <x:c r="V87" s="59" t="n">
        <x:f>--(AND($I87&lt;&gt;"",$J87&lt;&gt;""))</x:f>
        <x:v>0</x:v>
      </x:c>
    </x:row>
    <x:row r="88">
      <x:c r="A88" s="21" t="str">
        <x:f>INDEX(Config!$B$10:$B$16,INT((ROW()-5)/104)+1)</x:f>
        <x:v>Leo B.</x:v>
      </x:c>
      <x:c r="B88" s="21" t="str">
        <x:v>R32_12</x:v>
      </x:c>
      <x:c r="C88" s="21" t="n">
        <x:v>84</x:v>
      </x:c>
      <x:c r="D88" s="21" t="str">
        <x:v>16-avos de final</x:v>
      </x:c>
      <x:c r="E88" s="21" t="str">
        <x:v>2026-07-02</x:v>
      </x:c>
      <x:c r="F88" s="21" t="str">
        <x:f>IFERROR(INDEX('Resultados'!$G$5:$G$108,MATCH($B88,'Resultados'!$A$5:$A$108,0)),"")</x:f>
        <x:v>1º Grupo H</x:v>
      </x:c>
      <x:c r="G88" s="21" t="str">
        <x:f>IFERROR(INDEX('Resultados'!$J$5:$J$108,MATCH($B88,'Resultados'!$A$5:$A$108,0)),"")</x:f>
        <x:v>2º Grupo J</x:v>
      </x:c>
      <x:c r="H88" s="21" t="str">
        <x:v>Sim</x:v>
      </x:c>
      <x:c r="I88" s="22"/>
      <x:c r="J88" s="22"/>
      <x:c r="K88" s="23"/>
      <x:c r="L88" s="21" t="str">
        <x:f>IFERROR(INDEX('Resultados'!$H$5:$H$108,MATCH($B88,'Resultados'!$A$5:$A$108,0)),"")</x:f>
      </x:c>
      <x:c r="M88" s="21" t="str">
        <x:f>IFERROR(INDEX('Resultados'!$I$5:$I$108,MATCH($B88,'Resultados'!$A$5:$A$108,0)),"")</x:f>
      </x:c>
      <x:c r="N88" s="21" t="str">
        <x:f>IFERROR(INDEX('Resultados'!$L$5:$L$108,MATCH($B88,'Resultados'!$A$5:$A$108,0)),"")</x:f>
      </x:c>
      <x:c r="O88" s="59" t="str">
        <x:f>IF(OR($I88="",$J88="",$L88="",$M88=""),"",IF(AND($H88="Sim",$L88=$M88),IF($I88&lt;&gt;$J88,0,IF(AND($I88=$L88,$J88=$M88),2,1)),IF(AND($I88=$L88,$J88=$M88),3,IF(AND($I88&lt;&gt;$J88,$I88=$M88,$J88=$L88),-2,IF(SIGN($I88-$J88)=SIGN($L88-$M88),1,0)))))</x:f>
      </x:c>
      <x:c r="P88" s="59" t="str">
        <x:f>IF(OR($H88&lt;&gt;"Sim",$I88="",$J88="",$L88="",$M88=""),"",IF(AND(IF($I88&gt;$J88,$F88,IF($I88&lt;$J88,$G88,$K88))&lt;&gt;"",IF($L88&gt;$M88,$F88,IF($L88&lt;$M88,$G88,$N88))&lt;&gt;"",IF($I88&gt;$J88,$F88,IF($I88&lt;$J88,$G88,$K88))=IF($L88&gt;$M88,$F88,IF($L88&lt;$M88,$G88,$N88))),1,0))</x:f>
      </x:c>
      <x:c r="Q88" s="59" t="str">
        <x:f>IF($O88="","",$O88+$P88)</x:f>
      </x:c>
      <x:c r="R88" s="59" t="str">
        <x:f>IF($Q88="","",IF($O88=3,"Cravada",IF(AND($H88="Sim",$L88=$M88,$I88=$J88,$O88=2),"Empate cravado",IF($O88=1,"Resultado certo",IF($O88=-2,"Invertida",IF($P88=1,"Acertou quem passa","Erro"))))))</x:f>
      </x:c>
      <x:c r="S88" s="59" t="str">
        <x:f>IF($O88="","",--(OR($O88=3,AND($H88="Sim",$L88=$M88,$I88=$J88,$O88=2))))</x:f>
      </x:c>
      <x:c r="T88" s="59" t="str">
        <x:f>IF($O88="","",--($O88=-2))</x:f>
      </x:c>
      <x:c r="U88" s="59" t="str">
        <x:f>IF($O88="","",--($O88=1))</x:f>
      </x:c>
      <x:c r="V88" s="59" t="n">
        <x:f>--(AND($I88&lt;&gt;"",$J88&lt;&gt;""))</x:f>
        <x:v>0</x:v>
      </x:c>
    </x:row>
    <x:row r="89">
      <x:c r="A89" s="21" t="str">
        <x:f>INDEX(Config!$B$10:$B$16,INT((ROW()-5)/104)+1)</x:f>
        <x:v>Leo B.</x:v>
      </x:c>
      <x:c r="B89" s="21" t="str">
        <x:v>R32_13</x:v>
      </x:c>
      <x:c r="C89" s="21" t="n">
        <x:v>85</x:v>
      </x:c>
      <x:c r="D89" s="21" t="str">
        <x:v>16-avos de final</x:v>
      </x:c>
      <x:c r="E89" s="21" t="str">
        <x:v>2026-07-03</x:v>
      </x:c>
      <x:c r="F89" s="21" t="str">
        <x:f>IFERROR(INDEX('Resultados'!$G$5:$G$108,MATCH($B89,'Resultados'!$A$5:$A$108,0)),"")</x:f>
        <x:v>1º Grupo B</x:v>
      </x:c>
      <x:c r="G89" s="21" t="str">
        <x:f>IFERROR(INDEX('Resultados'!$J$5:$J$108,MATCH($B89,'Resultados'!$A$5:$A$108,0)),"")</x:f>
        <x:v>3º E/F/G/I/J</x:v>
      </x:c>
      <x:c r="H89" s="21" t="str">
        <x:v>Sim</x:v>
      </x:c>
      <x:c r="I89" s="22"/>
      <x:c r="J89" s="22"/>
      <x:c r="K89" s="23"/>
      <x:c r="L89" s="21" t="str">
        <x:f>IFERROR(INDEX('Resultados'!$H$5:$H$108,MATCH($B89,'Resultados'!$A$5:$A$108,0)),"")</x:f>
      </x:c>
      <x:c r="M89" s="21" t="str">
        <x:f>IFERROR(INDEX('Resultados'!$I$5:$I$108,MATCH($B89,'Resultados'!$A$5:$A$108,0)),"")</x:f>
      </x:c>
      <x:c r="N89" s="21" t="str">
        <x:f>IFERROR(INDEX('Resultados'!$L$5:$L$108,MATCH($B89,'Resultados'!$A$5:$A$108,0)),"")</x:f>
      </x:c>
      <x:c r="O89" s="59" t="str">
        <x:f>IF(OR($I89="",$J89="",$L89="",$M89=""),"",IF(AND($H89="Sim",$L89=$M89),IF($I89&lt;&gt;$J89,0,IF(AND($I89=$L89,$J89=$M89),2,1)),IF(AND($I89=$L89,$J89=$M89),3,IF(AND($I89&lt;&gt;$J89,$I89=$M89,$J89=$L89),-2,IF(SIGN($I89-$J89)=SIGN($L89-$M89),1,0)))))</x:f>
      </x:c>
      <x:c r="P89" s="59" t="str">
        <x:f>IF(OR($H89&lt;&gt;"Sim",$I89="",$J89="",$L89="",$M89=""),"",IF(AND(IF($I89&gt;$J89,$F89,IF($I89&lt;$J89,$G89,$K89))&lt;&gt;"",IF($L89&gt;$M89,$F89,IF($L89&lt;$M89,$G89,$N89))&lt;&gt;"",IF($I89&gt;$J89,$F89,IF($I89&lt;$J89,$G89,$K89))=IF($L89&gt;$M89,$F89,IF($L89&lt;$M89,$G89,$N89))),1,0))</x:f>
      </x:c>
      <x:c r="Q89" s="59" t="str">
        <x:f>IF($O89="","",$O89+$P89)</x:f>
      </x:c>
      <x:c r="R89" s="59" t="str">
        <x:f>IF($Q89="","",IF($O89=3,"Cravada",IF(AND($H89="Sim",$L89=$M89,$I89=$J89,$O89=2),"Empate cravado",IF($O89=1,"Resultado certo",IF($O89=-2,"Invertida",IF($P89=1,"Acertou quem passa","Erro"))))))</x:f>
      </x:c>
      <x:c r="S89" s="59" t="str">
        <x:f>IF($O89="","",--(OR($O89=3,AND($H89="Sim",$L89=$M89,$I89=$J89,$O89=2))))</x:f>
      </x:c>
      <x:c r="T89" s="59" t="str">
        <x:f>IF($O89="","",--($O89=-2))</x:f>
      </x:c>
      <x:c r="U89" s="59" t="str">
        <x:f>IF($O89="","",--($O89=1))</x:f>
      </x:c>
      <x:c r="V89" s="59" t="n">
        <x:f>--(AND($I89&lt;&gt;"",$J89&lt;&gt;""))</x:f>
        <x:v>0</x:v>
      </x:c>
    </x:row>
    <x:row r="90">
      <x:c r="A90" s="21" t="str">
        <x:f>INDEX(Config!$B$10:$B$16,INT((ROW()-5)/104)+1)</x:f>
        <x:v>Leo B.</x:v>
      </x:c>
      <x:c r="B90" s="21" t="str">
        <x:v>R32_14</x:v>
      </x:c>
      <x:c r="C90" s="21" t="n">
        <x:v>86</x:v>
      </x:c>
      <x:c r="D90" s="21" t="str">
        <x:v>16-avos de final</x:v>
      </x:c>
      <x:c r="E90" s="21" t="str">
        <x:v>2026-07-03</x:v>
      </x:c>
      <x:c r="F90" s="21" t="str">
        <x:f>IFERROR(INDEX('Resultados'!$G$5:$G$108,MATCH($B90,'Resultados'!$A$5:$A$108,0)),"")</x:f>
        <x:v>1º Grupo J</x:v>
      </x:c>
      <x:c r="G90" s="21" t="str">
        <x:f>IFERROR(INDEX('Resultados'!$J$5:$J$108,MATCH($B90,'Resultados'!$A$5:$A$108,0)),"")</x:f>
        <x:v>2º Grupo H</x:v>
      </x:c>
      <x:c r="H90" s="21" t="str">
        <x:v>Sim</x:v>
      </x:c>
      <x:c r="I90" s="22"/>
      <x:c r="J90" s="22"/>
      <x:c r="K90" s="23"/>
      <x:c r="L90" s="21" t="str">
        <x:f>IFERROR(INDEX('Resultados'!$H$5:$H$108,MATCH($B90,'Resultados'!$A$5:$A$108,0)),"")</x:f>
      </x:c>
      <x:c r="M90" s="21" t="str">
        <x:f>IFERROR(INDEX('Resultados'!$I$5:$I$108,MATCH($B90,'Resultados'!$A$5:$A$108,0)),"")</x:f>
      </x:c>
      <x:c r="N90" s="21" t="str">
        <x:f>IFERROR(INDEX('Resultados'!$L$5:$L$108,MATCH($B90,'Resultados'!$A$5:$A$108,0)),"")</x:f>
      </x:c>
      <x:c r="O90" s="59" t="str">
        <x:f>IF(OR($I90="",$J90="",$L90="",$M90=""),"",IF(AND($H90="Sim",$L90=$M90),IF($I90&lt;&gt;$J90,0,IF(AND($I90=$L90,$J90=$M90),2,1)),IF(AND($I90=$L90,$J90=$M90),3,IF(AND($I90&lt;&gt;$J90,$I90=$M90,$J90=$L90),-2,IF(SIGN($I90-$J90)=SIGN($L90-$M90),1,0)))))</x:f>
      </x:c>
      <x:c r="P90" s="59" t="str">
        <x:f>IF(OR($H90&lt;&gt;"Sim",$I90="",$J90="",$L90="",$M90=""),"",IF(AND(IF($I90&gt;$J90,$F90,IF($I90&lt;$J90,$G90,$K90))&lt;&gt;"",IF($L90&gt;$M90,$F90,IF($L90&lt;$M90,$G90,$N90))&lt;&gt;"",IF($I90&gt;$J90,$F90,IF($I90&lt;$J90,$G90,$K90))=IF($L90&gt;$M90,$F90,IF($L90&lt;$M90,$G90,$N90))),1,0))</x:f>
      </x:c>
      <x:c r="Q90" s="59" t="str">
        <x:f>IF($O90="","",$O90+$P90)</x:f>
      </x:c>
      <x:c r="R90" s="59" t="str">
        <x:f>IF($Q90="","",IF($O90=3,"Cravada",IF(AND($H90="Sim",$L90=$M90,$I90=$J90,$O90=2),"Empate cravado",IF($O90=1,"Resultado certo",IF($O90=-2,"Invertida",IF($P90=1,"Acertou quem passa","Erro"))))))</x:f>
      </x:c>
      <x:c r="S90" s="59" t="str">
        <x:f>IF($O90="","",--(OR($O90=3,AND($H90="Sim",$L90=$M90,$I90=$J90,$O90=2))))</x:f>
      </x:c>
      <x:c r="T90" s="59" t="str">
        <x:f>IF($O90="","",--($O90=-2))</x:f>
      </x:c>
      <x:c r="U90" s="59" t="str">
        <x:f>IF($O90="","",--($O90=1))</x:f>
      </x:c>
      <x:c r="V90" s="59" t="n">
        <x:f>--(AND($I90&lt;&gt;"",$J90&lt;&gt;""))</x:f>
        <x:v>0</x:v>
      </x:c>
    </x:row>
    <x:row r="91">
      <x:c r="A91" s="21" t="str">
        <x:f>INDEX(Config!$B$10:$B$16,INT((ROW()-5)/104)+1)</x:f>
        <x:v>Leo B.</x:v>
      </x:c>
      <x:c r="B91" s="21" t="str">
        <x:v>R32_15</x:v>
      </x:c>
      <x:c r="C91" s="21" t="n">
        <x:v>87</x:v>
      </x:c>
      <x:c r="D91" s="21" t="str">
        <x:v>16-avos de final</x:v>
      </x:c>
      <x:c r="E91" s="21" t="str">
        <x:v>2026-07-03</x:v>
      </x:c>
      <x:c r="F91" s="21" t="str">
        <x:f>IFERROR(INDEX('Resultados'!$G$5:$G$108,MATCH($B91,'Resultados'!$A$5:$A$108,0)),"")</x:f>
        <x:v>1º Grupo K</x:v>
      </x:c>
      <x:c r="G91" s="21" t="str">
        <x:f>IFERROR(INDEX('Resultados'!$J$5:$J$108,MATCH($B91,'Resultados'!$A$5:$A$108,0)),"")</x:f>
        <x:v>3º D/E/I/J/L</x:v>
      </x:c>
      <x:c r="H91" s="21" t="str">
        <x:v>Sim</x:v>
      </x:c>
      <x:c r="I91" s="22"/>
      <x:c r="J91" s="22"/>
      <x:c r="K91" s="23"/>
      <x:c r="L91" s="21" t="str">
        <x:f>IFERROR(INDEX('Resultados'!$H$5:$H$108,MATCH($B91,'Resultados'!$A$5:$A$108,0)),"")</x:f>
      </x:c>
      <x:c r="M91" s="21" t="str">
        <x:f>IFERROR(INDEX('Resultados'!$I$5:$I$108,MATCH($B91,'Resultados'!$A$5:$A$108,0)),"")</x:f>
      </x:c>
      <x:c r="N91" s="21" t="str">
        <x:f>IFERROR(INDEX('Resultados'!$L$5:$L$108,MATCH($B91,'Resultados'!$A$5:$A$108,0)),"")</x:f>
      </x:c>
      <x:c r="O91" s="59" t="str">
        <x:f>IF(OR($I91="",$J91="",$L91="",$M91=""),"",IF(AND($H91="Sim",$L91=$M91),IF($I91&lt;&gt;$J91,0,IF(AND($I91=$L91,$J91=$M91),2,1)),IF(AND($I91=$L91,$J91=$M91),3,IF(AND($I91&lt;&gt;$J91,$I91=$M91,$J91=$L91),-2,IF(SIGN($I91-$J91)=SIGN($L91-$M91),1,0)))))</x:f>
      </x:c>
      <x:c r="P91" s="59" t="str">
        <x:f>IF(OR($H91&lt;&gt;"Sim",$I91="",$J91="",$L91="",$M91=""),"",IF(AND(IF($I91&gt;$J91,$F91,IF($I91&lt;$J91,$G91,$K91))&lt;&gt;"",IF($L91&gt;$M91,$F91,IF($L91&lt;$M91,$G91,$N91))&lt;&gt;"",IF($I91&gt;$J91,$F91,IF($I91&lt;$J91,$G91,$K91))=IF($L91&gt;$M91,$F91,IF($L91&lt;$M91,$G91,$N91))),1,0))</x:f>
      </x:c>
      <x:c r="Q91" s="59" t="str">
        <x:f>IF($O91="","",$O91+$P91)</x:f>
      </x:c>
      <x:c r="R91" s="59" t="str">
        <x:f>IF($Q91="","",IF($O91=3,"Cravada",IF(AND($H91="Sim",$L91=$M91,$I91=$J91,$O91=2),"Empate cravado",IF($O91=1,"Resultado certo",IF($O91=-2,"Invertida",IF($P91=1,"Acertou quem passa","Erro"))))))</x:f>
      </x:c>
      <x:c r="S91" s="59" t="str">
        <x:f>IF($O91="","",--(OR($O91=3,AND($H91="Sim",$L91=$M91,$I91=$J91,$O91=2))))</x:f>
      </x:c>
      <x:c r="T91" s="59" t="str">
        <x:f>IF($O91="","",--($O91=-2))</x:f>
      </x:c>
      <x:c r="U91" s="59" t="str">
        <x:f>IF($O91="","",--($O91=1))</x:f>
      </x:c>
      <x:c r="V91" s="59" t="n">
        <x:f>--(AND($I91&lt;&gt;"",$J91&lt;&gt;""))</x:f>
        <x:v>0</x:v>
      </x:c>
    </x:row>
    <x:row r="92">
      <x:c r="A92" s="21" t="str">
        <x:f>INDEX(Config!$B$10:$B$16,INT((ROW()-5)/104)+1)</x:f>
        <x:v>Leo B.</x:v>
      </x:c>
      <x:c r="B92" s="21" t="str">
        <x:v>R32_16</x:v>
      </x:c>
      <x:c r="C92" s="21" t="n">
        <x:v>88</x:v>
      </x:c>
      <x:c r="D92" s="21" t="str">
        <x:v>16-avos de final</x:v>
      </x:c>
      <x:c r="E92" s="21" t="str">
        <x:v>2026-07-03</x:v>
      </x:c>
      <x:c r="F92" s="21" t="str">
        <x:f>IFERROR(INDEX('Resultados'!$G$5:$G$108,MATCH($B92,'Resultados'!$A$5:$A$108,0)),"")</x:f>
        <x:v>2º Grupo D</x:v>
      </x:c>
      <x:c r="G92" s="21" t="str">
        <x:f>IFERROR(INDEX('Resultados'!$J$5:$J$108,MATCH($B92,'Resultados'!$A$5:$A$108,0)),"")</x:f>
        <x:v>2º Grupo G</x:v>
      </x:c>
      <x:c r="H92" s="21" t="str">
        <x:v>Sim</x:v>
      </x:c>
      <x:c r="I92" s="22"/>
      <x:c r="J92" s="22"/>
      <x:c r="K92" s="23"/>
      <x:c r="L92" s="21" t="str">
        <x:f>IFERROR(INDEX('Resultados'!$H$5:$H$108,MATCH($B92,'Resultados'!$A$5:$A$108,0)),"")</x:f>
      </x:c>
      <x:c r="M92" s="21" t="str">
        <x:f>IFERROR(INDEX('Resultados'!$I$5:$I$108,MATCH($B92,'Resultados'!$A$5:$A$108,0)),"")</x:f>
      </x:c>
      <x:c r="N92" s="21" t="str">
        <x:f>IFERROR(INDEX('Resultados'!$L$5:$L$108,MATCH($B92,'Resultados'!$A$5:$A$108,0)),"")</x:f>
      </x:c>
      <x:c r="O92" s="59" t="str">
        <x:f>IF(OR($I92="",$J92="",$L92="",$M92=""),"",IF(AND($H92="Sim",$L92=$M92),IF($I92&lt;&gt;$J92,0,IF(AND($I92=$L92,$J92=$M92),2,1)),IF(AND($I92=$L92,$J92=$M92),3,IF(AND($I92&lt;&gt;$J92,$I92=$M92,$J92=$L92),-2,IF(SIGN($I92-$J92)=SIGN($L92-$M92),1,0)))))</x:f>
      </x:c>
      <x:c r="P92" s="59" t="str">
        <x:f>IF(OR($H92&lt;&gt;"Sim",$I92="",$J92="",$L92="",$M92=""),"",IF(AND(IF($I92&gt;$J92,$F92,IF($I92&lt;$J92,$G92,$K92))&lt;&gt;"",IF($L92&gt;$M92,$F92,IF($L92&lt;$M92,$G92,$N92))&lt;&gt;"",IF($I92&gt;$J92,$F92,IF($I92&lt;$J92,$G92,$K92))=IF($L92&gt;$M92,$F92,IF($L92&lt;$M92,$G92,$N92))),1,0))</x:f>
      </x:c>
      <x:c r="Q92" s="59" t="str">
        <x:f>IF($O92="","",$O92+$P92)</x:f>
      </x:c>
      <x:c r="R92" s="59" t="str">
        <x:f>IF($Q92="","",IF($O92=3,"Cravada",IF(AND($H92="Sim",$L92=$M92,$I92=$J92,$O92=2),"Empate cravado",IF($O92=1,"Resultado certo",IF($O92=-2,"Invertida",IF($P92=1,"Acertou quem passa","Erro"))))))</x:f>
      </x:c>
      <x:c r="S92" s="59" t="str">
        <x:f>IF($O92="","",--(OR($O92=3,AND($H92="Sim",$L92=$M92,$I92=$J92,$O92=2))))</x:f>
      </x:c>
      <x:c r="T92" s="59" t="str">
        <x:f>IF($O92="","",--($O92=-2))</x:f>
      </x:c>
      <x:c r="U92" s="59" t="str">
        <x:f>IF($O92="","",--($O92=1))</x:f>
      </x:c>
      <x:c r="V92" s="59" t="n">
        <x:f>--(AND($I92&lt;&gt;"",$J92&lt;&gt;""))</x:f>
        <x:v>0</x:v>
      </x:c>
    </x:row>
    <x:row r="93">
      <x:c r="A93" s="21" t="str">
        <x:f>INDEX(Config!$B$10:$B$16,INT((ROW()-5)/104)+1)</x:f>
        <x:v>Leo B.</x:v>
      </x:c>
      <x:c r="B93" s="21" t="str">
        <x:v>R16_01</x:v>
      </x:c>
      <x:c r="C93" s="21" t="n">
        <x:v>89</x:v>
      </x:c>
      <x:c r="D93" s="21" t="str">
        <x:v>Oitavas de final</x:v>
      </x:c>
      <x:c r="E93" s="21" t="str">
        <x:v>2026-07-04</x:v>
      </x:c>
      <x:c r="F93" s="21" t="str">
        <x:f>IFERROR(INDEX('Resultados'!$G$5:$G$108,MATCH($B93,'Resultados'!$A$5:$A$108,0)),"")</x:f>
        <x:v>Vencedor M74</x:v>
      </x:c>
      <x:c r="G93" s="21" t="str">
        <x:f>IFERROR(INDEX('Resultados'!$J$5:$J$108,MATCH($B93,'Resultados'!$A$5:$A$108,0)),"")</x:f>
        <x:v>Vencedor M77</x:v>
      </x:c>
      <x:c r="H93" s="21" t="str">
        <x:v>Sim</x:v>
      </x:c>
      <x:c r="I93" s="22"/>
      <x:c r="J93" s="22"/>
      <x:c r="K93" s="23"/>
      <x:c r="L93" s="21" t="str">
        <x:f>IFERROR(INDEX('Resultados'!$H$5:$H$108,MATCH($B93,'Resultados'!$A$5:$A$108,0)),"")</x:f>
      </x:c>
      <x:c r="M93" s="21" t="str">
        <x:f>IFERROR(INDEX('Resultados'!$I$5:$I$108,MATCH($B93,'Resultados'!$A$5:$A$108,0)),"")</x:f>
      </x:c>
      <x:c r="N93" s="21" t="str">
        <x:f>IFERROR(INDEX('Resultados'!$L$5:$L$108,MATCH($B93,'Resultados'!$A$5:$A$108,0)),"")</x:f>
      </x:c>
      <x:c r="O93" s="59" t="str">
        <x:f>IF(OR($I93="",$J93="",$L93="",$M93=""),"",IF(AND($H93="Sim",$L93=$M93),IF($I93&lt;&gt;$J93,0,IF(AND($I93=$L93,$J93=$M93),2,1)),IF(AND($I93=$L93,$J93=$M93),3,IF(AND($I93&lt;&gt;$J93,$I93=$M93,$J93=$L93),-2,IF(SIGN($I93-$J93)=SIGN($L93-$M93),1,0)))))</x:f>
      </x:c>
      <x:c r="P93" s="59" t="str">
        <x:f>IF(OR($H93&lt;&gt;"Sim",$I93="",$J93="",$L93="",$M93=""),"",IF(AND(IF($I93&gt;$J93,$F93,IF($I93&lt;$J93,$G93,$K93))&lt;&gt;"",IF($L93&gt;$M93,$F93,IF($L93&lt;$M93,$G93,$N93))&lt;&gt;"",IF($I93&gt;$J93,$F93,IF($I93&lt;$J93,$G93,$K93))=IF($L93&gt;$M93,$F93,IF($L93&lt;$M93,$G93,$N93))),1,0))</x:f>
      </x:c>
      <x:c r="Q93" s="59" t="str">
        <x:f>IF($O93="","",$O93+$P93)</x:f>
      </x:c>
      <x:c r="R93" s="59" t="str">
        <x:f>IF($Q93="","",IF($O93=3,"Cravada",IF(AND($H93="Sim",$L93=$M93,$I93=$J93,$O93=2),"Empate cravado",IF($O93=1,"Resultado certo",IF($O93=-2,"Invertida",IF($P93=1,"Acertou quem passa","Erro"))))))</x:f>
      </x:c>
      <x:c r="S93" s="59" t="str">
        <x:f>IF($O93="","",--(OR($O93=3,AND($H93="Sim",$L93=$M93,$I93=$J93,$O93=2))))</x:f>
      </x:c>
      <x:c r="T93" s="59" t="str">
        <x:f>IF($O93="","",--($O93=-2))</x:f>
      </x:c>
      <x:c r="U93" s="59" t="str">
        <x:f>IF($O93="","",--($O93=1))</x:f>
      </x:c>
      <x:c r="V93" s="59" t="n">
        <x:f>--(AND($I93&lt;&gt;"",$J93&lt;&gt;""))</x:f>
        <x:v>0</x:v>
      </x:c>
    </x:row>
    <x:row r="94">
      <x:c r="A94" s="21" t="str">
        <x:f>INDEX(Config!$B$10:$B$16,INT((ROW()-5)/104)+1)</x:f>
        <x:v>Leo B.</x:v>
      </x:c>
      <x:c r="B94" s="21" t="str">
        <x:v>R16_02</x:v>
      </x:c>
      <x:c r="C94" s="21" t="n">
        <x:v>90</x:v>
      </x:c>
      <x:c r="D94" s="21" t="str">
        <x:v>Oitavas de final</x:v>
      </x:c>
      <x:c r="E94" s="21" t="str">
        <x:v>2026-07-04</x:v>
      </x:c>
      <x:c r="F94" s="21" t="str">
        <x:f>IFERROR(INDEX('Resultados'!$G$5:$G$108,MATCH($B94,'Resultados'!$A$5:$A$108,0)),"")</x:f>
        <x:v>Vencedor M73</x:v>
      </x:c>
      <x:c r="G94" s="21" t="str">
        <x:f>IFERROR(INDEX('Resultados'!$J$5:$J$108,MATCH($B94,'Resultados'!$A$5:$A$108,0)),"")</x:f>
        <x:v>Vencedor M75</x:v>
      </x:c>
      <x:c r="H94" s="21" t="str">
        <x:v>Sim</x:v>
      </x:c>
      <x:c r="I94" s="22"/>
      <x:c r="J94" s="22"/>
      <x:c r="K94" s="23"/>
      <x:c r="L94" s="21" t="str">
        <x:f>IFERROR(INDEX('Resultados'!$H$5:$H$108,MATCH($B94,'Resultados'!$A$5:$A$108,0)),"")</x:f>
      </x:c>
      <x:c r="M94" s="21" t="str">
        <x:f>IFERROR(INDEX('Resultados'!$I$5:$I$108,MATCH($B94,'Resultados'!$A$5:$A$108,0)),"")</x:f>
      </x:c>
      <x:c r="N94" s="21" t="str">
        <x:f>IFERROR(INDEX('Resultados'!$L$5:$L$108,MATCH($B94,'Resultados'!$A$5:$A$108,0)),"")</x:f>
      </x:c>
      <x:c r="O94" s="59" t="str">
        <x:f>IF(OR($I94="",$J94="",$L94="",$M94=""),"",IF(AND($H94="Sim",$L94=$M94),IF($I94&lt;&gt;$J94,0,IF(AND($I94=$L94,$J94=$M94),2,1)),IF(AND($I94=$L94,$J94=$M94),3,IF(AND($I94&lt;&gt;$J94,$I94=$M94,$J94=$L94),-2,IF(SIGN($I94-$J94)=SIGN($L94-$M94),1,0)))))</x:f>
      </x:c>
      <x:c r="P94" s="59" t="str">
        <x:f>IF(OR($H94&lt;&gt;"Sim",$I94="",$J94="",$L94="",$M94=""),"",IF(AND(IF($I94&gt;$J94,$F94,IF($I94&lt;$J94,$G94,$K94))&lt;&gt;"",IF($L94&gt;$M94,$F94,IF($L94&lt;$M94,$G94,$N94))&lt;&gt;"",IF($I94&gt;$J94,$F94,IF($I94&lt;$J94,$G94,$K94))=IF($L94&gt;$M94,$F94,IF($L94&lt;$M94,$G94,$N94))),1,0))</x:f>
      </x:c>
      <x:c r="Q94" s="59" t="str">
        <x:f>IF($O94="","",$O94+$P94)</x:f>
      </x:c>
      <x:c r="R94" s="59" t="str">
        <x:f>IF($Q94="","",IF($O94=3,"Cravada",IF(AND($H94="Sim",$L94=$M94,$I94=$J94,$O94=2),"Empate cravado",IF($O94=1,"Resultado certo",IF($O94=-2,"Invertida",IF($P94=1,"Acertou quem passa","Erro"))))))</x:f>
      </x:c>
      <x:c r="S94" s="59" t="str">
        <x:f>IF($O94="","",--(OR($O94=3,AND($H94="Sim",$L94=$M94,$I94=$J94,$O94=2))))</x:f>
      </x:c>
      <x:c r="T94" s="59" t="str">
        <x:f>IF($O94="","",--($O94=-2))</x:f>
      </x:c>
      <x:c r="U94" s="59" t="str">
        <x:f>IF($O94="","",--($O94=1))</x:f>
      </x:c>
      <x:c r="V94" s="59" t="n">
        <x:f>--(AND($I94&lt;&gt;"",$J94&lt;&gt;""))</x:f>
        <x:v>0</x:v>
      </x:c>
    </x:row>
    <x:row r="95">
      <x:c r="A95" s="21" t="str">
        <x:f>INDEX(Config!$B$10:$B$16,INT((ROW()-5)/104)+1)</x:f>
        <x:v>Leo B.</x:v>
      </x:c>
      <x:c r="B95" s="21" t="str">
        <x:v>R16_03</x:v>
      </x:c>
      <x:c r="C95" s="21" t="n">
        <x:v>91</x:v>
      </x:c>
      <x:c r="D95" s="21" t="str">
        <x:v>Oitavas de final</x:v>
      </x:c>
      <x:c r="E95" s="21" t="str">
        <x:v>2026-07-05</x:v>
      </x:c>
      <x:c r="F95" s="21" t="str">
        <x:f>IFERROR(INDEX('Resultados'!$G$5:$G$108,MATCH($B95,'Resultados'!$A$5:$A$108,0)),"")</x:f>
        <x:v>Vencedor M76</x:v>
      </x:c>
      <x:c r="G95" s="21" t="str">
        <x:f>IFERROR(INDEX('Resultados'!$J$5:$J$108,MATCH($B95,'Resultados'!$A$5:$A$108,0)),"")</x:f>
        <x:v>Vencedor M78</x:v>
      </x:c>
      <x:c r="H95" s="21" t="str">
        <x:v>Sim</x:v>
      </x:c>
      <x:c r="I95" s="22"/>
      <x:c r="J95" s="22"/>
      <x:c r="K95" s="23"/>
      <x:c r="L95" s="21" t="str">
        <x:f>IFERROR(INDEX('Resultados'!$H$5:$H$108,MATCH($B95,'Resultados'!$A$5:$A$108,0)),"")</x:f>
      </x:c>
      <x:c r="M95" s="21" t="str">
        <x:f>IFERROR(INDEX('Resultados'!$I$5:$I$108,MATCH($B95,'Resultados'!$A$5:$A$108,0)),"")</x:f>
      </x:c>
      <x:c r="N95" s="21" t="str">
        <x:f>IFERROR(INDEX('Resultados'!$L$5:$L$108,MATCH($B95,'Resultados'!$A$5:$A$108,0)),"")</x:f>
      </x:c>
      <x:c r="O95" s="59" t="str">
        <x:f>IF(OR($I95="",$J95="",$L95="",$M95=""),"",IF(AND($H95="Sim",$L95=$M95),IF($I95&lt;&gt;$J95,0,IF(AND($I95=$L95,$J95=$M95),2,1)),IF(AND($I95=$L95,$J95=$M95),3,IF(AND($I95&lt;&gt;$J95,$I95=$M95,$J95=$L95),-2,IF(SIGN($I95-$J95)=SIGN($L95-$M95),1,0)))))</x:f>
      </x:c>
      <x:c r="P95" s="59" t="str">
        <x:f>IF(OR($H95&lt;&gt;"Sim",$I95="",$J95="",$L95="",$M95=""),"",IF(AND(IF($I95&gt;$J95,$F95,IF($I95&lt;$J95,$G95,$K95))&lt;&gt;"",IF($L95&gt;$M95,$F95,IF($L95&lt;$M95,$G95,$N95))&lt;&gt;"",IF($I95&gt;$J95,$F95,IF($I95&lt;$J95,$G95,$K95))=IF($L95&gt;$M95,$F95,IF($L95&lt;$M95,$G95,$N95))),1,0))</x:f>
      </x:c>
      <x:c r="Q95" s="59" t="str">
        <x:f>IF($O95="","",$O95+$P95)</x:f>
      </x:c>
      <x:c r="R95" s="59" t="str">
        <x:f>IF($Q95="","",IF($O95=3,"Cravada",IF(AND($H95="Sim",$L95=$M95,$I95=$J95,$O95=2),"Empate cravado",IF($O95=1,"Resultado certo",IF($O95=-2,"Invertida",IF($P95=1,"Acertou quem passa","Erro"))))))</x:f>
      </x:c>
      <x:c r="S95" s="59" t="str">
        <x:f>IF($O95="","",--(OR($O95=3,AND($H95="Sim",$L95=$M95,$I95=$J95,$O95=2))))</x:f>
      </x:c>
      <x:c r="T95" s="59" t="str">
        <x:f>IF($O95="","",--($O95=-2))</x:f>
      </x:c>
      <x:c r="U95" s="59" t="str">
        <x:f>IF($O95="","",--($O95=1))</x:f>
      </x:c>
      <x:c r="V95" s="59" t="n">
        <x:f>--(AND($I95&lt;&gt;"",$J95&lt;&gt;""))</x:f>
        <x:v>0</x:v>
      </x:c>
    </x:row>
    <x:row r="96">
      <x:c r="A96" s="21" t="str">
        <x:f>INDEX(Config!$B$10:$B$16,INT((ROW()-5)/104)+1)</x:f>
        <x:v>Leo B.</x:v>
      </x:c>
      <x:c r="B96" s="21" t="str">
        <x:v>R16_04</x:v>
      </x:c>
      <x:c r="C96" s="21" t="n">
        <x:v>92</x:v>
      </x:c>
      <x:c r="D96" s="21" t="str">
        <x:v>Oitavas de final</x:v>
      </x:c>
      <x:c r="E96" s="21" t="str">
        <x:v>2026-07-05</x:v>
      </x:c>
      <x:c r="F96" s="21" t="str">
        <x:f>IFERROR(INDEX('Resultados'!$G$5:$G$108,MATCH($B96,'Resultados'!$A$5:$A$108,0)),"")</x:f>
        <x:v>Vencedor M79</x:v>
      </x:c>
      <x:c r="G96" s="21" t="str">
        <x:f>IFERROR(INDEX('Resultados'!$J$5:$J$108,MATCH($B96,'Resultados'!$A$5:$A$108,0)),"")</x:f>
        <x:v>Vencedor M80</x:v>
      </x:c>
      <x:c r="H96" s="21" t="str">
        <x:v>Sim</x:v>
      </x:c>
      <x:c r="I96" s="22"/>
      <x:c r="J96" s="22"/>
      <x:c r="K96" s="23"/>
      <x:c r="L96" s="21" t="str">
        <x:f>IFERROR(INDEX('Resultados'!$H$5:$H$108,MATCH($B96,'Resultados'!$A$5:$A$108,0)),"")</x:f>
      </x:c>
      <x:c r="M96" s="21" t="str">
        <x:f>IFERROR(INDEX('Resultados'!$I$5:$I$108,MATCH($B96,'Resultados'!$A$5:$A$108,0)),"")</x:f>
      </x:c>
      <x:c r="N96" s="21" t="str">
        <x:f>IFERROR(INDEX('Resultados'!$L$5:$L$108,MATCH($B96,'Resultados'!$A$5:$A$108,0)),"")</x:f>
      </x:c>
      <x:c r="O96" s="59" t="str">
        <x:f>IF(OR($I96="",$J96="",$L96="",$M96=""),"",IF(AND($H96="Sim",$L96=$M96),IF($I96&lt;&gt;$J96,0,IF(AND($I96=$L96,$J96=$M96),2,1)),IF(AND($I96=$L96,$J96=$M96),3,IF(AND($I96&lt;&gt;$J96,$I96=$M96,$J96=$L96),-2,IF(SIGN($I96-$J96)=SIGN($L96-$M96),1,0)))))</x:f>
      </x:c>
      <x:c r="P96" s="59" t="str">
        <x:f>IF(OR($H96&lt;&gt;"Sim",$I96="",$J96="",$L96="",$M96=""),"",IF(AND(IF($I96&gt;$J96,$F96,IF($I96&lt;$J96,$G96,$K96))&lt;&gt;"",IF($L96&gt;$M96,$F96,IF($L96&lt;$M96,$G96,$N96))&lt;&gt;"",IF($I96&gt;$J96,$F96,IF($I96&lt;$J96,$G96,$K96))=IF($L96&gt;$M96,$F96,IF($L96&lt;$M96,$G96,$N96))),1,0))</x:f>
      </x:c>
      <x:c r="Q96" s="59" t="str">
        <x:f>IF($O96="","",$O96+$P96)</x:f>
      </x:c>
      <x:c r="R96" s="59" t="str">
        <x:f>IF($Q96="","",IF($O96=3,"Cravada",IF(AND($H96="Sim",$L96=$M96,$I96=$J96,$O96=2),"Empate cravado",IF($O96=1,"Resultado certo",IF($O96=-2,"Invertida",IF($P96=1,"Acertou quem passa","Erro"))))))</x:f>
      </x:c>
      <x:c r="S96" s="59" t="str">
        <x:f>IF($O96="","",--(OR($O96=3,AND($H96="Sim",$L96=$M96,$I96=$J96,$O96=2))))</x:f>
      </x:c>
      <x:c r="T96" s="59" t="str">
        <x:f>IF($O96="","",--($O96=-2))</x:f>
      </x:c>
      <x:c r="U96" s="59" t="str">
        <x:f>IF($O96="","",--($O96=1))</x:f>
      </x:c>
      <x:c r="V96" s="59" t="n">
        <x:f>--(AND($I96&lt;&gt;"",$J96&lt;&gt;""))</x:f>
        <x:v>0</x:v>
      </x:c>
    </x:row>
    <x:row r="97">
      <x:c r="A97" s="21" t="str">
        <x:f>INDEX(Config!$B$10:$B$16,INT((ROW()-5)/104)+1)</x:f>
        <x:v>Leo B.</x:v>
      </x:c>
      <x:c r="B97" s="21" t="str">
        <x:v>R16_05</x:v>
      </x:c>
      <x:c r="C97" s="21" t="n">
        <x:v>93</x:v>
      </x:c>
      <x:c r="D97" s="21" t="str">
        <x:v>Oitavas de final</x:v>
      </x:c>
      <x:c r="E97" s="21" t="str">
        <x:v>2026-07-06</x:v>
      </x:c>
      <x:c r="F97" s="21" t="str">
        <x:f>IFERROR(INDEX('Resultados'!$G$5:$G$108,MATCH($B97,'Resultados'!$A$5:$A$108,0)),"")</x:f>
        <x:v>Vencedor M83</x:v>
      </x:c>
      <x:c r="G97" s="21" t="str">
        <x:f>IFERROR(INDEX('Resultados'!$J$5:$J$108,MATCH($B97,'Resultados'!$A$5:$A$108,0)),"")</x:f>
        <x:v>Vencedor M84</x:v>
      </x:c>
      <x:c r="H97" s="21" t="str">
        <x:v>Sim</x:v>
      </x:c>
      <x:c r="I97" s="22"/>
      <x:c r="J97" s="22"/>
      <x:c r="K97" s="23"/>
      <x:c r="L97" s="21" t="str">
        <x:f>IFERROR(INDEX('Resultados'!$H$5:$H$108,MATCH($B97,'Resultados'!$A$5:$A$108,0)),"")</x:f>
      </x:c>
      <x:c r="M97" s="21" t="str">
        <x:f>IFERROR(INDEX('Resultados'!$I$5:$I$108,MATCH($B97,'Resultados'!$A$5:$A$108,0)),"")</x:f>
      </x:c>
      <x:c r="N97" s="21" t="str">
        <x:f>IFERROR(INDEX('Resultados'!$L$5:$L$108,MATCH($B97,'Resultados'!$A$5:$A$108,0)),"")</x:f>
      </x:c>
      <x:c r="O97" s="59" t="str">
        <x:f>IF(OR($I97="",$J97="",$L97="",$M97=""),"",IF(AND($H97="Sim",$L97=$M97),IF($I97&lt;&gt;$J97,0,IF(AND($I97=$L97,$J97=$M97),2,1)),IF(AND($I97=$L97,$J97=$M97),3,IF(AND($I97&lt;&gt;$J97,$I97=$M97,$J97=$L97),-2,IF(SIGN($I97-$J97)=SIGN($L97-$M97),1,0)))))</x:f>
      </x:c>
      <x:c r="P97" s="59" t="str">
        <x:f>IF(OR($H97&lt;&gt;"Sim",$I97="",$J97="",$L97="",$M97=""),"",IF(AND(IF($I97&gt;$J97,$F97,IF($I97&lt;$J97,$G97,$K97))&lt;&gt;"",IF($L97&gt;$M97,$F97,IF($L97&lt;$M97,$G97,$N97))&lt;&gt;"",IF($I97&gt;$J97,$F97,IF($I97&lt;$J97,$G97,$K97))=IF($L97&gt;$M97,$F97,IF($L97&lt;$M97,$G97,$N97))),1,0))</x:f>
      </x:c>
      <x:c r="Q97" s="59" t="str">
        <x:f>IF($O97="","",$O97+$P97)</x:f>
      </x:c>
      <x:c r="R97" s="59" t="str">
        <x:f>IF($Q97="","",IF($O97=3,"Cravada",IF(AND($H97="Sim",$L97=$M97,$I97=$J97,$O97=2),"Empate cravado",IF($O97=1,"Resultado certo",IF($O97=-2,"Invertida",IF($P97=1,"Acertou quem passa","Erro"))))))</x:f>
      </x:c>
      <x:c r="S97" s="59" t="str">
        <x:f>IF($O97="","",--(OR($O97=3,AND($H97="Sim",$L97=$M97,$I97=$J97,$O97=2))))</x:f>
      </x:c>
      <x:c r="T97" s="59" t="str">
        <x:f>IF($O97="","",--($O97=-2))</x:f>
      </x:c>
      <x:c r="U97" s="59" t="str">
        <x:f>IF($O97="","",--($O97=1))</x:f>
      </x:c>
      <x:c r="V97" s="59" t="n">
        <x:f>--(AND($I97&lt;&gt;"",$J97&lt;&gt;""))</x:f>
        <x:v>0</x:v>
      </x:c>
    </x:row>
    <x:row r="98">
      <x:c r="A98" s="21" t="str">
        <x:f>INDEX(Config!$B$10:$B$16,INT((ROW()-5)/104)+1)</x:f>
        <x:v>Leo B.</x:v>
      </x:c>
      <x:c r="B98" s="21" t="str">
        <x:v>R16_06</x:v>
      </x:c>
      <x:c r="C98" s="21" t="n">
        <x:v>94</x:v>
      </x:c>
      <x:c r="D98" s="21" t="str">
        <x:v>Oitavas de final</x:v>
      </x:c>
      <x:c r="E98" s="21" t="str">
        <x:v>2026-07-06</x:v>
      </x:c>
      <x:c r="F98" s="21" t="str">
        <x:f>IFERROR(INDEX('Resultados'!$G$5:$G$108,MATCH($B98,'Resultados'!$A$5:$A$108,0)),"")</x:f>
        <x:v>Vencedor M81</x:v>
      </x:c>
      <x:c r="G98" s="21" t="str">
        <x:f>IFERROR(INDEX('Resultados'!$J$5:$J$108,MATCH($B98,'Resultados'!$A$5:$A$108,0)),"")</x:f>
        <x:v>Vencedor M82</x:v>
      </x:c>
      <x:c r="H98" s="21" t="str">
        <x:v>Sim</x:v>
      </x:c>
      <x:c r="I98" s="22"/>
      <x:c r="J98" s="22"/>
      <x:c r="K98" s="23"/>
      <x:c r="L98" s="21" t="str">
        <x:f>IFERROR(INDEX('Resultados'!$H$5:$H$108,MATCH($B98,'Resultados'!$A$5:$A$108,0)),"")</x:f>
      </x:c>
      <x:c r="M98" s="21" t="str">
        <x:f>IFERROR(INDEX('Resultados'!$I$5:$I$108,MATCH($B98,'Resultados'!$A$5:$A$108,0)),"")</x:f>
      </x:c>
      <x:c r="N98" s="21" t="str">
        <x:f>IFERROR(INDEX('Resultados'!$L$5:$L$108,MATCH($B98,'Resultados'!$A$5:$A$108,0)),"")</x:f>
      </x:c>
      <x:c r="O98" s="59" t="str">
        <x:f>IF(OR($I98="",$J98="",$L98="",$M98=""),"",IF(AND($H98="Sim",$L98=$M98),IF($I98&lt;&gt;$J98,0,IF(AND($I98=$L98,$J98=$M98),2,1)),IF(AND($I98=$L98,$J98=$M98),3,IF(AND($I98&lt;&gt;$J98,$I98=$M98,$J98=$L98),-2,IF(SIGN($I98-$J98)=SIGN($L98-$M98),1,0)))))</x:f>
      </x:c>
      <x:c r="P98" s="59" t="str">
        <x:f>IF(OR($H98&lt;&gt;"Sim",$I98="",$J98="",$L98="",$M98=""),"",IF(AND(IF($I98&gt;$J98,$F98,IF($I98&lt;$J98,$G98,$K98))&lt;&gt;"",IF($L98&gt;$M98,$F98,IF($L98&lt;$M98,$G98,$N98))&lt;&gt;"",IF($I98&gt;$J98,$F98,IF($I98&lt;$J98,$G98,$K98))=IF($L98&gt;$M98,$F98,IF($L98&lt;$M98,$G98,$N98))),1,0))</x:f>
      </x:c>
      <x:c r="Q98" s="59" t="str">
        <x:f>IF($O98="","",$O98+$P98)</x:f>
      </x:c>
      <x:c r="R98" s="59" t="str">
        <x:f>IF($Q98="","",IF($O98=3,"Cravada",IF(AND($H98="Sim",$L98=$M98,$I98=$J98,$O98=2),"Empate cravado",IF($O98=1,"Resultado certo",IF($O98=-2,"Invertida",IF($P98=1,"Acertou quem passa","Erro"))))))</x:f>
      </x:c>
      <x:c r="S98" s="59" t="str">
        <x:f>IF($O98="","",--(OR($O98=3,AND($H98="Sim",$L98=$M98,$I98=$J98,$O98=2))))</x:f>
      </x:c>
      <x:c r="T98" s="59" t="str">
        <x:f>IF($O98="","",--($O98=-2))</x:f>
      </x:c>
      <x:c r="U98" s="59" t="str">
        <x:f>IF($O98="","",--($O98=1))</x:f>
      </x:c>
      <x:c r="V98" s="59" t="n">
        <x:f>--(AND($I98&lt;&gt;"",$J98&lt;&gt;""))</x:f>
        <x:v>0</x:v>
      </x:c>
    </x:row>
    <x:row r="99">
      <x:c r="A99" s="21" t="str">
        <x:f>INDEX(Config!$B$10:$B$16,INT((ROW()-5)/104)+1)</x:f>
        <x:v>Leo B.</x:v>
      </x:c>
      <x:c r="B99" s="21" t="str">
        <x:v>R16_07</x:v>
      </x:c>
      <x:c r="C99" s="21" t="n">
        <x:v>95</x:v>
      </x:c>
      <x:c r="D99" s="21" t="str">
        <x:v>Oitavas de final</x:v>
      </x:c>
      <x:c r="E99" s="21" t="str">
        <x:v>2026-07-07</x:v>
      </x:c>
      <x:c r="F99" s="21" t="str">
        <x:f>IFERROR(INDEX('Resultados'!$G$5:$G$108,MATCH($B99,'Resultados'!$A$5:$A$108,0)),"")</x:f>
        <x:v>Vencedor M86</x:v>
      </x:c>
      <x:c r="G99" s="21" t="str">
        <x:f>IFERROR(INDEX('Resultados'!$J$5:$J$108,MATCH($B99,'Resultados'!$A$5:$A$108,0)),"")</x:f>
        <x:v>Vencedor M88</x:v>
      </x:c>
      <x:c r="H99" s="21" t="str">
        <x:v>Sim</x:v>
      </x:c>
      <x:c r="I99" s="22"/>
      <x:c r="J99" s="22"/>
      <x:c r="K99" s="23"/>
      <x:c r="L99" s="21" t="str">
        <x:f>IFERROR(INDEX('Resultados'!$H$5:$H$108,MATCH($B99,'Resultados'!$A$5:$A$108,0)),"")</x:f>
      </x:c>
      <x:c r="M99" s="21" t="str">
        <x:f>IFERROR(INDEX('Resultados'!$I$5:$I$108,MATCH($B99,'Resultados'!$A$5:$A$108,0)),"")</x:f>
      </x:c>
      <x:c r="N99" s="21" t="str">
        <x:f>IFERROR(INDEX('Resultados'!$L$5:$L$108,MATCH($B99,'Resultados'!$A$5:$A$108,0)),"")</x:f>
      </x:c>
      <x:c r="O99" s="59" t="str">
        <x:f>IF(OR($I99="",$J99="",$L99="",$M99=""),"",IF(AND($H99="Sim",$L99=$M99),IF($I99&lt;&gt;$J99,0,IF(AND($I99=$L99,$J99=$M99),2,1)),IF(AND($I99=$L99,$J99=$M99),3,IF(AND($I99&lt;&gt;$J99,$I99=$M99,$J99=$L99),-2,IF(SIGN($I99-$J99)=SIGN($L99-$M99),1,0)))))</x:f>
      </x:c>
      <x:c r="P99" s="59" t="str">
        <x:f>IF(OR($H99&lt;&gt;"Sim",$I99="",$J99="",$L99="",$M99=""),"",IF(AND(IF($I99&gt;$J99,$F99,IF($I99&lt;$J99,$G99,$K99))&lt;&gt;"",IF($L99&gt;$M99,$F99,IF($L99&lt;$M99,$G99,$N99))&lt;&gt;"",IF($I99&gt;$J99,$F99,IF($I99&lt;$J99,$G99,$K99))=IF($L99&gt;$M99,$F99,IF($L99&lt;$M99,$G99,$N99))),1,0))</x:f>
      </x:c>
      <x:c r="Q99" s="59" t="str">
        <x:f>IF($O99="","",$O99+$P99)</x:f>
      </x:c>
      <x:c r="R99" s="59" t="str">
        <x:f>IF($Q99="","",IF($O99=3,"Cravada",IF(AND($H99="Sim",$L99=$M99,$I99=$J99,$O99=2),"Empate cravado",IF($O99=1,"Resultado certo",IF($O99=-2,"Invertida",IF($P99=1,"Acertou quem passa","Erro"))))))</x:f>
      </x:c>
      <x:c r="S99" s="59" t="str">
        <x:f>IF($O99="","",--(OR($O99=3,AND($H99="Sim",$L99=$M99,$I99=$J99,$O99=2))))</x:f>
      </x:c>
      <x:c r="T99" s="59" t="str">
        <x:f>IF($O99="","",--($O99=-2))</x:f>
      </x:c>
      <x:c r="U99" s="59" t="str">
        <x:f>IF($O99="","",--($O99=1))</x:f>
      </x:c>
      <x:c r="V99" s="59" t="n">
        <x:f>--(AND($I99&lt;&gt;"",$J99&lt;&gt;""))</x:f>
        <x:v>0</x:v>
      </x:c>
    </x:row>
    <x:row r="100">
      <x:c r="A100" s="21" t="str">
        <x:f>INDEX(Config!$B$10:$B$16,INT((ROW()-5)/104)+1)</x:f>
        <x:v>Leo B.</x:v>
      </x:c>
      <x:c r="B100" s="21" t="str">
        <x:v>R16_08</x:v>
      </x:c>
      <x:c r="C100" s="21" t="n">
        <x:v>96</x:v>
      </x:c>
      <x:c r="D100" s="21" t="str">
        <x:v>Oitavas de final</x:v>
      </x:c>
      <x:c r="E100" s="21" t="str">
        <x:v>2026-07-07</x:v>
      </x:c>
      <x:c r="F100" s="21" t="str">
        <x:f>IFERROR(INDEX('Resultados'!$G$5:$G$108,MATCH($B100,'Resultados'!$A$5:$A$108,0)),"")</x:f>
        <x:v>Vencedor M85</x:v>
      </x:c>
      <x:c r="G100" s="21" t="str">
        <x:f>IFERROR(INDEX('Resultados'!$J$5:$J$108,MATCH($B100,'Resultados'!$A$5:$A$108,0)),"")</x:f>
        <x:v>Vencedor M87</x:v>
      </x:c>
      <x:c r="H100" s="21" t="str">
        <x:v>Sim</x:v>
      </x:c>
      <x:c r="I100" s="22"/>
      <x:c r="J100" s="22"/>
      <x:c r="K100" s="23"/>
      <x:c r="L100" s="21" t="str">
        <x:f>IFERROR(INDEX('Resultados'!$H$5:$H$108,MATCH($B100,'Resultados'!$A$5:$A$108,0)),"")</x:f>
      </x:c>
      <x:c r="M100" s="21" t="str">
        <x:f>IFERROR(INDEX('Resultados'!$I$5:$I$108,MATCH($B100,'Resultados'!$A$5:$A$108,0)),"")</x:f>
      </x:c>
      <x:c r="N100" s="21" t="str">
        <x:f>IFERROR(INDEX('Resultados'!$L$5:$L$108,MATCH($B100,'Resultados'!$A$5:$A$108,0)),"")</x:f>
      </x:c>
      <x:c r="O100" s="59" t="str">
        <x:f>IF(OR($I100="",$J100="",$L100="",$M100=""),"",IF(AND($H100="Sim",$L100=$M100),IF($I100&lt;&gt;$J100,0,IF(AND($I100=$L100,$J100=$M100),2,1)),IF(AND($I100=$L100,$J100=$M100),3,IF(AND($I100&lt;&gt;$J100,$I100=$M100,$J100=$L100),-2,IF(SIGN($I100-$J100)=SIGN($L100-$M100),1,0)))))</x:f>
      </x:c>
      <x:c r="P100" s="59" t="str">
        <x:f>IF(OR($H100&lt;&gt;"Sim",$I100="",$J100="",$L100="",$M100=""),"",IF(AND(IF($I100&gt;$J100,$F100,IF($I100&lt;$J100,$G100,$K100))&lt;&gt;"",IF($L100&gt;$M100,$F100,IF($L100&lt;$M100,$G100,$N100))&lt;&gt;"",IF($I100&gt;$J100,$F100,IF($I100&lt;$J100,$G100,$K100))=IF($L100&gt;$M100,$F100,IF($L100&lt;$M100,$G100,$N100))),1,0))</x:f>
      </x:c>
      <x:c r="Q100" s="59" t="str">
        <x:f>IF($O100="","",$O100+$P100)</x:f>
      </x:c>
      <x:c r="R100" s="59" t="str">
        <x:f>IF($Q100="","",IF($O100=3,"Cravada",IF(AND($H100="Sim",$L100=$M100,$I100=$J100,$O100=2),"Empate cravado",IF($O100=1,"Resultado certo",IF($O100=-2,"Invertida",IF($P100=1,"Acertou quem passa","Erro"))))))</x:f>
      </x:c>
      <x:c r="S100" s="59" t="str">
        <x:f>IF($O100="","",--(OR($O100=3,AND($H100="Sim",$L100=$M100,$I100=$J100,$O100=2))))</x:f>
      </x:c>
      <x:c r="T100" s="59" t="str">
        <x:f>IF($O100="","",--($O100=-2))</x:f>
      </x:c>
      <x:c r="U100" s="59" t="str">
        <x:f>IF($O100="","",--($O100=1))</x:f>
      </x:c>
      <x:c r="V100" s="59" t="n">
        <x:f>--(AND($I100&lt;&gt;"",$J100&lt;&gt;""))</x:f>
        <x:v>0</x:v>
      </x:c>
    </x:row>
    <x:row r="101">
      <x:c r="A101" s="21" t="str">
        <x:f>INDEX(Config!$B$10:$B$16,INT((ROW()-5)/104)+1)</x:f>
        <x:v>Leo B.</x:v>
      </x:c>
      <x:c r="B101" s="21" t="str">
        <x:v>QF_01</x:v>
      </x:c>
      <x:c r="C101" s="21" t="n">
        <x:v>97</x:v>
      </x:c>
      <x:c r="D101" s="21" t="str">
        <x:v>Quartas de final</x:v>
      </x:c>
      <x:c r="E101" s="21" t="str">
        <x:v>2026-07-09</x:v>
      </x:c>
      <x:c r="F101" s="21" t="str">
        <x:f>IFERROR(INDEX('Resultados'!$G$5:$G$108,MATCH($B101,'Resultados'!$A$5:$A$108,0)),"")</x:f>
        <x:v>Vencedor M89</x:v>
      </x:c>
      <x:c r="G101" s="21" t="str">
        <x:f>IFERROR(INDEX('Resultados'!$J$5:$J$108,MATCH($B101,'Resultados'!$A$5:$A$108,0)),"")</x:f>
        <x:v>Vencedor M90</x:v>
      </x:c>
      <x:c r="H101" s="21" t="str">
        <x:v>Sim</x:v>
      </x:c>
      <x:c r="I101" s="22"/>
      <x:c r="J101" s="22"/>
      <x:c r="K101" s="23"/>
      <x:c r="L101" s="21" t="str">
        <x:f>IFERROR(INDEX('Resultados'!$H$5:$H$108,MATCH($B101,'Resultados'!$A$5:$A$108,0)),"")</x:f>
      </x:c>
      <x:c r="M101" s="21" t="str">
        <x:f>IFERROR(INDEX('Resultados'!$I$5:$I$108,MATCH($B101,'Resultados'!$A$5:$A$108,0)),"")</x:f>
      </x:c>
      <x:c r="N101" s="21" t="str">
        <x:f>IFERROR(INDEX('Resultados'!$L$5:$L$108,MATCH($B101,'Resultados'!$A$5:$A$108,0)),"")</x:f>
      </x:c>
      <x:c r="O101" s="59" t="str">
        <x:f>IF(OR($I101="",$J101="",$L101="",$M101=""),"",IF(AND($H101="Sim",$L101=$M101),IF($I101&lt;&gt;$J101,0,IF(AND($I101=$L101,$J101=$M101),2,1)),IF(AND($I101=$L101,$J101=$M101),3,IF(AND($I101&lt;&gt;$J101,$I101=$M101,$J101=$L101),-2,IF(SIGN($I101-$J101)=SIGN($L101-$M101),1,0)))))</x:f>
      </x:c>
      <x:c r="P101" s="59" t="str">
        <x:f>IF(OR($H101&lt;&gt;"Sim",$I101="",$J101="",$L101="",$M101=""),"",IF(AND(IF($I101&gt;$J101,$F101,IF($I101&lt;$J101,$G101,$K101))&lt;&gt;"",IF($L101&gt;$M101,$F101,IF($L101&lt;$M101,$G101,$N101))&lt;&gt;"",IF($I101&gt;$J101,$F101,IF($I101&lt;$J101,$G101,$K101))=IF($L101&gt;$M101,$F101,IF($L101&lt;$M101,$G101,$N101))),1,0))</x:f>
      </x:c>
      <x:c r="Q101" s="59" t="str">
        <x:f>IF($O101="","",$O101+$P101)</x:f>
      </x:c>
      <x:c r="R101" s="59" t="str">
        <x:f>IF($Q101="","",IF($O101=3,"Cravada",IF(AND($H101="Sim",$L101=$M101,$I101=$J101,$O101=2),"Empate cravado",IF($O101=1,"Resultado certo",IF($O101=-2,"Invertida",IF($P101=1,"Acertou quem passa","Erro"))))))</x:f>
      </x:c>
      <x:c r="S101" s="59" t="str">
        <x:f>IF($O101="","",--(OR($O101=3,AND($H101="Sim",$L101=$M101,$I101=$J101,$O101=2))))</x:f>
      </x:c>
      <x:c r="T101" s="59" t="str">
        <x:f>IF($O101="","",--($O101=-2))</x:f>
      </x:c>
      <x:c r="U101" s="59" t="str">
        <x:f>IF($O101="","",--($O101=1))</x:f>
      </x:c>
      <x:c r="V101" s="59" t="n">
        <x:f>--(AND($I101&lt;&gt;"",$J101&lt;&gt;""))</x:f>
        <x:v>0</x:v>
      </x:c>
    </x:row>
    <x:row r="102">
      <x:c r="A102" s="21" t="str">
        <x:f>INDEX(Config!$B$10:$B$16,INT((ROW()-5)/104)+1)</x:f>
        <x:v>Leo B.</x:v>
      </x:c>
      <x:c r="B102" s="21" t="str">
        <x:v>QF_02</x:v>
      </x:c>
      <x:c r="C102" s="21" t="n">
        <x:v>98</x:v>
      </x:c>
      <x:c r="D102" s="21" t="str">
        <x:v>Quartas de final</x:v>
      </x:c>
      <x:c r="E102" s="21" t="str">
        <x:v>2026-07-10</x:v>
      </x:c>
      <x:c r="F102" s="21" t="str">
        <x:f>IFERROR(INDEX('Resultados'!$G$5:$G$108,MATCH($B102,'Resultados'!$A$5:$A$108,0)),"")</x:f>
        <x:v>Vencedor M93</x:v>
      </x:c>
      <x:c r="G102" s="21" t="str">
        <x:f>IFERROR(INDEX('Resultados'!$J$5:$J$108,MATCH($B102,'Resultados'!$A$5:$A$108,0)),"")</x:f>
        <x:v>Vencedor M94</x:v>
      </x:c>
      <x:c r="H102" s="21" t="str">
        <x:v>Sim</x:v>
      </x:c>
      <x:c r="I102" s="22"/>
      <x:c r="J102" s="22"/>
      <x:c r="K102" s="23"/>
      <x:c r="L102" s="21" t="str">
        <x:f>IFERROR(INDEX('Resultados'!$H$5:$H$108,MATCH($B102,'Resultados'!$A$5:$A$108,0)),"")</x:f>
      </x:c>
      <x:c r="M102" s="21" t="str">
        <x:f>IFERROR(INDEX('Resultados'!$I$5:$I$108,MATCH($B102,'Resultados'!$A$5:$A$108,0)),"")</x:f>
      </x:c>
      <x:c r="N102" s="21" t="str">
        <x:f>IFERROR(INDEX('Resultados'!$L$5:$L$108,MATCH($B102,'Resultados'!$A$5:$A$108,0)),"")</x:f>
      </x:c>
      <x:c r="O102" s="59" t="str">
        <x:f>IF(OR($I102="",$J102="",$L102="",$M102=""),"",IF(AND($H102="Sim",$L102=$M102),IF($I102&lt;&gt;$J102,0,IF(AND($I102=$L102,$J102=$M102),2,1)),IF(AND($I102=$L102,$J102=$M102),3,IF(AND($I102&lt;&gt;$J102,$I102=$M102,$J102=$L102),-2,IF(SIGN($I102-$J102)=SIGN($L102-$M102),1,0)))))</x:f>
      </x:c>
      <x:c r="P102" s="59" t="str">
        <x:f>IF(OR($H102&lt;&gt;"Sim",$I102="",$J102="",$L102="",$M102=""),"",IF(AND(IF($I102&gt;$J102,$F102,IF($I102&lt;$J102,$G102,$K102))&lt;&gt;"",IF($L102&gt;$M102,$F102,IF($L102&lt;$M102,$G102,$N102))&lt;&gt;"",IF($I102&gt;$J102,$F102,IF($I102&lt;$J102,$G102,$K102))=IF($L102&gt;$M102,$F102,IF($L102&lt;$M102,$G102,$N102))),1,0))</x:f>
      </x:c>
      <x:c r="Q102" s="59" t="str">
        <x:f>IF($O102="","",$O102+$P102)</x:f>
      </x:c>
      <x:c r="R102" s="59" t="str">
        <x:f>IF($Q102="","",IF($O102=3,"Cravada",IF(AND($H102="Sim",$L102=$M102,$I102=$J102,$O102=2),"Empate cravado",IF($O102=1,"Resultado certo",IF($O102=-2,"Invertida",IF($P102=1,"Acertou quem passa","Erro"))))))</x:f>
      </x:c>
      <x:c r="S102" s="59" t="str">
        <x:f>IF($O102="","",--(OR($O102=3,AND($H102="Sim",$L102=$M102,$I102=$J102,$O102=2))))</x:f>
      </x:c>
      <x:c r="T102" s="59" t="str">
        <x:f>IF($O102="","",--($O102=-2))</x:f>
      </x:c>
      <x:c r="U102" s="59" t="str">
        <x:f>IF($O102="","",--($O102=1))</x:f>
      </x:c>
      <x:c r="V102" s="59" t="n">
        <x:f>--(AND($I102&lt;&gt;"",$J102&lt;&gt;""))</x:f>
        <x:v>0</x:v>
      </x:c>
    </x:row>
    <x:row r="103">
      <x:c r="A103" s="21" t="str">
        <x:f>INDEX(Config!$B$10:$B$16,INT((ROW()-5)/104)+1)</x:f>
        <x:v>Leo B.</x:v>
      </x:c>
      <x:c r="B103" s="21" t="str">
        <x:v>QF_03</x:v>
      </x:c>
      <x:c r="C103" s="21" t="n">
        <x:v>99</x:v>
      </x:c>
      <x:c r="D103" s="21" t="str">
        <x:v>Quartas de final</x:v>
      </x:c>
      <x:c r="E103" s="21" t="str">
        <x:v>2026-07-11</x:v>
      </x:c>
      <x:c r="F103" s="21" t="str">
        <x:f>IFERROR(INDEX('Resultados'!$G$5:$G$108,MATCH($B103,'Resultados'!$A$5:$A$108,0)),"")</x:f>
        <x:v>Vencedor M91</x:v>
      </x:c>
      <x:c r="G103" s="21" t="str">
        <x:f>IFERROR(INDEX('Resultados'!$J$5:$J$108,MATCH($B103,'Resultados'!$A$5:$A$108,0)),"")</x:f>
        <x:v>Vencedor M92</x:v>
      </x:c>
      <x:c r="H103" s="21" t="str">
        <x:v>Sim</x:v>
      </x:c>
      <x:c r="I103" s="22"/>
      <x:c r="J103" s="22"/>
      <x:c r="K103" s="23"/>
      <x:c r="L103" s="21" t="str">
        <x:f>IFERROR(INDEX('Resultados'!$H$5:$H$108,MATCH($B103,'Resultados'!$A$5:$A$108,0)),"")</x:f>
      </x:c>
      <x:c r="M103" s="21" t="str">
        <x:f>IFERROR(INDEX('Resultados'!$I$5:$I$108,MATCH($B103,'Resultados'!$A$5:$A$108,0)),"")</x:f>
      </x:c>
      <x:c r="N103" s="21" t="str">
        <x:f>IFERROR(INDEX('Resultados'!$L$5:$L$108,MATCH($B103,'Resultados'!$A$5:$A$108,0)),"")</x:f>
      </x:c>
      <x:c r="O103" s="59" t="str">
        <x:f>IF(OR($I103="",$J103="",$L103="",$M103=""),"",IF(AND($H103="Sim",$L103=$M103),IF($I103&lt;&gt;$J103,0,IF(AND($I103=$L103,$J103=$M103),2,1)),IF(AND($I103=$L103,$J103=$M103),3,IF(AND($I103&lt;&gt;$J103,$I103=$M103,$J103=$L103),-2,IF(SIGN($I103-$J103)=SIGN($L103-$M103),1,0)))))</x:f>
      </x:c>
      <x:c r="P103" s="59" t="str">
        <x:f>IF(OR($H103&lt;&gt;"Sim",$I103="",$J103="",$L103="",$M103=""),"",IF(AND(IF($I103&gt;$J103,$F103,IF($I103&lt;$J103,$G103,$K103))&lt;&gt;"",IF($L103&gt;$M103,$F103,IF($L103&lt;$M103,$G103,$N103))&lt;&gt;"",IF($I103&gt;$J103,$F103,IF($I103&lt;$J103,$G103,$K103))=IF($L103&gt;$M103,$F103,IF($L103&lt;$M103,$G103,$N103))),1,0))</x:f>
      </x:c>
      <x:c r="Q103" s="59" t="str">
        <x:f>IF($O103="","",$O103+$P103)</x:f>
      </x:c>
      <x:c r="R103" s="59" t="str">
        <x:f>IF($Q103="","",IF($O103=3,"Cravada",IF(AND($H103="Sim",$L103=$M103,$I103=$J103,$O103=2),"Empate cravado",IF($O103=1,"Resultado certo",IF($O103=-2,"Invertida",IF($P103=1,"Acertou quem passa","Erro"))))))</x:f>
      </x:c>
      <x:c r="S103" s="59" t="str">
        <x:f>IF($O103="","",--(OR($O103=3,AND($H103="Sim",$L103=$M103,$I103=$J103,$O103=2))))</x:f>
      </x:c>
      <x:c r="T103" s="59" t="str">
        <x:f>IF($O103="","",--($O103=-2))</x:f>
      </x:c>
      <x:c r="U103" s="59" t="str">
        <x:f>IF($O103="","",--($O103=1))</x:f>
      </x:c>
      <x:c r="V103" s="59" t="n">
        <x:f>--(AND($I103&lt;&gt;"",$J103&lt;&gt;""))</x:f>
        <x:v>0</x:v>
      </x:c>
    </x:row>
    <x:row r="104">
      <x:c r="A104" s="21" t="str">
        <x:f>INDEX(Config!$B$10:$B$16,INT((ROW()-5)/104)+1)</x:f>
        <x:v>Leo B.</x:v>
      </x:c>
      <x:c r="B104" s="21" t="str">
        <x:v>QF_04</x:v>
      </x:c>
      <x:c r="C104" s="21" t="n">
        <x:v>100</x:v>
      </x:c>
      <x:c r="D104" s="21" t="str">
        <x:v>Quartas de final</x:v>
      </x:c>
      <x:c r="E104" s="21" t="str">
        <x:v>2026-07-11</x:v>
      </x:c>
      <x:c r="F104" s="21" t="str">
        <x:f>IFERROR(INDEX('Resultados'!$G$5:$G$108,MATCH($B104,'Resultados'!$A$5:$A$108,0)),"")</x:f>
        <x:v>Vencedor M95</x:v>
      </x:c>
      <x:c r="G104" s="21" t="str">
        <x:f>IFERROR(INDEX('Resultados'!$J$5:$J$108,MATCH($B104,'Resultados'!$A$5:$A$108,0)),"")</x:f>
        <x:v>Vencedor M96</x:v>
      </x:c>
      <x:c r="H104" s="21" t="str">
        <x:v>Sim</x:v>
      </x:c>
      <x:c r="I104" s="22"/>
      <x:c r="J104" s="22"/>
      <x:c r="K104" s="23"/>
      <x:c r="L104" s="21" t="str">
        <x:f>IFERROR(INDEX('Resultados'!$H$5:$H$108,MATCH($B104,'Resultados'!$A$5:$A$108,0)),"")</x:f>
      </x:c>
      <x:c r="M104" s="21" t="str">
        <x:f>IFERROR(INDEX('Resultados'!$I$5:$I$108,MATCH($B104,'Resultados'!$A$5:$A$108,0)),"")</x:f>
      </x:c>
      <x:c r="N104" s="21" t="str">
        <x:f>IFERROR(INDEX('Resultados'!$L$5:$L$108,MATCH($B104,'Resultados'!$A$5:$A$108,0)),"")</x:f>
      </x:c>
      <x:c r="O104" s="59" t="str">
        <x:f>IF(OR($I104="",$J104="",$L104="",$M104=""),"",IF(AND($H104="Sim",$L104=$M104),IF($I104&lt;&gt;$J104,0,IF(AND($I104=$L104,$J104=$M104),2,1)),IF(AND($I104=$L104,$J104=$M104),3,IF(AND($I104&lt;&gt;$J104,$I104=$M104,$J104=$L104),-2,IF(SIGN($I104-$J104)=SIGN($L104-$M104),1,0)))))</x:f>
      </x:c>
      <x:c r="P104" s="59" t="str">
        <x:f>IF(OR($H104&lt;&gt;"Sim",$I104="",$J104="",$L104="",$M104=""),"",IF(AND(IF($I104&gt;$J104,$F104,IF($I104&lt;$J104,$G104,$K104))&lt;&gt;"",IF($L104&gt;$M104,$F104,IF($L104&lt;$M104,$G104,$N104))&lt;&gt;"",IF($I104&gt;$J104,$F104,IF($I104&lt;$J104,$G104,$K104))=IF($L104&gt;$M104,$F104,IF($L104&lt;$M104,$G104,$N104))),1,0))</x:f>
      </x:c>
      <x:c r="Q104" s="59" t="str">
        <x:f>IF($O104="","",$O104+$P104)</x:f>
      </x:c>
      <x:c r="R104" s="59" t="str">
        <x:f>IF($Q104="","",IF($O104=3,"Cravada",IF(AND($H104="Sim",$L104=$M104,$I104=$J104,$O104=2),"Empate cravado",IF($O104=1,"Resultado certo",IF($O104=-2,"Invertida",IF($P104=1,"Acertou quem passa","Erro"))))))</x:f>
      </x:c>
      <x:c r="S104" s="59" t="str">
        <x:f>IF($O104="","",--(OR($O104=3,AND($H104="Sim",$L104=$M104,$I104=$J104,$O104=2))))</x:f>
      </x:c>
      <x:c r="T104" s="59" t="str">
        <x:f>IF($O104="","",--($O104=-2))</x:f>
      </x:c>
      <x:c r="U104" s="59" t="str">
        <x:f>IF($O104="","",--($O104=1))</x:f>
      </x:c>
      <x:c r="V104" s="59" t="n">
        <x:f>--(AND($I104&lt;&gt;"",$J104&lt;&gt;""))</x:f>
        <x:v>0</x:v>
      </x:c>
    </x:row>
    <x:row r="105">
      <x:c r="A105" s="21" t="str">
        <x:f>INDEX(Config!$B$10:$B$16,INT((ROW()-5)/104)+1)</x:f>
        <x:v>Leo B.</x:v>
      </x:c>
      <x:c r="B105" s="21" t="str">
        <x:v>SF_01</x:v>
      </x:c>
      <x:c r="C105" s="21" t="n">
        <x:v>101</x:v>
      </x:c>
      <x:c r="D105" s="21" t="str">
        <x:v>Semifinais</x:v>
      </x:c>
      <x:c r="E105" s="21" t="str">
        <x:v>2026-07-14</x:v>
      </x:c>
      <x:c r="F105" s="21" t="str">
        <x:f>IFERROR(INDEX('Resultados'!$G$5:$G$108,MATCH($B105,'Resultados'!$A$5:$A$108,0)),"")</x:f>
        <x:v>Vencedor M97</x:v>
      </x:c>
      <x:c r="G105" s="21" t="str">
        <x:f>IFERROR(INDEX('Resultados'!$J$5:$J$108,MATCH($B105,'Resultados'!$A$5:$A$108,0)),"")</x:f>
        <x:v>Vencedor M98</x:v>
      </x:c>
      <x:c r="H105" s="21" t="str">
        <x:v>Sim</x:v>
      </x:c>
      <x:c r="I105" s="22"/>
      <x:c r="J105" s="22"/>
      <x:c r="K105" s="23"/>
      <x:c r="L105" s="21" t="str">
        <x:f>IFERROR(INDEX('Resultados'!$H$5:$H$108,MATCH($B105,'Resultados'!$A$5:$A$108,0)),"")</x:f>
      </x:c>
      <x:c r="M105" s="21" t="str">
        <x:f>IFERROR(INDEX('Resultados'!$I$5:$I$108,MATCH($B105,'Resultados'!$A$5:$A$108,0)),"")</x:f>
      </x:c>
      <x:c r="N105" s="21" t="str">
        <x:f>IFERROR(INDEX('Resultados'!$L$5:$L$108,MATCH($B105,'Resultados'!$A$5:$A$108,0)),"")</x:f>
      </x:c>
      <x:c r="O105" s="59" t="str">
        <x:f>IF(OR($I105="",$J105="",$L105="",$M105=""),"",IF(AND($H105="Sim",$L105=$M105),IF($I105&lt;&gt;$J105,0,IF(AND($I105=$L105,$J105=$M105),2,1)),IF(AND($I105=$L105,$J105=$M105),3,IF(AND($I105&lt;&gt;$J105,$I105=$M105,$J105=$L105),-2,IF(SIGN($I105-$J105)=SIGN($L105-$M105),1,0)))))</x:f>
      </x:c>
      <x:c r="P105" s="59" t="str">
        <x:f>IF(OR($H105&lt;&gt;"Sim",$I105="",$J105="",$L105="",$M105=""),"",IF(AND(IF($I105&gt;$J105,$F105,IF($I105&lt;$J105,$G105,$K105))&lt;&gt;"",IF($L105&gt;$M105,$F105,IF($L105&lt;$M105,$G105,$N105))&lt;&gt;"",IF($I105&gt;$J105,$F105,IF($I105&lt;$J105,$G105,$K105))=IF($L105&gt;$M105,$F105,IF($L105&lt;$M105,$G105,$N105))),1,0))</x:f>
      </x:c>
      <x:c r="Q105" s="59" t="str">
        <x:f>IF($O105="","",$O105+$P105)</x:f>
      </x:c>
      <x:c r="R105" s="59" t="str">
        <x:f>IF($Q105="","",IF($O105=3,"Cravada",IF(AND($H105="Sim",$L105=$M105,$I105=$J105,$O105=2),"Empate cravado",IF($O105=1,"Resultado certo",IF($O105=-2,"Invertida",IF($P105=1,"Acertou quem passa","Erro"))))))</x:f>
      </x:c>
      <x:c r="S105" s="59" t="str">
        <x:f>IF($O105="","",--(OR($O105=3,AND($H105="Sim",$L105=$M105,$I105=$J105,$O105=2))))</x:f>
      </x:c>
      <x:c r="T105" s="59" t="str">
        <x:f>IF($O105="","",--($O105=-2))</x:f>
      </x:c>
      <x:c r="U105" s="59" t="str">
        <x:f>IF($O105="","",--($O105=1))</x:f>
      </x:c>
      <x:c r="V105" s="59" t="n">
        <x:f>--(AND($I105&lt;&gt;"",$J105&lt;&gt;""))</x:f>
        <x:v>0</x:v>
      </x:c>
    </x:row>
    <x:row r="106">
      <x:c r="A106" s="21" t="str">
        <x:f>INDEX(Config!$B$10:$B$16,INT((ROW()-5)/104)+1)</x:f>
        <x:v>Leo B.</x:v>
      </x:c>
      <x:c r="B106" s="21" t="str">
        <x:v>SF_02</x:v>
      </x:c>
      <x:c r="C106" s="21" t="n">
        <x:v>102</x:v>
      </x:c>
      <x:c r="D106" s="21" t="str">
        <x:v>Semifinais</x:v>
      </x:c>
      <x:c r="E106" s="21" t="str">
        <x:v>2026-07-15</x:v>
      </x:c>
      <x:c r="F106" s="21" t="str">
        <x:f>IFERROR(INDEX('Resultados'!$G$5:$G$108,MATCH($B106,'Resultados'!$A$5:$A$108,0)),"")</x:f>
        <x:v>Vencedor M99</x:v>
      </x:c>
      <x:c r="G106" s="21" t="str">
        <x:f>IFERROR(INDEX('Resultados'!$J$5:$J$108,MATCH($B106,'Resultados'!$A$5:$A$108,0)),"")</x:f>
        <x:v>Vencedor M100</x:v>
      </x:c>
      <x:c r="H106" s="21" t="str">
        <x:v>Sim</x:v>
      </x:c>
      <x:c r="I106" s="22"/>
      <x:c r="J106" s="22"/>
      <x:c r="K106" s="23"/>
      <x:c r="L106" s="21" t="str">
        <x:f>IFERROR(INDEX('Resultados'!$H$5:$H$108,MATCH($B106,'Resultados'!$A$5:$A$108,0)),"")</x:f>
      </x:c>
      <x:c r="M106" s="21" t="str">
        <x:f>IFERROR(INDEX('Resultados'!$I$5:$I$108,MATCH($B106,'Resultados'!$A$5:$A$108,0)),"")</x:f>
      </x:c>
      <x:c r="N106" s="21" t="str">
        <x:f>IFERROR(INDEX('Resultados'!$L$5:$L$108,MATCH($B106,'Resultados'!$A$5:$A$108,0)),"")</x:f>
      </x:c>
      <x:c r="O106" s="59" t="str">
        <x:f>IF(OR($I106="",$J106="",$L106="",$M106=""),"",IF(AND($H106="Sim",$L106=$M106),IF($I106&lt;&gt;$J106,0,IF(AND($I106=$L106,$J106=$M106),2,1)),IF(AND($I106=$L106,$J106=$M106),3,IF(AND($I106&lt;&gt;$J106,$I106=$M106,$J106=$L106),-2,IF(SIGN($I106-$J106)=SIGN($L106-$M106),1,0)))))</x:f>
      </x:c>
      <x:c r="P106" s="59" t="str">
        <x:f>IF(OR($H106&lt;&gt;"Sim",$I106="",$J106="",$L106="",$M106=""),"",IF(AND(IF($I106&gt;$J106,$F106,IF($I106&lt;$J106,$G106,$K106))&lt;&gt;"",IF($L106&gt;$M106,$F106,IF($L106&lt;$M106,$G106,$N106))&lt;&gt;"",IF($I106&gt;$J106,$F106,IF($I106&lt;$J106,$G106,$K106))=IF($L106&gt;$M106,$F106,IF($L106&lt;$M106,$G106,$N106))),1,0))</x:f>
      </x:c>
      <x:c r="Q106" s="59" t="str">
        <x:f>IF($O106="","",$O106+$P106)</x:f>
      </x:c>
      <x:c r="R106" s="59" t="str">
        <x:f>IF($Q106="","",IF($O106=3,"Cravada",IF(AND($H106="Sim",$L106=$M106,$I106=$J106,$O106=2),"Empate cravado",IF($O106=1,"Resultado certo",IF($O106=-2,"Invertida",IF($P106=1,"Acertou quem passa","Erro"))))))</x:f>
      </x:c>
      <x:c r="S106" s="59" t="str">
        <x:f>IF($O106="","",--(OR($O106=3,AND($H106="Sim",$L106=$M106,$I106=$J106,$O106=2))))</x:f>
      </x:c>
      <x:c r="T106" s="59" t="str">
        <x:f>IF($O106="","",--($O106=-2))</x:f>
      </x:c>
      <x:c r="U106" s="59" t="str">
        <x:f>IF($O106="","",--($O106=1))</x:f>
      </x:c>
      <x:c r="V106" s="59" t="n">
        <x:f>--(AND($I106&lt;&gt;"",$J106&lt;&gt;""))</x:f>
        <x:v>0</x:v>
      </x:c>
    </x:row>
    <x:row r="107">
      <x:c r="A107" s="21" t="str">
        <x:f>INDEX(Config!$B$10:$B$16,INT((ROW()-5)/104)+1)</x:f>
        <x:v>Leo B.</x:v>
      </x:c>
      <x:c r="B107" s="21" t="str">
        <x:v>P3</x:v>
      </x:c>
      <x:c r="C107" s="21" t="n">
        <x:v>103</x:v>
      </x:c>
      <x:c r="D107" s="21" t="str">
        <x:v>Disputa de 3º lugar</x:v>
      </x:c>
      <x:c r="E107" s="21" t="str">
        <x:v>2026-07-18</x:v>
      </x:c>
      <x:c r="F107" s="21" t="str">
        <x:f>IFERROR(INDEX('Resultados'!$G$5:$G$108,MATCH($B107,'Resultados'!$A$5:$A$108,0)),"")</x:f>
        <x:v>Perdedor M101</x:v>
      </x:c>
      <x:c r="G107" s="21" t="str">
        <x:f>IFERROR(INDEX('Resultados'!$J$5:$J$108,MATCH($B107,'Resultados'!$A$5:$A$108,0)),"")</x:f>
        <x:v>Perdedor M102</x:v>
      </x:c>
      <x:c r="H107" s="21" t="str">
        <x:v>Sim</x:v>
      </x:c>
      <x:c r="I107" s="22"/>
      <x:c r="J107" s="22"/>
      <x:c r="K107" s="23"/>
      <x:c r="L107" s="21" t="str">
        <x:f>IFERROR(INDEX('Resultados'!$H$5:$H$108,MATCH($B107,'Resultados'!$A$5:$A$108,0)),"")</x:f>
      </x:c>
      <x:c r="M107" s="21" t="str">
        <x:f>IFERROR(INDEX('Resultados'!$I$5:$I$108,MATCH($B107,'Resultados'!$A$5:$A$108,0)),"")</x:f>
      </x:c>
      <x:c r="N107" s="21" t="str">
        <x:f>IFERROR(INDEX('Resultados'!$L$5:$L$108,MATCH($B107,'Resultados'!$A$5:$A$108,0)),"")</x:f>
      </x:c>
      <x:c r="O107" s="59" t="str">
        <x:f>IF(OR($I107="",$J107="",$L107="",$M107=""),"",IF(AND($H107="Sim",$L107=$M107),IF($I107&lt;&gt;$J107,0,IF(AND($I107=$L107,$J107=$M107),2,1)),IF(AND($I107=$L107,$J107=$M107),3,IF(AND($I107&lt;&gt;$J107,$I107=$M107,$J107=$L107),-2,IF(SIGN($I107-$J107)=SIGN($L107-$M107),1,0)))))</x:f>
      </x:c>
      <x:c r="P107" s="59" t="str">
        <x:f>IF(OR($H107&lt;&gt;"Sim",$I107="",$J107="",$L107="",$M107=""),"",IF(AND(IF($I107&gt;$J107,$F107,IF($I107&lt;$J107,$G107,$K107))&lt;&gt;"",IF($L107&gt;$M107,$F107,IF($L107&lt;$M107,$G107,$N107))&lt;&gt;"",IF($I107&gt;$J107,$F107,IF($I107&lt;$J107,$G107,$K107))=IF($L107&gt;$M107,$F107,IF($L107&lt;$M107,$G107,$N107))),1,0))</x:f>
      </x:c>
      <x:c r="Q107" s="59" t="str">
        <x:f>IF($O107="","",$O107+$P107)</x:f>
      </x:c>
      <x:c r="R107" s="59" t="str">
        <x:f>IF($Q107="","",IF($O107=3,"Cravada",IF(AND($H107="Sim",$L107=$M107,$I107=$J107,$O107=2),"Empate cravado",IF($O107=1,"Resultado certo",IF($O107=-2,"Invertida",IF($P107=1,"Acertou quem passa","Erro"))))))</x:f>
      </x:c>
      <x:c r="S107" s="59" t="str">
        <x:f>IF($O107="","",--(OR($O107=3,AND($H107="Sim",$L107=$M107,$I107=$J107,$O107=2))))</x:f>
      </x:c>
      <x:c r="T107" s="59" t="str">
        <x:f>IF($O107="","",--($O107=-2))</x:f>
      </x:c>
      <x:c r="U107" s="59" t="str">
        <x:f>IF($O107="","",--($O107=1))</x:f>
      </x:c>
      <x:c r="V107" s="59" t="n">
        <x:f>--(AND($I107&lt;&gt;"",$J107&lt;&gt;""))</x:f>
        <x:v>0</x:v>
      </x:c>
    </x:row>
    <x:row r="108">
      <x:c r="A108" s="21" t="str">
        <x:f>INDEX(Config!$B$10:$B$16,INT((ROW()-5)/104)+1)</x:f>
        <x:v>Leo B.</x:v>
      </x:c>
      <x:c r="B108" s="21" t="str">
        <x:v>FINAL</x:v>
      </x:c>
      <x:c r="C108" s="21" t="n">
        <x:v>104</x:v>
      </x:c>
      <x:c r="D108" s="21" t="str">
        <x:v>Final</x:v>
      </x:c>
      <x:c r="E108" s="21" t="str">
        <x:v>2026-07-19</x:v>
      </x:c>
      <x:c r="F108" s="21" t="str">
        <x:f>IFERROR(INDEX('Resultados'!$G$5:$G$108,MATCH($B108,'Resultados'!$A$5:$A$108,0)),"")</x:f>
        <x:v>Vencedor M101</x:v>
      </x:c>
      <x:c r="G108" s="21" t="str">
        <x:f>IFERROR(INDEX('Resultados'!$J$5:$J$108,MATCH($B108,'Resultados'!$A$5:$A$108,0)),"")</x:f>
        <x:v>Vencedor M102</x:v>
      </x:c>
      <x:c r="H108" s="21" t="str">
        <x:v>Sim</x:v>
      </x:c>
      <x:c r="I108" s="22"/>
      <x:c r="J108" s="22"/>
      <x:c r="K108" s="23"/>
      <x:c r="L108" s="21" t="str">
        <x:f>IFERROR(INDEX('Resultados'!$H$5:$H$108,MATCH($B108,'Resultados'!$A$5:$A$108,0)),"")</x:f>
      </x:c>
      <x:c r="M108" s="21" t="str">
        <x:f>IFERROR(INDEX('Resultados'!$I$5:$I$108,MATCH($B108,'Resultados'!$A$5:$A$108,0)),"")</x:f>
      </x:c>
      <x:c r="N108" s="21" t="str">
        <x:f>IFERROR(INDEX('Resultados'!$L$5:$L$108,MATCH($B108,'Resultados'!$A$5:$A$108,0)),"")</x:f>
      </x:c>
      <x:c r="O108" s="59" t="str">
        <x:f>IF(OR($I108="",$J108="",$L108="",$M108=""),"",IF(AND($H108="Sim",$L108=$M108),IF($I108&lt;&gt;$J108,0,IF(AND($I108=$L108,$J108=$M108),2,1)),IF(AND($I108=$L108,$J108=$M108),3,IF(AND($I108&lt;&gt;$J108,$I108=$M108,$J108=$L108),-2,IF(SIGN($I108-$J108)=SIGN($L108-$M108),1,0)))))</x:f>
      </x:c>
      <x:c r="P108" s="59" t="str">
        <x:f>IF(OR($H108&lt;&gt;"Sim",$I108="",$J108="",$L108="",$M108=""),"",IF(AND(IF($I108&gt;$J108,$F108,IF($I108&lt;$J108,$G108,$K108))&lt;&gt;"",IF($L108&gt;$M108,$F108,IF($L108&lt;$M108,$G108,$N108))&lt;&gt;"",IF($I108&gt;$J108,$F108,IF($I108&lt;$J108,$G108,$K108))=IF($L108&gt;$M108,$F108,IF($L108&lt;$M108,$G108,$N108))),1,0))</x:f>
      </x:c>
      <x:c r="Q108" s="59" t="str">
        <x:f>IF($O108="","",$O108+$P108)</x:f>
      </x:c>
      <x:c r="R108" s="59" t="str">
        <x:f>IF($Q108="","",IF($O108=3,"Cravada",IF(AND($H108="Sim",$L108=$M108,$I108=$J108,$O108=2),"Empate cravado",IF($O108=1,"Resultado certo",IF($O108=-2,"Invertida",IF($P108=1,"Acertou quem passa","Erro"))))))</x:f>
      </x:c>
      <x:c r="S108" s="59" t="str">
        <x:f>IF($O108="","",--(OR($O108=3,AND($H108="Sim",$L108=$M108,$I108=$J108,$O108=2))))</x:f>
      </x:c>
      <x:c r="T108" s="59" t="str">
        <x:f>IF($O108="","",--($O108=-2))</x:f>
      </x:c>
      <x:c r="U108" s="59" t="str">
        <x:f>IF($O108="","",--($O108=1))</x:f>
      </x:c>
      <x:c r="V108" s="59" t="n">
        <x:f>--(AND($I108&lt;&gt;"",$J108&lt;&gt;""))</x:f>
        <x:v>0</x:v>
      </x:c>
    </x:row>
    <x:row r="109">
      <x:c r="A109" s="21" t="str">
        <x:f>INDEX(Config!$B$10:$B$16,INT((ROW()-5)/104)+1)</x:f>
        <x:v>Leo C.</x:v>
      </x:c>
      <x:c r="B109" s="21" t="str">
        <x:v>GA1</x:v>
      </x:c>
      <x:c r="C109" s="21" t="n">
        <x:v>1</x:v>
      </x:c>
      <x:c r="D109" s="21" t="str">
        <x:v>Grupo A</x:v>
      </x:c>
      <x:c r="E109" s="21" t="str">
        <x:v>2026-06-11</x:v>
      </x:c>
      <x:c r="F109" s="21" t="str">
        <x:f>IFERROR(INDEX('Resultados'!$G$5:$G$108,MATCH($B109,'Resultados'!$A$5:$A$108,0)),"")</x:f>
        <x:v>México</x:v>
      </x:c>
      <x:c r="G109" s="21" t="str">
        <x:f>IFERROR(INDEX('Resultados'!$J$5:$J$108,MATCH($B109,'Resultados'!$A$5:$A$108,0)),"")</x:f>
        <x:v>África do Sul</x:v>
      </x:c>
      <x:c r="H109" s="21" t="str">
        <x:v>Não</x:v>
      </x:c>
      <x:c r="I109" s="22"/>
      <x:c r="J109" s="22"/>
      <x:c r="K109" s="23"/>
      <x:c r="L109" s="21" t="str">
        <x:f>IFERROR(INDEX('Resultados'!$H$5:$H$108,MATCH($B109,'Resultados'!$A$5:$A$108,0)),"")</x:f>
      </x:c>
      <x:c r="M109" s="21" t="str">
        <x:f>IFERROR(INDEX('Resultados'!$I$5:$I$108,MATCH($B109,'Resultados'!$A$5:$A$108,0)),"")</x:f>
      </x:c>
      <x:c r="N109" s="21" t="str">
        <x:f>IFERROR(INDEX('Resultados'!$L$5:$L$108,MATCH($B109,'Resultados'!$A$5:$A$108,0)),"")</x:f>
      </x:c>
      <x:c r="O109" s="59" t="str">
        <x:f>IF(OR($I109="",$J109="",$L109="",$M109=""),"",IF(AND($H109="Sim",$L109=$M109),IF($I109&lt;&gt;$J109,0,IF(AND($I109=$L109,$J109=$M109),2,1)),IF(AND($I109=$L109,$J109=$M109),3,IF(AND($I109&lt;&gt;$J109,$I109=$M109,$J109=$L109),-2,IF(SIGN($I109-$J109)=SIGN($L109-$M109),1,0)))))</x:f>
      </x:c>
      <x:c r="P109" s="59" t="str">
        <x:f>IF(OR($H109&lt;&gt;"Sim",$I109="",$J109="",$L109="",$M109=""),"",IF(AND(IF($I109&gt;$J109,$F109,IF($I109&lt;$J109,$G109,$K109))&lt;&gt;"",IF($L109&gt;$M109,$F109,IF($L109&lt;$M109,$G109,$N109))&lt;&gt;"",IF($I109&gt;$J109,$F109,IF($I109&lt;$J109,$G109,$K109))=IF($L109&gt;$M109,$F109,IF($L109&lt;$M109,$G109,$N109))),1,0))</x:f>
      </x:c>
      <x:c r="Q109" s="59" t="str">
        <x:f>IF($O109="","",$O109+$P109)</x:f>
      </x:c>
      <x:c r="R109" s="59" t="str">
        <x:f>IF($Q109="","",IF($O109=3,"Cravada",IF(AND($H109="Sim",$L109=$M109,$I109=$J109,$O109=2),"Empate cravado",IF($O109=1,"Resultado certo",IF($O109=-2,"Invertida",IF($P109=1,"Acertou quem passa","Erro"))))))</x:f>
      </x:c>
      <x:c r="S109" s="59" t="str">
        <x:f>IF($O109="","",--(OR($O109=3,AND($H109="Sim",$L109=$M109,$I109=$J109,$O109=2))))</x:f>
      </x:c>
      <x:c r="T109" s="59" t="str">
        <x:f>IF($O109="","",--($O109=-2))</x:f>
      </x:c>
      <x:c r="U109" s="59" t="str">
        <x:f>IF($O109="","",--($O109=1))</x:f>
      </x:c>
      <x:c r="V109" s="59" t="n">
        <x:f>--(AND($I109&lt;&gt;"",$J109&lt;&gt;""))</x:f>
        <x:v>0</x:v>
      </x:c>
    </x:row>
    <x:row r="110">
      <x:c r="A110" s="21" t="str">
        <x:f>INDEX(Config!$B$10:$B$16,INT((ROW()-5)/104)+1)</x:f>
        <x:v>Leo C.</x:v>
      </x:c>
      <x:c r="B110" s="21" t="str">
        <x:v>GA2</x:v>
      </x:c>
      <x:c r="C110" s="21" t="n">
        <x:v>2</x:v>
      </x:c>
      <x:c r="D110" s="21" t="str">
        <x:v>Grupo A</x:v>
      </x:c>
      <x:c r="E110" s="21" t="str">
        <x:v>2026-06-11</x:v>
      </x:c>
      <x:c r="F110" s="21" t="str">
        <x:f>IFERROR(INDEX('Resultados'!$G$5:$G$108,MATCH($B110,'Resultados'!$A$5:$A$108,0)),"")</x:f>
        <x:v>Coreia do Sul</x:v>
      </x:c>
      <x:c r="G110" s="21" t="str">
        <x:f>IFERROR(INDEX('Resultados'!$J$5:$J$108,MATCH($B110,'Resultados'!$A$5:$A$108,0)),"")</x:f>
        <x:v>Rep. Tcheca</x:v>
      </x:c>
      <x:c r="H110" s="21" t="str">
        <x:v>Não</x:v>
      </x:c>
      <x:c r="I110" s="22"/>
      <x:c r="J110" s="22"/>
      <x:c r="K110" s="23"/>
      <x:c r="L110" s="21" t="str">
        <x:f>IFERROR(INDEX('Resultados'!$H$5:$H$108,MATCH($B110,'Resultados'!$A$5:$A$108,0)),"")</x:f>
      </x:c>
      <x:c r="M110" s="21" t="str">
        <x:f>IFERROR(INDEX('Resultados'!$I$5:$I$108,MATCH($B110,'Resultados'!$A$5:$A$108,0)),"")</x:f>
      </x:c>
      <x:c r="N110" s="21" t="str">
        <x:f>IFERROR(INDEX('Resultados'!$L$5:$L$108,MATCH($B110,'Resultados'!$A$5:$A$108,0)),"")</x:f>
      </x:c>
      <x:c r="O110" s="59" t="str">
        <x:f>IF(OR($I110="",$J110="",$L110="",$M110=""),"",IF(AND($H110="Sim",$L110=$M110),IF($I110&lt;&gt;$J110,0,IF(AND($I110=$L110,$J110=$M110),2,1)),IF(AND($I110=$L110,$J110=$M110),3,IF(AND($I110&lt;&gt;$J110,$I110=$M110,$J110=$L110),-2,IF(SIGN($I110-$J110)=SIGN($L110-$M110),1,0)))))</x:f>
      </x:c>
      <x:c r="P110" s="59" t="str">
        <x:f>IF(OR($H110&lt;&gt;"Sim",$I110="",$J110="",$L110="",$M110=""),"",IF(AND(IF($I110&gt;$J110,$F110,IF($I110&lt;$J110,$G110,$K110))&lt;&gt;"",IF($L110&gt;$M110,$F110,IF($L110&lt;$M110,$G110,$N110))&lt;&gt;"",IF($I110&gt;$J110,$F110,IF($I110&lt;$J110,$G110,$K110))=IF($L110&gt;$M110,$F110,IF($L110&lt;$M110,$G110,$N110))),1,0))</x:f>
      </x:c>
      <x:c r="Q110" s="59" t="str">
        <x:f>IF($O110="","",$O110+$P110)</x:f>
      </x:c>
      <x:c r="R110" s="59" t="str">
        <x:f>IF($Q110="","",IF($O110=3,"Cravada",IF(AND($H110="Sim",$L110=$M110,$I110=$J110,$O110=2),"Empate cravado",IF($O110=1,"Resultado certo",IF($O110=-2,"Invertida",IF($P110=1,"Acertou quem passa","Erro"))))))</x:f>
      </x:c>
      <x:c r="S110" s="59" t="str">
        <x:f>IF($O110="","",--(OR($O110=3,AND($H110="Sim",$L110=$M110,$I110=$J110,$O110=2))))</x:f>
      </x:c>
      <x:c r="T110" s="59" t="str">
        <x:f>IF($O110="","",--($O110=-2))</x:f>
      </x:c>
      <x:c r="U110" s="59" t="str">
        <x:f>IF($O110="","",--($O110=1))</x:f>
      </x:c>
      <x:c r="V110" s="59" t="n">
        <x:f>--(AND($I110&lt;&gt;"",$J110&lt;&gt;""))</x:f>
        <x:v>0</x:v>
      </x:c>
    </x:row>
    <x:row r="111">
      <x:c r="A111" s="21" t="str">
        <x:f>INDEX(Config!$B$10:$B$16,INT((ROW()-5)/104)+1)</x:f>
        <x:v>Leo C.</x:v>
      </x:c>
      <x:c r="B111" s="21" t="str">
        <x:v>GA3</x:v>
      </x:c>
      <x:c r="C111" s="21" t="n">
        <x:v>3</x:v>
      </x:c>
      <x:c r="D111" s="21" t="str">
        <x:v>Grupo A</x:v>
      </x:c>
      <x:c r="E111" s="21" t="str">
        <x:v>2026-06-18</x:v>
      </x:c>
      <x:c r="F111" s="21" t="str">
        <x:f>IFERROR(INDEX('Resultados'!$G$5:$G$108,MATCH($B111,'Resultados'!$A$5:$A$108,0)),"")</x:f>
        <x:v>México</x:v>
      </x:c>
      <x:c r="G111" s="21" t="str">
        <x:f>IFERROR(INDEX('Resultados'!$J$5:$J$108,MATCH($B111,'Resultados'!$A$5:$A$108,0)),"")</x:f>
        <x:v>Coreia do Sul</x:v>
      </x:c>
      <x:c r="H111" s="21" t="str">
        <x:v>Não</x:v>
      </x:c>
      <x:c r="I111" s="22"/>
      <x:c r="J111" s="22"/>
      <x:c r="K111" s="23"/>
      <x:c r="L111" s="21" t="str">
        <x:f>IFERROR(INDEX('Resultados'!$H$5:$H$108,MATCH($B111,'Resultados'!$A$5:$A$108,0)),"")</x:f>
      </x:c>
      <x:c r="M111" s="21" t="str">
        <x:f>IFERROR(INDEX('Resultados'!$I$5:$I$108,MATCH($B111,'Resultados'!$A$5:$A$108,0)),"")</x:f>
      </x:c>
      <x:c r="N111" s="21" t="str">
        <x:f>IFERROR(INDEX('Resultados'!$L$5:$L$108,MATCH($B111,'Resultados'!$A$5:$A$108,0)),"")</x:f>
      </x:c>
      <x:c r="O111" s="59" t="str">
        <x:f>IF(OR($I111="",$J111="",$L111="",$M111=""),"",IF(AND($H111="Sim",$L111=$M111),IF($I111&lt;&gt;$J111,0,IF(AND($I111=$L111,$J111=$M111),2,1)),IF(AND($I111=$L111,$J111=$M111),3,IF(AND($I111&lt;&gt;$J111,$I111=$M111,$J111=$L111),-2,IF(SIGN($I111-$J111)=SIGN($L111-$M111),1,0)))))</x:f>
      </x:c>
      <x:c r="P111" s="59" t="str">
        <x:f>IF(OR($H111&lt;&gt;"Sim",$I111="",$J111="",$L111="",$M111=""),"",IF(AND(IF($I111&gt;$J111,$F111,IF($I111&lt;$J111,$G111,$K111))&lt;&gt;"",IF($L111&gt;$M111,$F111,IF($L111&lt;$M111,$G111,$N111))&lt;&gt;"",IF($I111&gt;$J111,$F111,IF($I111&lt;$J111,$G111,$K111))=IF($L111&gt;$M111,$F111,IF($L111&lt;$M111,$G111,$N111))),1,0))</x:f>
      </x:c>
      <x:c r="Q111" s="59" t="str">
        <x:f>IF($O111="","",$O111+$P111)</x:f>
      </x:c>
      <x:c r="R111" s="59" t="str">
        <x:f>IF($Q111="","",IF($O111=3,"Cravada",IF(AND($H111="Sim",$L111=$M111,$I111=$J111,$O111=2),"Empate cravado",IF($O111=1,"Resultado certo",IF($O111=-2,"Invertida",IF($P111=1,"Acertou quem passa","Erro"))))))</x:f>
      </x:c>
      <x:c r="S111" s="59" t="str">
        <x:f>IF($O111="","",--(OR($O111=3,AND($H111="Sim",$L111=$M111,$I111=$J111,$O111=2))))</x:f>
      </x:c>
      <x:c r="T111" s="59" t="str">
        <x:f>IF($O111="","",--($O111=-2))</x:f>
      </x:c>
      <x:c r="U111" s="59" t="str">
        <x:f>IF($O111="","",--($O111=1))</x:f>
      </x:c>
      <x:c r="V111" s="59" t="n">
        <x:f>--(AND($I111&lt;&gt;"",$J111&lt;&gt;""))</x:f>
        <x:v>0</x:v>
      </x:c>
    </x:row>
    <x:row r="112">
      <x:c r="A112" s="21" t="str">
        <x:f>INDEX(Config!$B$10:$B$16,INT((ROW()-5)/104)+1)</x:f>
        <x:v>Leo C.</x:v>
      </x:c>
      <x:c r="B112" s="21" t="str">
        <x:v>GA4</x:v>
      </x:c>
      <x:c r="C112" s="21" t="n">
        <x:v>4</x:v>
      </x:c>
      <x:c r="D112" s="21" t="str">
        <x:v>Grupo A</x:v>
      </x:c>
      <x:c r="E112" s="21" t="str">
        <x:v>2026-06-18</x:v>
      </x:c>
      <x:c r="F112" s="21" t="str">
        <x:f>IFERROR(INDEX('Resultados'!$G$5:$G$108,MATCH($B112,'Resultados'!$A$5:$A$108,0)),"")</x:f>
        <x:v>África do Sul</x:v>
      </x:c>
      <x:c r="G112" s="21" t="str">
        <x:f>IFERROR(INDEX('Resultados'!$J$5:$J$108,MATCH($B112,'Resultados'!$A$5:$A$108,0)),"")</x:f>
        <x:v>Rep. Tcheca</x:v>
      </x:c>
      <x:c r="H112" s="21" t="str">
        <x:v>Não</x:v>
      </x:c>
      <x:c r="I112" s="22"/>
      <x:c r="J112" s="22"/>
      <x:c r="K112" s="23"/>
      <x:c r="L112" s="21" t="str">
        <x:f>IFERROR(INDEX('Resultados'!$H$5:$H$108,MATCH($B112,'Resultados'!$A$5:$A$108,0)),"")</x:f>
      </x:c>
      <x:c r="M112" s="21" t="str">
        <x:f>IFERROR(INDEX('Resultados'!$I$5:$I$108,MATCH($B112,'Resultados'!$A$5:$A$108,0)),"")</x:f>
      </x:c>
      <x:c r="N112" s="21" t="str">
        <x:f>IFERROR(INDEX('Resultados'!$L$5:$L$108,MATCH($B112,'Resultados'!$A$5:$A$108,0)),"")</x:f>
      </x:c>
      <x:c r="O112" s="59" t="str">
        <x:f>IF(OR($I112="",$J112="",$L112="",$M112=""),"",IF(AND($H112="Sim",$L112=$M112),IF($I112&lt;&gt;$J112,0,IF(AND($I112=$L112,$J112=$M112),2,1)),IF(AND($I112=$L112,$J112=$M112),3,IF(AND($I112&lt;&gt;$J112,$I112=$M112,$J112=$L112),-2,IF(SIGN($I112-$J112)=SIGN($L112-$M112),1,0)))))</x:f>
      </x:c>
      <x:c r="P112" s="59" t="str">
        <x:f>IF(OR($H112&lt;&gt;"Sim",$I112="",$J112="",$L112="",$M112=""),"",IF(AND(IF($I112&gt;$J112,$F112,IF($I112&lt;$J112,$G112,$K112))&lt;&gt;"",IF($L112&gt;$M112,$F112,IF($L112&lt;$M112,$G112,$N112))&lt;&gt;"",IF($I112&gt;$J112,$F112,IF($I112&lt;$J112,$G112,$K112))=IF($L112&gt;$M112,$F112,IF($L112&lt;$M112,$G112,$N112))),1,0))</x:f>
      </x:c>
      <x:c r="Q112" s="59" t="str">
        <x:f>IF($O112="","",$O112+$P112)</x:f>
      </x:c>
      <x:c r="R112" s="59" t="str">
        <x:f>IF($Q112="","",IF($O112=3,"Cravada",IF(AND($H112="Sim",$L112=$M112,$I112=$J112,$O112=2),"Empate cravado",IF($O112=1,"Resultado certo",IF($O112=-2,"Invertida",IF($P112=1,"Acertou quem passa","Erro"))))))</x:f>
      </x:c>
      <x:c r="S112" s="59" t="str">
        <x:f>IF($O112="","",--(OR($O112=3,AND($H112="Sim",$L112=$M112,$I112=$J112,$O112=2))))</x:f>
      </x:c>
      <x:c r="T112" s="59" t="str">
        <x:f>IF($O112="","",--($O112=-2))</x:f>
      </x:c>
      <x:c r="U112" s="59" t="str">
        <x:f>IF($O112="","",--($O112=1))</x:f>
      </x:c>
      <x:c r="V112" s="59" t="n">
        <x:f>--(AND($I112&lt;&gt;"",$J112&lt;&gt;""))</x:f>
        <x:v>0</x:v>
      </x:c>
    </x:row>
    <x:row r="113">
      <x:c r="A113" s="21" t="str">
        <x:f>INDEX(Config!$B$10:$B$16,INT((ROW()-5)/104)+1)</x:f>
        <x:v>Leo C.</x:v>
      </x:c>
      <x:c r="B113" s="21" t="str">
        <x:v>GA5</x:v>
      </x:c>
      <x:c r="C113" s="21" t="n">
        <x:v>5</x:v>
      </x:c>
      <x:c r="D113" s="21" t="str">
        <x:v>Grupo A</x:v>
      </x:c>
      <x:c r="E113" s="21" t="str">
        <x:v>2026-06-24</x:v>
      </x:c>
      <x:c r="F113" s="21" t="str">
        <x:f>IFERROR(INDEX('Resultados'!$G$5:$G$108,MATCH($B113,'Resultados'!$A$5:$A$108,0)),"")</x:f>
        <x:v>México</x:v>
      </x:c>
      <x:c r="G113" s="21" t="str">
        <x:f>IFERROR(INDEX('Resultados'!$J$5:$J$108,MATCH($B113,'Resultados'!$A$5:$A$108,0)),"")</x:f>
        <x:v>Rep. Tcheca</x:v>
      </x:c>
      <x:c r="H113" s="21" t="str">
        <x:v>Não</x:v>
      </x:c>
      <x:c r="I113" s="22"/>
      <x:c r="J113" s="22"/>
      <x:c r="K113" s="23"/>
      <x:c r="L113" s="21" t="str">
        <x:f>IFERROR(INDEX('Resultados'!$H$5:$H$108,MATCH($B113,'Resultados'!$A$5:$A$108,0)),"")</x:f>
      </x:c>
      <x:c r="M113" s="21" t="str">
        <x:f>IFERROR(INDEX('Resultados'!$I$5:$I$108,MATCH($B113,'Resultados'!$A$5:$A$108,0)),"")</x:f>
      </x:c>
      <x:c r="N113" s="21" t="str">
        <x:f>IFERROR(INDEX('Resultados'!$L$5:$L$108,MATCH($B113,'Resultados'!$A$5:$A$108,0)),"")</x:f>
      </x:c>
      <x:c r="O113" s="59" t="str">
        <x:f>IF(OR($I113="",$J113="",$L113="",$M113=""),"",IF(AND($H113="Sim",$L113=$M113),IF($I113&lt;&gt;$J113,0,IF(AND($I113=$L113,$J113=$M113),2,1)),IF(AND($I113=$L113,$J113=$M113),3,IF(AND($I113&lt;&gt;$J113,$I113=$M113,$J113=$L113),-2,IF(SIGN($I113-$J113)=SIGN($L113-$M113),1,0)))))</x:f>
      </x:c>
      <x:c r="P113" s="59" t="str">
        <x:f>IF(OR($H113&lt;&gt;"Sim",$I113="",$J113="",$L113="",$M113=""),"",IF(AND(IF($I113&gt;$J113,$F113,IF($I113&lt;$J113,$G113,$K113))&lt;&gt;"",IF($L113&gt;$M113,$F113,IF($L113&lt;$M113,$G113,$N113))&lt;&gt;"",IF($I113&gt;$J113,$F113,IF($I113&lt;$J113,$G113,$K113))=IF($L113&gt;$M113,$F113,IF($L113&lt;$M113,$G113,$N113))),1,0))</x:f>
      </x:c>
      <x:c r="Q113" s="59" t="str">
        <x:f>IF($O113="","",$O113+$P113)</x:f>
      </x:c>
      <x:c r="R113" s="59" t="str">
        <x:f>IF($Q113="","",IF($O113=3,"Cravada",IF(AND($H113="Sim",$L113=$M113,$I113=$J113,$O113=2),"Empate cravado",IF($O113=1,"Resultado certo",IF($O113=-2,"Invertida",IF($P113=1,"Acertou quem passa","Erro"))))))</x:f>
      </x:c>
      <x:c r="S113" s="59" t="str">
        <x:f>IF($O113="","",--(OR($O113=3,AND($H113="Sim",$L113=$M113,$I113=$J113,$O113=2))))</x:f>
      </x:c>
      <x:c r="T113" s="59" t="str">
        <x:f>IF($O113="","",--($O113=-2))</x:f>
      </x:c>
      <x:c r="U113" s="59" t="str">
        <x:f>IF($O113="","",--($O113=1))</x:f>
      </x:c>
      <x:c r="V113" s="59" t="n">
        <x:f>--(AND($I113&lt;&gt;"",$J113&lt;&gt;""))</x:f>
        <x:v>0</x:v>
      </x:c>
    </x:row>
    <x:row r="114">
      <x:c r="A114" s="21" t="str">
        <x:f>INDEX(Config!$B$10:$B$16,INT((ROW()-5)/104)+1)</x:f>
        <x:v>Leo C.</x:v>
      </x:c>
      <x:c r="B114" s="21" t="str">
        <x:v>GA6</x:v>
      </x:c>
      <x:c r="C114" s="21" t="n">
        <x:v>6</x:v>
      </x:c>
      <x:c r="D114" s="21" t="str">
        <x:v>Grupo A</x:v>
      </x:c>
      <x:c r="E114" s="21" t="str">
        <x:v>2026-06-24</x:v>
      </x:c>
      <x:c r="F114" s="21" t="str">
        <x:f>IFERROR(INDEX('Resultados'!$G$5:$G$108,MATCH($B114,'Resultados'!$A$5:$A$108,0)),"")</x:f>
        <x:v>África do Sul</x:v>
      </x:c>
      <x:c r="G114" s="21" t="str">
        <x:f>IFERROR(INDEX('Resultados'!$J$5:$J$108,MATCH($B114,'Resultados'!$A$5:$A$108,0)),"")</x:f>
        <x:v>Coreia do Sul</x:v>
      </x:c>
      <x:c r="H114" s="21" t="str">
        <x:v>Não</x:v>
      </x:c>
      <x:c r="I114" s="22"/>
      <x:c r="J114" s="22"/>
      <x:c r="K114" s="23"/>
      <x:c r="L114" s="21" t="str">
        <x:f>IFERROR(INDEX('Resultados'!$H$5:$H$108,MATCH($B114,'Resultados'!$A$5:$A$108,0)),"")</x:f>
      </x:c>
      <x:c r="M114" s="21" t="str">
        <x:f>IFERROR(INDEX('Resultados'!$I$5:$I$108,MATCH($B114,'Resultados'!$A$5:$A$108,0)),"")</x:f>
      </x:c>
      <x:c r="N114" s="21" t="str">
        <x:f>IFERROR(INDEX('Resultados'!$L$5:$L$108,MATCH($B114,'Resultados'!$A$5:$A$108,0)),"")</x:f>
      </x:c>
      <x:c r="O114" s="59" t="str">
        <x:f>IF(OR($I114="",$J114="",$L114="",$M114=""),"",IF(AND($H114="Sim",$L114=$M114),IF($I114&lt;&gt;$J114,0,IF(AND($I114=$L114,$J114=$M114),2,1)),IF(AND($I114=$L114,$J114=$M114),3,IF(AND($I114&lt;&gt;$J114,$I114=$M114,$J114=$L114),-2,IF(SIGN($I114-$J114)=SIGN($L114-$M114),1,0)))))</x:f>
      </x:c>
      <x:c r="P114" s="59" t="str">
        <x:f>IF(OR($H114&lt;&gt;"Sim",$I114="",$J114="",$L114="",$M114=""),"",IF(AND(IF($I114&gt;$J114,$F114,IF($I114&lt;$J114,$G114,$K114))&lt;&gt;"",IF($L114&gt;$M114,$F114,IF($L114&lt;$M114,$G114,$N114))&lt;&gt;"",IF($I114&gt;$J114,$F114,IF($I114&lt;$J114,$G114,$K114))=IF($L114&gt;$M114,$F114,IF($L114&lt;$M114,$G114,$N114))),1,0))</x:f>
      </x:c>
      <x:c r="Q114" s="59" t="str">
        <x:f>IF($O114="","",$O114+$P114)</x:f>
      </x:c>
      <x:c r="R114" s="59" t="str">
        <x:f>IF($Q114="","",IF($O114=3,"Cravada",IF(AND($H114="Sim",$L114=$M114,$I114=$J114,$O114=2),"Empate cravado",IF($O114=1,"Resultado certo",IF($O114=-2,"Invertida",IF($P114=1,"Acertou quem passa","Erro"))))))</x:f>
      </x:c>
      <x:c r="S114" s="59" t="str">
        <x:f>IF($O114="","",--(OR($O114=3,AND($H114="Sim",$L114=$M114,$I114=$J114,$O114=2))))</x:f>
      </x:c>
      <x:c r="T114" s="59" t="str">
        <x:f>IF($O114="","",--($O114=-2))</x:f>
      </x:c>
      <x:c r="U114" s="59" t="str">
        <x:f>IF($O114="","",--($O114=1))</x:f>
      </x:c>
      <x:c r="V114" s="59" t="n">
        <x:f>--(AND($I114&lt;&gt;"",$J114&lt;&gt;""))</x:f>
        <x:v>0</x:v>
      </x:c>
    </x:row>
    <x:row r="115">
      <x:c r="A115" s="21" t="str">
        <x:f>INDEX(Config!$B$10:$B$16,INT((ROW()-5)/104)+1)</x:f>
        <x:v>Leo C.</x:v>
      </x:c>
      <x:c r="B115" s="21" t="str">
        <x:v>GB1</x:v>
      </x:c>
      <x:c r="C115" s="21" t="n">
        <x:v>7</x:v>
      </x:c>
      <x:c r="D115" s="21" t="str">
        <x:v>Grupo B</x:v>
      </x:c>
      <x:c r="E115" s="21" t="str">
        <x:v>2026-06-12</x:v>
      </x:c>
      <x:c r="F115" s="21" t="str">
        <x:f>IFERROR(INDEX('Resultados'!$G$5:$G$108,MATCH($B115,'Resultados'!$A$5:$A$108,0)),"")</x:f>
        <x:v>Canadá</x:v>
      </x:c>
      <x:c r="G115" s="21" t="str">
        <x:f>IFERROR(INDEX('Resultados'!$J$5:$J$108,MATCH($B115,'Resultados'!$A$5:$A$108,0)),"")</x:f>
        <x:v>Bósnia-Herzegovina</x:v>
      </x:c>
      <x:c r="H115" s="21" t="str">
        <x:v>Não</x:v>
      </x:c>
      <x:c r="I115" s="22"/>
      <x:c r="J115" s="22"/>
      <x:c r="K115" s="23"/>
      <x:c r="L115" s="21" t="str">
        <x:f>IFERROR(INDEX('Resultados'!$H$5:$H$108,MATCH($B115,'Resultados'!$A$5:$A$108,0)),"")</x:f>
      </x:c>
      <x:c r="M115" s="21" t="str">
        <x:f>IFERROR(INDEX('Resultados'!$I$5:$I$108,MATCH($B115,'Resultados'!$A$5:$A$108,0)),"")</x:f>
      </x:c>
      <x:c r="N115" s="21" t="str">
        <x:f>IFERROR(INDEX('Resultados'!$L$5:$L$108,MATCH($B115,'Resultados'!$A$5:$A$108,0)),"")</x:f>
      </x:c>
      <x:c r="O115" s="59" t="str">
        <x:f>IF(OR($I115="",$J115="",$L115="",$M115=""),"",IF(AND($H115="Sim",$L115=$M115),IF($I115&lt;&gt;$J115,0,IF(AND($I115=$L115,$J115=$M115),2,1)),IF(AND($I115=$L115,$J115=$M115),3,IF(AND($I115&lt;&gt;$J115,$I115=$M115,$J115=$L115),-2,IF(SIGN($I115-$J115)=SIGN($L115-$M115),1,0)))))</x:f>
      </x:c>
      <x:c r="P115" s="59" t="str">
        <x:f>IF(OR($H115&lt;&gt;"Sim",$I115="",$J115="",$L115="",$M115=""),"",IF(AND(IF($I115&gt;$J115,$F115,IF($I115&lt;$J115,$G115,$K115))&lt;&gt;"",IF($L115&gt;$M115,$F115,IF($L115&lt;$M115,$G115,$N115))&lt;&gt;"",IF($I115&gt;$J115,$F115,IF($I115&lt;$J115,$G115,$K115))=IF($L115&gt;$M115,$F115,IF($L115&lt;$M115,$G115,$N115))),1,0))</x:f>
      </x:c>
      <x:c r="Q115" s="59" t="str">
        <x:f>IF($O115="","",$O115+$P115)</x:f>
      </x:c>
      <x:c r="R115" s="59" t="str">
        <x:f>IF($Q115="","",IF($O115=3,"Cravada",IF(AND($H115="Sim",$L115=$M115,$I115=$J115,$O115=2),"Empate cravado",IF($O115=1,"Resultado certo",IF($O115=-2,"Invertida",IF($P115=1,"Acertou quem passa","Erro"))))))</x:f>
      </x:c>
      <x:c r="S115" s="59" t="str">
        <x:f>IF($O115="","",--(OR($O115=3,AND($H115="Sim",$L115=$M115,$I115=$J115,$O115=2))))</x:f>
      </x:c>
      <x:c r="T115" s="59" t="str">
        <x:f>IF($O115="","",--($O115=-2))</x:f>
      </x:c>
      <x:c r="U115" s="59" t="str">
        <x:f>IF($O115="","",--($O115=1))</x:f>
      </x:c>
      <x:c r="V115" s="59" t="n">
        <x:f>--(AND($I115&lt;&gt;"",$J115&lt;&gt;""))</x:f>
        <x:v>0</x:v>
      </x:c>
    </x:row>
    <x:row r="116">
      <x:c r="A116" s="21" t="str">
        <x:f>INDEX(Config!$B$10:$B$16,INT((ROW()-5)/104)+1)</x:f>
        <x:v>Leo C.</x:v>
      </x:c>
      <x:c r="B116" s="21" t="str">
        <x:v>GB2</x:v>
      </x:c>
      <x:c r="C116" s="21" t="n">
        <x:v>8</x:v>
      </x:c>
      <x:c r="D116" s="21" t="str">
        <x:v>Grupo B</x:v>
      </x:c>
      <x:c r="E116" s="21" t="str">
        <x:v>2026-06-13</x:v>
      </x:c>
      <x:c r="F116" s="21" t="str">
        <x:f>IFERROR(INDEX('Resultados'!$G$5:$G$108,MATCH($B116,'Resultados'!$A$5:$A$108,0)),"")</x:f>
        <x:v>Catar</x:v>
      </x:c>
      <x:c r="G116" s="21" t="str">
        <x:f>IFERROR(INDEX('Resultados'!$J$5:$J$108,MATCH($B116,'Resultados'!$A$5:$A$108,0)),"")</x:f>
        <x:v>Suíça</x:v>
      </x:c>
      <x:c r="H116" s="21" t="str">
        <x:v>Não</x:v>
      </x:c>
      <x:c r="I116" s="22"/>
      <x:c r="J116" s="22"/>
      <x:c r="K116" s="23"/>
      <x:c r="L116" s="21" t="str">
        <x:f>IFERROR(INDEX('Resultados'!$H$5:$H$108,MATCH($B116,'Resultados'!$A$5:$A$108,0)),"")</x:f>
      </x:c>
      <x:c r="M116" s="21" t="str">
        <x:f>IFERROR(INDEX('Resultados'!$I$5:$I$108,MATCH($B116,'Resultados'!$A$5:$A$108,0)),"")</x:f>
      </x:c>
      <x:c r="N116" s="21" t="str">
        <x:f>IFERROR(INDEX('Resultados'!$L$5:$L$108,MATCH($B116,'Resultados'!$A$5:$A$108,0)),"")</x:f>
      </x:c>
      <x:c r="O116" s="59" t="str">
        <x:f>IF(OR($I116="",$J116="",$L116="",$M116=""),"",IF(AND($H116="Sim",$L116=$M116),IF($I116&lt;&gt;$J116,0,IF(AND($I116=$L116,$J116=$M116),2,1)),IF(AND($I116=$L116,$J116=$M116),3,IF(AND($I116&lt;&gt;$J116,$I116=$M116,$J116=$L116),-2,IF(SIGN($I116-$J116)=SIGN($L116-$M116),1,0)))))</x:f>
      </x:c>
      <x:c r="P116" s="59" t="str">
        <x:f>IF(OR($H116&lt;&gt;"Sim",$I116="",$J116="",$L116="",$M116=""),"",IF(AND(IF($I116&gt;$J116,$F116,IF($I116&lt;$J116,$G116,$K116))&lt;&gt;"",IF($L116&gt;$M116,$F116,IF($L116&lt;$M116,$G116,$N116))&lt;&gt;"",IF($I116&gt;$J116,$F116,IF($I116&lt;$J116,$G116,$K116))=IF($L116&gt;$M116,$F116,IF($L116&lt;$M116,$G116,$N116))),1,0))</x:f>
      </x:c>
      <x:c r="Q116" s="59" t="str">
        <x:f>IF($O116="","",$O116+$P116)</x:f>
      </x:c>
      <x:c r="R116" s="59" t="str">
        <x:f>IF($Q116="","",IF($O116=3,"Cravada",IF(AND($H116="Sim",$L116=$M116,$I116=$J116,$O116=2),"Empate cravado",IF($O116=1,"Resultado certo",IF($O116=-2,"Invertida",IF($P116=1,"Acertou quem passa","Erro"))))))</x:f>
      </x:c>
      <x:c r="S116" s="59" t="str">
        <x:f>IF($O116="","",--(OR($O116=3,AND($H116="Sim",$L116=$M116,$I116=$J116,$O116=2))))</x:f>
      </x:c>
      <x:c r="T116" s="59" t="str">
        <x:f>IF($O116="","",--($O116=-2))</x:f>
      </x:c>
      <x:c r="U116" s="59" t="str">
        <x:f>IF($O116="","",--($O116=1))</x:f>
      </x:c>
      <x:c r="V116" s="59" t="n">
        <x:f>--(AND($I116&lt;&gt;"",$J116&lt;&gt;""))</x:f>
        <x:v>0</x:v>
      </x:c>
    </x:row>
    <x:row r="117">
      <x:c r="A117" s="21" t="str">
        <x:f>INDEX(Config!$B$10:$B$16,INT((ROW()-5)/104)+1)</x:f>
        <x:v>Leo C.</x:v>
      </x:c>
      <x:c r="B117" s="21" t="str">
        <x:v>GB3</x:v>
      </x:c>
      <x:c r="C117" s="21" t="n">
        <x:v>9</x:v>
      </x:c>
      <x:c r="D117" s="21" t="str">
        <x:v>Grupo B</x:v>
      </x:c>
      <x:c r="E117" s="21" t="str">
        <x:v>2026-06-18</x:v>
      </x:c>
      <x:c r="F117" s="21" t="str">
        <x:f>IFERROR(INDEX('Resultados'!$G$5:$G$108,MATCH($B117,'Resultados'!$A$5:$A$108,0)),"")</x:f>
        <x:v>Canadá</x:v>
      </x:c>
      <x:c r="G117" s="21" t="str">
        <x:f>IFERROR(INDEX('Resultados'!$J$5:$J$108,MATCH($B117,'Resultados'!$A$5:$A$108,0)),"")</x:f>
        <x:v>Catar</x:v>
      </x:c>
      <x:c r="H117" s="21" t="str">
        <x:v>Não</x:v>
      </x:c>
      <x:c r="I117" s="22"/>
      <x:c r="J117" s="22"/>
      <x:c r="K117" s="23"/>
      <x:c r="L117" s="21" t="str">
        <x:f>IFERROR(INDEX('Resultados'!$H$5:$H$108,MATCH($B117,'Resultados'!$A$5:$A$108,0)),"")</x:f>
      </x:c>
      <x:c r="M117" s="21" t="str">
        <x:f>IFERROR(INDEX('Resultados'!$I$5:$I$108,MATCH($B117,'Resultados'!$A$5:$A$108,0)),"")</x:f>
      </x:c>
      <x:c r="N117" s="21" t="str">
        <x:f>IFERROR(INDEX('Resultados'!$L$5:$L$108,MATCH($B117,'Resultados'!$A$5:$A$108,0)),"")</x:f>
      </x:c>
      <x:c r="O117" s="59" t="str">
        <x:f>IF(OR($I117="",$J117="",$L117="",$M117=""),"",IF(AND($H117="Sim",$L117=$M117),IF($I117&lt;&gt;$J117,0,IF(AND($I117=$L117,$J117=$M117),2,1)),IF(AND($I117=$L117,$J117=$M117),3,IF(AND($I117&lt;&gt;$J117,$I117=$M117,$J117=$L117),-2,IF(SIGN($I117-$J117)=SIGN($L117-$M117),1,0)))))</x:f>
      </x:c>
      <x:c r="P117" s="59" t="str">
        <x:f>IF(OR($H117&lt;&gt;"Sim",$I117="",$J117="",$L117="",$M117=""),"",IF(AND(IF($I117&gt;$J117,$F117,IF($I117&lt;$J117,$G117,$K117))&lt;&gt;"",IF($L117&gt;$M117,$F117,IF($L117&lt;$M117,$G117,$N117))&lt;&gt;"",IF($I117&gt;$J117,$F117,IF($I117&lt;$J117,$G117,$K117))=IF($L117&gt;$M117,$F117,IF($L117&lt;$M117,$G117,$N117))),1,0))</x:f>
      </x:c>
      <x:c r="Q117" s="59" t="str">
        <x:f>IF($O117="","",$O117+$P117)</x:f>
      </x:c>
      <x:c r="R117" s="59" t="str">
        <x:f>IF($Q117="","",IF($O117=3,"Cravada",IF(AND($H117="Sim",$L117=$M117,$I117=$J117,$O117=2),"Empate cravado",IF($O117=1,"Resultado certo",IF($O117=-2,"Invertida",IF($P117=1,"Acertou quem passa","Erro"))))))</x:f>
      </x:c>
      <x:c r="S117" s="59" t="str">
        <x:f>IF($O117="","",--(OR($O117=3,AND($H117="Sim",$L117=$M117,$I117=$J117,$O117=2))))</x:f>
      </x:c>
      <x:c r="T117" s="59" t="str">
        <x:f>IF($O117="","",--($O117=-2))</x:f>
      </x:c>
      <x:c r="U117" s="59" t="str">
        <x:f>IF($O117="","",--($O117=1))</x:f>
      </x:c>
      <x:c r="V117" s="59" t="n">
        <x:f>--(AND($I117&lt;&gt;"",$J117&lt;&gt;""))</x:f>
        <x:v>0</x:v>
      </x:c>
    </x:row>
    <x:row r="118">
      <x:c r="A118" s="21" t="str">
        <x:f>INDEX(Config!$B$10:$B$16,INT((ROW()-5)/104)+1)</x:f>
        <x:v>Leo C.</x:v>
      </x:c>
      <x:c r="B118" s="21" t="str">
        <x:v>GB4</x:v>
      </x:c>
      <x:c r="C118" s="21" t="n">
        <x:v>10</x:v>
      </x:c>
      <x:c r="D118" s="21" t="str">
        <x:v>Grupo B</x:v>
      </x:c>
      <x:c r="E118" s="21" t="str">
        <x:v>2026-06-18</x:v>
      </x:c>
      <x:c r="F118" s="21" t="str">
        <x:f>IFERROR(INDEX('Resultados'!$G$5:$G$108,MATCH($B118,'Resultados'!$A$5:$A$108,0)),"")</x:f>
        <x:v>Bósnia-Herzegovina</x:v>
      </x:c>
      <x:c r="G118" s="21" t="str">
        <x:f>IFERROR(INDEX('Resultados'!$J$5:$J$108,MATCH($B118,'Resultados'!$A$5:$A$108,0)),"")</x:f>
        <x:v>Suíça</x:v>
      </x:c>
      <x:c r="H118" s="21" t="str">
        <x:v>Não</x:v>
      </x:c>
      <x:c r="I118" s="22"/>
      <x:c r="J118" s="22"/>
      <x:c r="K118" s="23"/>
      <x:c r="L118" s="21" t="str">
        <x:f>IFERROR(INDEX('Resultados'!$H$5:$H$108,MATCH($B118,'Resultados'!$A$5:$A$108,0)),"")</x:f>
      </x:c>
      <x:c r="M118" s="21" t="str">
        <x:f>IFERROR(INDEX('Resultados'!$I$5:$I$108,MATCH($B118,'Resultados'!$A$5:$A$108,0)),"")</x:f>
      </x:c>
      <x:c r="N118" s="21" t="str">
        <x:f>IFERROR(INDEX('Resultados'!$L$5:$L$108,MATCH($B118,'Resultados'!$A$5:$A$108,0)),"")</x:f>
      </x:c>
      <x:c r="O118" s="59" t="str">
        <x:f>IF(OR($I118="",$J118="",$L118="",$M118=""),"",IF(AND($H118="Sim",$L118=$M118),IF($I118&lt;&gt;$J118,0,IF(AND($I118=$L118,$J118=$M118),2,1)),IF(AND($I118=$L118,$J118=$M118),3,IF(AND($I118&lt;&gt;$J118,$I118=$M118,$J118=$L118),-2,IF(SIGN($I118-$J118)=SIGN($L118-$M118),1,0)))))</x:f>
      </x:c>
      <x:c r="P118" s="59" t="str">
        <x:f>IF(OR($H118&lt;&gt;"Sim",$I118="",$J118="",$L118="",$M118=""),"",IF(AND(IF($I118&gt;$J118,$F118,IF($I118&lt;$J118,$G118,$K118))&lt;&gt;"",IF($L118&gt;$M118,$F118,IF($L118&lt;$M118,$G118,$N118))&lt;&gt;"",IF($I118&gt;$J118,$F118,IF($I118&lt;$J118,$G118,$K118))=IF($L118&gt;$M118,$F118,IF($L118&lt;$M118,$G118,$N118))),1,0))</x:f>
      </x:c>
      <x:c r="Q118" s="59" t="str">
        <x:f>IF($O118="","",$O118+$P118)</x:f>
      </x:c>
      <x:c r="R118" s="59" t="str">
        <x:f>IF($Q118="","",IF($O118=3,"Cravada",IF(AND($H118="Sim",$L118=$M118,$I118=$J118,$O118=2),"Empate cravado",IF($O118=1,"Resultado certo",IF($O118=-2,"Invertida",IF($P118=1,"Acertou quem passa","Erro"))))))</x:f>
      </x:c>
      <x:c r="S118" s="59" t="str">
        <x:f>IF($O118="","",--(OR($O118=3,AND($H118="Sim",$L118=$M118,$I118=$J118,$O118=2))))</x:f>
      </x:c>
      <x:c r="T118" s="59" t="str">
        <x:f>IF($O118="","",--($O118=-2))</x:f>
      </x:c>
      <x:c r="U118" s="59" t="str">
        <x:f>IF($O118="","",--($O118=1))</x:f>
      </x:c>
      <x:c r="V118" s="59" t="n">
        <x:f>--(AND($I118&lt;&gt;"",$J118&lt;&gt;""))</x:f>
        <x:v>0</x:v>
      </x:c>
    </x:row>
    <x:row r="119">
      <x:c r="A119" s="21" t="str">
        <x:f>INDEX(Config!$B$10:$B$16,INT((ROW()-5)/104)+1)</x:f>
        <x:v>Leo C.</x:v>
      </x:c>
      <x:c r="B119" s="21" t="str">
        <x:v>GB5</x:v>
      </x:c>
      <x:c r="C119" s="21" t="n">
        <x:v>11</x:v>
      </x:c>
      <x:c r="D119" s="21" t="str">
        <x:v>Grupo B</x:v>
      </x:c>
      <x:c r="E119" s="21" t="str">
        <x:v>2026-06-24</x:v>
      </x:c>
      <x:c r="F119" s="21" t="str">
        <x:f>IFERROR(INDEX('Resultados'!$G$5:$G$108,MATCH($B119,'Resultados'!$A$5:$A$108,0)),"")</x:f>
        <x:v>Canadá</x:v>
      </x:c>
      <x:c r="G119" s="21" t="str">
        <x:f>IFERROR(INDEX('Resultados'!$J$5:$J$108,MATCH($B119,'Resultados'!$A$5:$A$108,0)),"")</x:f>
        <x:v>Suíça</x:v>
      </x:c>
      <x:c r="H119" s="21" t="str">
        <x:v>Não</x:v>
      </x:c>
      <x:c r="I119" s="22"/>
      <x:c r="J119" s="22"/>
      <x:c r="K119" s="23"/>
      <x:c r="L119" s="21" t="str">
        <x:f>IFERROR(INDEX('Resultados'!$H$5:$H$108,MATCH($B119,'Resultados'!$A$5:$A$108,0)),"")</x:f>
      </x:c>
      <x:c r="M119" s="21" t="str">
        <x:f>IFERROR(INDEX('Resultados'!$I$5:$I$108,MATCH($B119,'Resultados'!$A$5:$A$108,0)),"")</x:f>
      </x:c>
      <x:c r="N119" s="21" t="str">
        <x:f>IFERROR(INDEX('Resultados'!$L$5:$L$108,MATCH($B119,'Resultados'!$A$5:$A$108,0)),"")</x:f>
      </x:c>
      <x:c r="O119" s="59" t="str">
        <x:f>IF(OR($I119="",$J119="",$L119="",$M119=""),"",IF(AND($H119="Sim",$L119=$M119),IF($I119&lt;&gt;$J119,0,IF(AND($I119=$L119,$J119=$M119),2,1)),IF(AND($I119=$L119,$J119=$M119),3,IF(AND($I119&lt;&gt;$J119,$I119=$M119,$J119=$L119),-2,IF(SIGN($I119-$J119)=SIGN($L119-$M119),1,0)))))</x:f>
      </x:c>
      <x:c r="P119" s="59" t="str">
        <x:f>IF(OR($H119&lt;&gt;"Sim",$I119="",$J119="",$L119="",$M119=""),"",IF(AND(IF($I119&gt;$J119,$F119,IF($I119&lt;$J119,$G119,$K119))&lt;&gt;"",IF($L119&gt;$M119,$F119,IF($L119&lt;$M119,$G119,$N119))&lt;&gt;"",IF($I119&gt;$J119,$F119,IF($I119&lt;$J119,$G119,$K119))=IF($L119&gt;$M119,$F119,IF($L119&lt;$M119,$G119,$N119))),1,0))</x:f>
      </x:c>
      <x:c r="Q119" s="59" t="str">
        <x:f>IF($O119="","",$O119+$P119)</x:f>
      </x:c>
      <x:c r="R119" s="59" t="str">
        <x:f>IF($Q119="","",IF($O119=3,"Cravada",IF(AND($H119="Sim",$L119=$M119,$I119=$J119,$O119=2),"Empate cravado",IF($O119=1,"Resultado certo",IF($O119=-2,"Invertida",IF($P119=1,"Acertou quem passa","Erro"))))))</x:f>
      </x:c>
      <x:c r="S119" s="59" t="str">
        <x:f>IF($O119="","",--(OR($O119=3,AND($H119="Sim",$L119=$M119,$I119=$J119,$O119=2))))</x:f>
      </x:c>
      <x:c r="T119" s="59" t="str">
        <x:f>IF($O119="","",--($O119=-2))</x:f>
      </x:c>
      <x:c r="U119" s="59" t="str">
        <x:f>IF($O119="","",--($O119=1))</x:f>
      </x:c>
      <x:c r="V119" s="59" t="n">
        <x:f>--(AND($I119&lt;&gt;"",$J119&lt;&gt;""))</x:f>
        <x:v>0</x:v>
      </x:c>
    </x:row>
    <x:row r="120">
      <x:c r="A120" s="21" t="str">
        <x:f>INDEX(Config!$B$10:$B$16,INT((ROW()-5)/104)+1)</x:f>
        <x:v>Leo C.</x:v>
      </x:c>
      <x:c r="B120" s="21" t="str">
        <x:v>GB6</x:v>
      </x:c>
      <x:c r="C120" s="21" t="n">
        <x:v>12</x:v>
      </x:c>
      <x:c r="D120" s="21" t="str">
        <x:v>Grupo B</x:v>
      </x:c>
      <x:c r="E120" s="21" t="str">
        <x:v>2026-06-24</x:v>
      </x:c>
      <x:c r="F120" s="21" t="str">
        <x:f>IFERROR(INDEX('Resultados'!$G$5:$G$108,MATCH($B120,'Resultados'!$A$5:$A$108,0)),"")</x:f>
        <x:v>Bósnia-Herzegovina</x:v>
      </x:c>
      <x:c r="G120" s="21" t="str">
        <x:f>IFERROR(INDEX('Resultados'!$J$5:$J$108,MATCH($B120,'Resultados'!$A$5:$A$108,0)),"")</x:f>
        <x:v>Catar</x:v>
      </x:c>
      <x:c r="H120" s="21" t="str">
        <x:v>Não</x:v>
      </x:c>
      <x:c r="I120" s="22"/>
      <x:c r="J120" s="22"/>
      <x:c r="K120" s="23"/>
      <x:c r="L120" s="21" t="str">
        <x:f>IFERROR(INDEX('Resultados'!$H$5:$H$108,MATCH($B120,'Resultados'!$A$5:$A$108,0)),"")</x:f>
      </x:c>
      <x:c r="M120" s="21" t="str">
        <x:f>IFERROR(INDEX('Resultados'!$I$5:$I$108,MATCH($B120,'Resultados'!$A$5:$A$108,0)),"")</x:f>
      </x:c>
      <x:c r="N120" s="21" t="str">
        <x:f>IFERROR(INDEX('Resultados'!$L$5:$L$108,MATCH($B120,'Resultados'!$A$5:$A$108,0)),"")</x:f>
      </x:c>
      <x:c r="O120" s="59" t="str">
        <x:f>IF(OR($I120="",$J120="",$L120="",$M120=""),"",IF(AND($H120="Sim",$L120=$M120),IF($I120&lt;&gt;$J120,0,IF(AND($I120=$L120,$J120=$M120),2,1)),IF(AND($I120=$L120,$J120=$M120),3,IF(AND($I120&lt;&gt;$J120,$I120=$M120,$J120=$L120),-2,IF(SIGN($I120-$J120)=SIGN($L120-$M120),1,0)))))</x:f>
      </x:c>
      <x:c r="P120" s="59" t="str">
        <x:f>IF(OR($H120&lt;&gt;"Sim",$I120="",$J120="",$L120="",$M120=""),"",IF(AND(IF($I120&gt;$J120,$F120,IF($I120&lt;$J120,$G120,$K120))&lt;&gt;"",IF($L120&gt;$M120,$F120,IF($L120&lt;$M120,$G120,$N120))&lt;&gt;"",IF($I120&gt;$J120,$F120,IF($I120&lt;$J120,$G120,$K120))=IF($L120&gt;$M120,$F120,IF($L120&lt;$M120,$G120,$N120))),1,0))</x:f>
      </x:c>
      <x:c r="Q120" s="59" t="str">
        <x:f>IF($O120="","",$O120+$P120)</x:f>
      </x:c>
      <x:c r="R120" s="59" t="str">
        <x:f>IF($Q120="","",IF($O120=3,"Cravada",IF(AND($H120="Sim",$L120=$M120,$I120=$J120,$O120=2),"Empate cravado",IF($O120=1,"Resultado certo",IF($O120=-2,"Invertida",IF($P120=1,"Acertou quem passa","Erro"))))))</x:f>
      </x:c>
      <x:c r="S120" s="59" t="str">
        <x:f>IF($O120="","",--(OR($O120=3,AND($H120="Sim",$L120=$M120,$I120=$J120,$O120=2))))</x:f>
      </x:c>
      <x:c r="T120" s="59" t="str">
        <x:f>IF($O120="","",--($O120=-2))</x:f>
      </x:c>
      <x:c r="U120" s="59" t="str">
        <x:f>IF($O120="","",--($O120=1))</x:f>
      </x:c>
      <x:c r="V120" s="59" t="n">
        <x:f>--(AND($I120&lt;&gt;"",$J120&lt;&gt;""))</x:f>
        <x:v>0</x:v>
      </x:c>
    </x:row>
    <x:row r="121">
      <x:c r="A121" s="21" t="str">
        <x:f>INDEX(Config!$B$10:$B$16,INT((ROW()-5)/104)+1)</x:f>
        <x:v>Leo C.</x:v>
      </x:c>
      <x:c r="B121" s="21" t="str">
        <x:v>GC1</x:v>
      </x:c>
      <x:c r="C121" s="21" t="n">
        <x:v>13</x:v>
      </x:c>
      <x:c r="D121" s="21" t="str">
        <x:v>Grupo C</x:v>
      </x:c>
      <x:c r="E121" s="21" t="str">
        <x:v>2026-06-13</x:v>
      </x:c>
      <x:c r="F121" s="21" t="str">
        <x:f>IFERROR(INDEX('Resultados'!$G$5:$G$108,MATCH($B121,'Resultados'!$A$5:$A$108,0)),"")</x:f>
        <x:v>Brasil</x:v>
      </x:c>
      <x:c r="G121" s="21" t="str">
        <x:f>IFERROR(INDEX('Resultados'!$J$5:$J$108,MATCH($B121,'Resultados'!$A$5:$A$108,0)),"")</x:f>
        <x:v>Marrocos</x:v>
      </x:c>
      <x:c r="H121" s="21" t="str">
        <x:v>Não</x:v>
      </x:c>
      <x:c r="I121" s="22"/>
      <x:c r="J121" s="22"/>
      <x:c r="K121" s="23"/>
      <x:c r="L121" s="21" t="str">
        <x:f>IFERROR(INDEX('Resultados'!$H$5:$H$108,MATCH($B121,'Resultados'!$A$5:$A$108,0)),"")</x:f>
      </x:c>
      <x:c r="M121" s="21" t="str">
        <x:f>IFERROR(INDEX('Resultados'!$I$5:$I$108,MATCH($B121,'Resultados'!$A$5:$A$108,0)),"")</x:f>
      </x:c>
      <x:c r="N121" s="21" t="str">
        <x:f>IFERROR(INDEX('Resultados'!$L$5:$L$108,MATCH($B121,'Resultados'!$A$5:$A$108,0)),"")</x:f>
      </x:c>
      <x:c r="O121" s="59" t="str">
        <x:f>IF(OR($I121="",$J121="",$L121="",$M121=""),"",IF(AND($H121="Sim",$L121=$M121),IF($I121&lt;&gt;$J121,0,IF(AND($I121=$L121,$J121=$M121),2,1)),IF(AND($I121=$L121,$J121=$M121),3,IF(AND($I121&lt;&gt;$J121,$I121=$M121,$J121=$L121),-2,IF(SIGN($I121-$J121)=SIGN($L121-$M121),1,0)))))</x:f>
      </x:c>
      <x:c r="P121" s="59" t="str">
        <x:f>IF(OR($H121&lt;&gt;"Sim",$I121="",$J121="",$L121="",$M121=""),"",IF(AND(IF($I121&gt;$J121,$F121,IF($I121&lt;$J121,$G121,$K121))&lt;&gt;"",IF($L121&gt;$M121,$F121,IF($L121&lt;$M121,$G121,$N121))&lt;&gt;"",IF($I121&gt;$J121,$F121,IF($I121&lt;$J121,$G121,$K121))=IF($L121&gt;$M121,$F121,IF($L121&lt;$M121,$G121,$N121))),1,0))</x:f>
      </x:c>
      <x:c r="Q121" s="59" t="str">
        <x:f>IF($O121="","",$O121+$P121)</x:f>
      </x:c>
      <x:c r="R121" s="59" t="str">
        <x:f>IF($Q121="","",IF($O121=3,"Cravada",IF(AND($H121="Sim",$L121=$M121,$I121=$J121,$O121=2),"Empate cravado",IF($O121=1,"Resultado certo",IF($O121=-2,"Invertida",IF($P121=1,"Acertou quem passa","Erro"))))))</x:f>
      </x:c>
      <x:c r="S121" s="59" t="str">
        <x:f>IF($O121="","",--(OR($O121=3,AND($H121="Sim",$L121=$M121,$I121=$J121,$O121=2))))</x:f>
      </x:c>
      <x:c r="T121" s="59" t="str">
        <x:f>IF($O121="","",--($O121=-2))</x:f>
      </x:c>
      <x:c r="U121" s="59" t="str">
        <x:f>IF($O121="","",--($O121=1))</x:f>
      </x:c>
      <x:c r="V121" s="59" t="n">
        <x:f>--(AND($I121&lt;&gt;"",$J121&lt;&gt;""))</x:f>
        <x:v>0</x:v>
      </x:c>
    </x:row>
    <x:row r="122">
      <x:c r="A122" s="21" t="str">
        <x:f>INDEX(Config!$B$10:$B$16,INT((ROW()-5)/104)+1)</x:f>
        <x:v>Leo C.</x:v>
      </x:c>
      <x:c r="B122" s="21" t="str">
        <x:v>GC2</x:v>
      </x:c>
      <x:c r="C122" s="21" t="n">
        <x:v>14</x:v>
      </x:c>
      <x:c r="D122" s="21" t="str">
        <x:v>Grupo C</x:v>
      </x:c>
      <x:c r="E122" s="21" t="str">
        <x:v>2026-06-13</x:v>
      </x:c>
      <x:c r="F122" s="21" t="str">
        <x:f>IFERROR(INDEX('Resultados'!$G$5:$G$108,MATCH($B122,'Resultados'!$A$5:$A$108,0)),"")</x:f>
        <x:v>Haiti</x:v>
      </x:c>
      <x:c r="G122" s="21" t="str">
        <x:f>IFERROR(INDEX('Resultados'!$J$5:$J$108,MATCH($B122,'Resultados'!$A$5:$A$108,0)),"")</x:f>
        <x:v>Escócia</x:v>
      </x:c>
      <x:c r="H122" s="21" t="str">
        <x:v>Não</x:v>
      </x:c>
      <x:c r="I122" s="22"/>
      <x:c r="J122" s="22"/>
      <x:c r="K122" s="23"/>
      <x:c r="L122" s="21" t="str">
        <x:f>IFERROR(INDEX('Resultados'!$H$5:$H$108,MATCH($B122,'Resultados'!$A$5:$A$108,0)),"")</x:f>
      </x:c>
      <x:c r="M122" s="21" t="str">
        <x:f>IFERROR(INDEX('Resultados'!$I$5:$I$108,MATCH($B122,'Resultados'!$A$5:$A$108,0)),"")</x:f>
      </x:c>
      <x:c r="N122" s="21" t="str">
        <x:f>IFERROR(INDEX('Resultados'!$L$5:$L$108,MATCH($B122,'Resultados'!$A$5:$A$108,0)),"")</x:f>
      </x:c>
      <x:c r="O122" s="59" t="str">
        <x:f>IF(OR($I122="",$J122="",$L122="",$M122=""),"",IF(AND($H122="Sim",$L122=$M122),IF($I122&lt;&gt;$J122,0,IF(AND($I122=$L122,$J122=$M122),2,1)),IF(AND($I122=$L122,$J122=$M122),3,IF(AND($I122&lt;&gt;$J122,$I122=$M122,$J122=$L122),-2,IF(SIGN($I122-$J122)=SIGN($L122-$M122),1,0)))))</x:f>
      </x:c>
      <x:c r="P122" s="59" t="str">
        <x:f>IF(OR($H122&lt;&gt;"Sim",$I122="",$J122="",$L122="",$M122=""),"",IF(AND(IF($I122&gt;$J122,$F122,IF($I122&lt;$J122,$G122,$K122))&lt;&gt;"",IF($L122&gt;$M122,$F122,IF($L122&lt;$M122,$G122,$N122))&lt;&gt;"",IF($I122&gt;$J122,$F122,IF($I122&lt;$J122,$G122,$K122))=IF($L122&gt;$M122,$F122,IF($L122&lt;$M122,$G122,$N122))),1,0))</x:f>
      </x:c>
      <x:c r="Q122" s="59" t="str">
        <x:f>IF($O122="","",$O122+$P122)</x:f>
      </x:c>
      <x:c r="R122" s="59" t="str">
        <x:f>IF($Q122="","",IF($O122=3,"Cravada",IF(AND($H122="Sim",$L122=$M122,$I122=$J122,$O122=2),"Empate cravado",IF($O122=1,"Resultado certo",IF($O122=-2,"Invertida",IF($P122=1,"Acertou quem passa","Erro"))))))</x:f>
      </x:c>
      <x:c r="S122" s="59" t="str">
        <x:f>IF($O122="","",--(OR($O122=3,AND($H122="Sim",$L122=$M122,$I122=$J122,$O122=2))))</x:f>
      </x:c>
      <x:c r="T122" s="59" t="str">
        <x:f>IF($O122="","",--($O122=-2))</x:f>
      </x:c>
      <x:c r="U122" s="59" t="str">
        <x:f>IF($O122="","",--($O122=1))</x:f>
      </x:c>
      <x:c r="V122" s="59" t="n">
        <x:f>--(AND($I122&lt;&gt;"",$J122&lt;&gt;""))</x:f>
        <x:v>0</x:v>
      </x:c>
    </x:row>
    <x:row r="123">
      <x:c r="A123" s="21" t="str">
        <x:f>INDEX(Config!$B$10:$B$16,INT((ROW()-5)/104)+1)</x:f>
        <x:v>Leo C.</x:v>
      </x:c>
      <x:c r="B123" s="21" t="str">
        <x:v>GC3</x:v>
      </x:c>
      <x:c r="C123" s="21" t="n">
        <x:v>15</x:v>
      </x:c>
      <x:c r="D123" s="21" t="str">
        <x:v>Grupo C</x:v>
      </x:c>
      <x:c r="E123" s="21" t="str">
        <x:v>2026-06-19</x:v>
      </x:c>
      <x:c r="F123" s="21" t="str">
        <x:f>IFERROR(INDEX('Resultados'!$G$5:$G$108,MATCH($B123,'Resultados'!$A$5:$A$108,0)),"")</x:f>
        <x:v>Brasil</x:v>
      </x:c>
      <x:c r="G123" s="21" t="str">
        <x:f>IFERROR(INDEX('Resultados'!$J$5:$J$108,MATCH($B123,'Resultados'!$A$5:$A$108,0)),"")</x:f>
        <x:v>Haiti</x:v>
      </x:c>
      <x:c r="H123" s="21" t="str">
        <x:v>Não</x:v>
      </x:c>
      <x:c r="I123" s="22"/>
      <x:c r="J123" s="22"/>
      <x:c r="K123" s="23"/>
      <x:c r="L123" s="21" t="str">
        <x:f>IFERROR(INDEX('Resultados'!$H$5:$H$108,MATCH($B123,'Resultados'!$A$5:$A$108,0)),"")</x:f>
      </x:c>
      <x:c r="M123" s="21" t="str">
        <x:f>IFERROR(INDEX('Resultados'!$I$5:$I$108,MATCH($B123,'Resultados'!$A$5:$A$108,0)),"")</x:f>
      </x:c>
      <x:c r="N123" s="21" t="str">
        <x:f>IFERROR(INDEX('Resultados'!$L$5:$L$108,MATCH($B123,'Resultados'!$A$5:$A$108,0)),"")</x:f>
      </x:c>
      <x:c r="O123" s="59" t="str">
        <x:f>IF(OR($I123="",$J123="",$L123="",$M123=""),"",IF(AND($H123="Sim",$L123=$M123),IF($I123&lt;&gt;$J123,0,IF(AND($I123=$L123,$J123=$M123),2,1)),IF(AND($I123=$L123,$J123=$M123),3,IF(AND($I123&lt;&gt;$J123,$I123=$M123,$J123=$L123),-2,IF(SIGN($I123-$J123)=SIGN($L123-$M123),1,0)))))</x:f>
      </x:c>
      <x:c r="P123" s="59" t="str">
        <x:f>IF(OR($H123&lt;&gt;"Sim",$I123="",$J123="",$L123="",$M123=""),"",IF(AND(IF($I123&gt;$J123,$F123,IF($I123&lt;$J123,$G123,$K123))&lt;&gt;"",IF($L123&gt;$M123,$F123,IF($L123&lt;$M123,$G123,$N123))&lt;&gt;"",IF($I123&gt;$J123,$F123,IF($I123&lt;$J123,$G123,$K123))=IF($L123&gt;$M123,$F123,IF($L123&lt;$M123,$G123,$N123))),1,0))</x:f>
      </x:c>
      <x:c r="Q123" s="59" t="str">
        <x:f>IF($O123="","",$O123+$P123)</x:f>
      </x:c>
      <x:c r="R123" s="59" t="str">
        <x:f>IF($Q123="","",IF($O123=3,"Cravada",IF(AND($H123="Sim",$L123=$M123,$I123=$J123,$O123=2),"Empate cravado",IF($O123=1,"Resultado certo",IF($O123=-2,"Invertida",IF($P123=1,"Acertou quem passa","Erro"))))))</x:f>
      </x:c>
      <x:c r="S123" s="59" t="str">
        <x:f>IF($O123="","",--(OR($O123=3,AND($H123="Sim",$L123=$M123,$I123=$J123,$O123=2))))</x:f>
      </x:c>
      <x:c r="T123" s="59" t="str">
        <x:f>IF($O123="","",--($O123=-2))</x:f>
      </x:c>
      <x:c r="U123" s="59" t="str">
        <x:f>IF($O123="","",--($O123=1))</x:f>
      </x:c>
      <x:c r="V123" s="59" t="n">
        <x:f>--(AND($I123&lt;&gt;"",$J123&lt;&gt;""))</x:f>
        <x:v>0</x:v>
      </x:c>
    </x:row>
    <x:row r="124">
      <x:c r="A124" s="21" t="str">
        <x:f>INDEX(Config!$B$10:$B$16,INT((ROW()-5)/104)+1)</x:f>
        <x:v>Leo C.</x:v>
      </x:c>
      <x:c r="B124" s="21" t="str">
        <x:v>GC4</x:v>
      </x:c>
      <x:c r="C124" s="21" t="n">
        <x:v>16</x:v>
      </x:c>
      <x:c r="D124" s="21" t="str">
        <x:v>Grupo C</x:v>
      </x:c>
      <x:c r="E124" s="21" t="str">
        <x:v>2026-06-19</x:v>
      </x:c>
      <x:c r="F124" s="21" t="str">
        <x:f>IFERROR(INDEX('Resultados'!$G$5:$G$108,MATCH($B124,'Resultados'!$A$5:$A$108,0)),"")</x:f>
        <x:v>Marrocos</x:v>
      </x:c>
      <x:c r="G124" s="21" t="str">
        <x:f>IFERROR(INDEX('Resultados'!$J$5:$J$108,MATCH($B124,'Resultados'!$A$5:$A$108,0)),"")</x:f>
        <x:v>Escócia</x:v>
      </x:c>
      <x:c r="H124" s="21" t="str">
        <x:v>Não</x:v>
      </x:c>
      <x:c r="I124" s="22"/>
      <x:c r="J124" s="22"/>
      <x:c r="K124" s="23"/>
      <x:c r="L124" s="21" t="str">
        <x:f>IFERROR(INDEX('Resultados'!$H$5:$H$108,MATCH($B124,'Resultados'!$A$5:$A$108,0)),"")</x:f>
      </x:c>
      <x:c r="M124" s="21" t="str">
        <x:f>IFERROR(INDEX('Resultados'!$I$5:$I$108,MATCH($B124,'Resultados'!$A$5:$A$108,0)),"")</x:f>
      </x:c>
      <x:c r="N124" s="21" t="str">
        <x:f>IFERROR(INDEX('Resultados'!$L$5:$L$108,MATCH($B124,'Resultados'!$A$5:$A$108,0)),"")</x:f>
      </x:c>
      <x:c r="O124" s="59" t="str">
        <x:f>IF(OR($I124="",$J124="",$L124="",$M124=""),"",IF(AND($H124="Sim",$L124=$M124),IF($I124&lt;&gt;$J124,0,IF(AND($I124=$L124,$J124=$M124),2,1)),IF(AND($I124=$L124,$J124=$M124),3,IF(AND($I124&lt;&gt;$J124,$I124=$M124,$J124=$L124),-2,IF(SIGN($I124-$J124)=SIGN($L124-$M124),1,0)))))</x:f>
      </x:c>
      <x:c r="P124" s="59" t="str">
        <x:f>IF(OR($H124&lt;&gt;"Sim",$I124="",$J124="",$L124="",$M124=""),"",IF(AND(IF($I124&gt;$J124,$F124,IF($I124&lt;$J124,$G124,$K124))&lt;&gt;"",IF($L124&gt;$M124,$F124,IF($L124&lt;$M124,$G124,$N124))&lt;&gt;"",IF($I124&gt;$J124,$F124,IF($I124&lt;$J124,$G124,$K124))=IF($L124&gt;$M124,$F124,IF($L124&lt;$M124,$G124,$N124))),1,0))</x:f>
      </x:c>
      <x:c r="Q124" s="59" t="str">
        <x:f>IF($O124="","",$O124+$P124)</x:f>
      </x:c>
      <x:c r="R124" s="59" t="str">
        <x:f>IF($Q124="","",IF($O124=3,"Cravada",IF(AND($H124="Sim",$L124=$M124,$I124=$J124,$O124=2),"Empate cravado",IF($O124=1,"Resultado certo",IF($O124=-2,"Invertida",IF($P124=1,"Acertou quem passa","Erro"))))))</x:f>
      </x:c>
      <x:c r="S124" s="59" t="str">
        <x:f>IF($O124="","",--(OR($O124=3,AND($H124="Sim",$L124=$M124,$I124=$J124,$O124=2))))</x:f>
      </x:c>
      <x:c r="T124" s="59" t="str">
        <x:f>IF($O124="","",--($O124=-2))</x:f>
      </x:c>
      <x:c r="U124" s="59" t="str">
        <x:f>IF($O124="","",--($O124=1))</x:f>
      </x:c>
      <x:c r="V124" s="59" t="n">
        <x:f>--(AND($I124&lt;&gt;"",$J124&lt;&gt;""))</x:f>
        <x:v>0</x:v>
      </x:c>
    </x:row>
    <x:row r="125">
      <x:c r="A125" s="21" t="str">
        <x:f>INDEX(Config!$B$10:$B$16,INT((ROW()-5)/104)+1)</x:f>
        <x:v>Leo C.</x:v>
      </x:c>
      <x:c r="B125" s="21" t="str">
        <x:v>GC5</x:v>
      </x:c>
      <x:c r="C125" s="21" t="n">
        <x:v>17</x:v>
      </x:c>
      <x:c r="D125" s="21" t="str">
        <x:v>Grupo C</x:v>
      </x:c>
      <x:c r="E125" s="21" t="str">
        <x:v>2026-06-24</x:v>
      </x:c>
      <x:c r="F125" s="21" t="str">
        <x:f>IFERROR(INDEX('Resultados'!$G$5:$G$108,MATCH($B125,'Resultados'!$A$5:$A$108,0)),"")</x:f>
        <x:v>Brasil</x:v>
      </x:c>
      <x:c r="G125" s="21" t="str">
        <x:f>IFERROR(INDEX('Resultados'!$J$5:$J$108,MATCH($B125,'Resultados'!$A$5:$A$108,0)),"")</x:f>
        <x:v>Escócia</x:v>
      </x:c>
      <x:c r="H125" s="21" t="str">
        <x:v>Não</x:v>
      </x:c>
      <x:c r="I125" s="22"/>
      <x:c r="J125" s="22"/>
      <x:c r="K125" s="23"/>
      <x:c r="L125" s="21" t="str">
        <x:f>IFERROR(INDEX('Resultados'!$H$5:$H$108,MATCH($B125,'Resultados'!$A$5:$A$108,0)),"")</x:f>
      </x:c>
      <x:c r="M125" s="21" t="str">
        <x:f>IFERROR(INDEX('Resultados'!$I$5:$I$108,MATCH($B125,'Resultados'!$A$5:$A$108,0)),"")</x:f>
      </x:c>
      <x:c r="N125" s="21" t="str">
        <x:f>IFERROR(INDEX('Resultados'!$L$5:$L$108,MATCH($B125,'Resultados'!$A$5:$A$108,0)),"")</x:f>
      </x:c>
      <x:c r="O125" s="59" t="str">
        <x:f>IF(OR($I125="",$J125="",$L125="",$M125=""),"",IF(AND($H125="Sim",$L125=$M125),IF($I125&lt;&gt;$J125,0,IF(AND($I125=$L125,$J125=$M125),2,1)),IF(AND($I125=$L125,$J125=$M125),3,IF(AND($I125&lt;&gt;$J125,$I125=$M125,$J125=$L125),-2,IF(SIGN($I125-$J125)=SIGN($L125-$M125),1,0)))))</x:f>
      </x:c>
      <x:c r="P125" s="59" t="str">
        <x:f>IF(OR($H125&lt;&gt;"Sim",$I125="",$J125="",$L125="",$M125=""),"",IF(AND(IF($I125&gt;$J125,$F125,IF($I125&lt;$J125,$G125,$K125))&lt;&gt;"",IF($L125&gt;$M125,$F125,IF($L125&lt;$M125,$G125,$N125))&lt;&gt;"",IF($I125&gt;$J125,$F125,IF($I125&lt;$J125,$G125,$K125))=IF($L125&gt;$M125,$F125,IF($L125&lt;$M125,$G125,$N125))),1,0))</x:f>
      </x:c>
      <x:c r="Q125" s="59" t="str">
        <x:f>IF($O125="","",$O125+$P125)</x:f>
      </x:c>
      <x:c r="R125" s="59" t="str">
        <x:f>IF($Q125="","",IF($O125=3,"Cravada",IF(AND($H125="Sim",$L125=$M125,$I125=$J125,$O125=2),"Empate cravado",IF($O125=1,"Resultado certo",IF($O125=-2,"Invertida",IF($P125=1,"Acertou quem passa","Erro"))))))</x:f>
      </x:c>
      <x:c r="S125" s="59" t="str">
        <x:f>IF($O125="","",--(OR($O125=3,AND($H125="Sim",$L125=$M125,$I125=$J125,$O125=2))))</x:f>
      </x:c>
      <x:c r="T125" s="59" t="str">
        <x:f>IF($O125="","",--($O125=-2))</x:f>
      </x:c>
      <x:c r="U125" s="59" t="str">
        <x:f>IF($O125="","",--($O125=1))</x:f>
      </x:c>
      <x:c r="V125" s="59" t="n">
        <x:f>--(AND($I125&lt;&gt;"",$J125&lt;&gt;""))</x:f>
        <x:v>0</x:v>
      </x:c>
    </x:row>
    <x:row r="126">
      <x:c r="A126" s="21" t="str">
        <x:f>INDEX(Config!$B$10:$B$16,INT((ROW()-5)/104)+1)</x:f>
        <x:v>Leo C.</x:v>
      </x:c>
      <x:c r="B126" s="21" t="str">
        <x:v>GC6</x:v>
      </x:c>
      <x:c r="C126" s="21" t="n">
        <x:v>18</x:v>
      </x:c>
      <x:c r="D126" s="21" t="str">
        <x:v>Grupo C</x:v>
      </x:c>
      <x:c r="E126" s="21" t="str">
        <x:v>2026-06-24</x:v>
      </x:c>
      <x:c r="F126" s="21" t="str">
        <x:f>IFERROR(INDEX('Resultados'!$G$5:$G$108,MATCH($B126,'Resultados'!$A$5:$A$108,0)),"")</x:f>
        <x:v>Marrocos</x:v>
      </x:c>
      <x:c r="G126" s="21" t="str">
        <x:f>IFERROR(INDEX('Resultados'!$J$5:$J$108,MATCH($B126,'Resultados'!$A$5:$A$108,0)),"")</x:f>
        <x:v>Haiti</x:v>
      </x:c>
      <x:c r="H126" s="21" t="str">
        <x:v>Não</x:v>
      </x:c>
      <x:c r="I126" s="22"/>
      <x:c r="J126" s="22"/>
      <x:c r="K126" s="23"/>
      <x:c r="L126" s="21" t="str">
        <x:f>IFERROR(INDEX('Resultados'!$H$5:$H$108,MATCH($B126,'Resultados'!$A$5:$A$108,0)),"")</x:f>
      </x:c>
      <x:c r="M126" s="21" t="str">
        <x:f>IFERROR(INDEX('Resultados'!$I$5:$I$108,MATCH($B126,'Resultados'!$A$5:$A$108,0)),"")</x:f>
      </x:c>
      <x:c r="N126" s="21" t="str">
        <x:f>IFERROR(INDEX('Resultados'!$L$5:$L$108,MATCH($B126,'Resultados'!$A$5:$A$108,0)),"")</x:f>
      </x:c>
      <x:c r="O126" s="59" t="str">
        <x:f>IF(OR($I126="",$J126="",$L126="",$M126=""),"",IF(AND($H126="Sim",$L126=$M126),IF($I126&lt;&gt;$J126,0,IF(AND($I126=$L126,$J126=$M126),2,1)),IF(AND($I126=$L126,$J126=$M126),3,IF(AND($I126&lt;&gt;$J126,$I126=$M126,$J126=$L126),-2,IF(SIGN($I126-$J126)=SIGN($L126-$M126),1,0)))))</x:f>
      </x:c>
      <x:c r="P126" s="59" t="str">
        <x:f>IF(OR($H126&lt;&gt;"Sim",$I126="",$J126="",$L126="",$M126=""),"",IF(AND(IF($I126&gt;$J126,$F126,IF($I126&lt;$J126,$G126,$K126))&lt;&gt;"",IF($L126&gt;$M126,$F126,IF($L126&lt;$M126,$G126,$N126))&lt;&gt;"",IF($I126&gt;$J126,$F126,IF($I126&lt;$J126,$G126,$K126))=IF($L126&gt;$M126,$F126,IF($L126&lt;$M126,$G126,$N126))),1,0))</x:f>
      </x:c>
      <x:c r="Q126" s="59" t="str">
        <x:f>IF($O126="","",$O126+$P126)</x:f>
      </x:c>
      <x:c r="R126" s="59" t="str">
        <x:f>IF($Q126="","",IF($O126=3,"Cravada",IF(AND($H126="Sim",$L126=$M126,$I126=$J126,$O126=2),"Empate cravado",IF($O126=1,"Resultado certo",IF($O126=-2,"Invertida",IF($P126=1,"Acertou quem passa","Erro"))))))</x:f>
      </x:c>
      <x:c r="S126" s="59" t="str">
        <x:f>IF($O126="","",--(OR($O126=3,AND($H126="Sim",$L126=$M126,$I126=$J126,$O126=2))))</x:f>
      </x:c>
      <x:c r="T126" s="59" t="str">
        <x:f>IF($O126="","",--($O126=-2))</x:f>
      </x:c>
      <x:c r="U126" s="59" t="str">
        <x:f>IF($O126="","",--($O126=1))</x:f>
      </x:c>
      <x:c r="V126" s="59" t="n">
        <x:f>--(AND($I126&lt;&gt;"",$J126&lt;&gt;""))</x:f>
        <x:v>0</x:v>
      </x:c>
    </x:row>
    <x:row r="127">
      <x:c r="A127" s="21" t="str">
        <x:f>INDEX(Config!$B$10:$B$16,INT((ROW()-5)/104)+1)</x:f>
        <x:v>Leo C.</x:v>
      </x:c>
      <x:c r="B127" s="21" t="str">
        <x:v>GD1</x:v>
      </x:c>
      <x:c r="C127" s="21" t="n">
        <x:v>19</x:v>
      </x:c>
      <x:c r="D127" s="21" t="str">
        <x:v>Grupo D</x:v>
      </x:c>
      <x:c r="E127" s="21" t="str">
        <x:v>2026-06-12</x:v>
      </x:c>
      <x:c r="F127" s="21" t="str">
        <x:f>IFERROR(INDEX('Resultados'!$G$5:$G$108,MATCH($B127,'Resultados'!$A$5:$A$108,0)),"")</x:f>
        <x:v>EUA</x:v>
      </x:c>
      <x:c r="G127" s="21" t="str">
        <x:f>IFERROR(INDEX('Resultados'!$J$5:$J$108,MATCH($B127,'Resultados'!$A$5:$A$108,0)),"")</x:f>
        <x:v>Paraguai</x:v>
      </x:c>
      <x:c r="H127" s="21" t="str">
        <x:v>Não</x:v>
      </x:c>
      <x:c r="I127" s="22"/>
      <x:c r="J127" s="22"/>
      <x:c r="K127" s="23"/>
      <x:c r="L127" s="21" t="str">
        <x:f>IFERROR(INDEX('Resultados'!$H$5:$H$108,MATCH($B127,'Resultados'!$A$5:$A$108,0)),"")</x:f>
      </x:c>
      <x:c r="M127" s="21" t="str">
        <x:f>IFERROR(INDEX('Resultados'!$I$5:$I$108,MATCH($B127,'Resultados'!$A$5:$A$108,0)),"")</x:f>
      </x:c>
      <x:c r="N127" s="21" t="str">
        <x:f>IFERROR(INDEX('Resultados'!$L$5:$L$108,MATCH($B127,'Resultados'!$A$5:$A$108,0)),"")</x:f>
      </x:c>
      <x:c r="O127" s="59" t="str">
        <x:f>IF(OR($I127="",$J127="",$L127="",$M127=""),"",IF(AND($H127="Sim",$L127=$M127),IF($I127&lt;&gt;$J127,0,IF(AND($I127=$L127,$J127=$M127),2,1)),IF(AND($I127=$L127,$J127=$M127),3,IF(AND($I127&lt;&gt;$J127,$I127=$M127,$J127=$L127),-2,IF(SIGN($I127-$J127)=SIGN($L127-$M127),1,0)))))</x:f>
      </x:c>
      <x:c r="P127" s="59" t="str">
        <x:f>IF(OR($H127&lt;&gt;"Sim",$I127="",$J127="",$L127="",$M127=""),"",IF(AND(IF($I127&gt;$J127,$F127,IF($I127&lt;$J127,$G127,$K127))&lt;&gt;"",IF($L127&gt;$M127,$F127,IF($L127&lt;$M127,$G127,$N127))&lt;&gt;"",IF($I127&gt;$J127,$F127,IF($I127&lt;$J127,$G127,$K127))=IF($L127&gt;$M127,$F127,IF($L127&lt;$M127,$G127,$N127))),1,0))</x:f>
      </x:c>
      <x:c r="Q127" s="59" t="str">
        <x:f>IF($O127="","",$O127+$P127)</x:f>
      </x:c>
      <x:c r="R127" s="59" t="str">
        <x:f>IF($Q127="","",IF($O127=3,"Cravada",IF(AND($H127="Sim",$L127=$M127,$I127=$J127,$O127=2),"Empate cravado",IF($O127=1,"Resultado certo",IF($O127=-2,"Invertida",IF($P127=1,"Acertou quem passa","Erro"))))))</x:f>
      </x:c>
      <x:c r="S127" s="59" t="str">
        <x:f>IF($O127="","",--(OR($O127=3,AND($H127="Sim",$L127=$M127,$I127=$J127,$O127=2))))</x:f>
      </x:c>
      <x:c r="T127" s="59" t="str">
        <x:f>IF($O127="","",--($O127=-2))</x:f>
      </x:c>
      <x:c r="U127" s="59" t="str">
        <x:f>IF($O127="","",--($O127=1))</x:f>
      </x:c>
      <x:c r="V127" s="59" t="n">
        <x:f>--(AND($I127&lt;&gt;"",$J127&lt;&gt;""))</x:f>
        <x:v>0</x:v>
      </x:c>
    </x:row>
    <x:row r="128">
      <x:c r="A128" s="21" t="str">
        <x:f>INDEX(Config!$B$10:$B$16,INT((ROW()-5)/104)+1)</x:f>
        <x:v>Leo C.</x:v>
      </x:c>
      <x:c r="B128" s="21" t="str">
        <x:v>GD2</x:v>
      </x:c>
      <x:c r="C128" s="21" t="n">
        <x:v>20</x:v>
      </x:c>
      <x:c r="D128" s="21" t="str">
        <x:v>Grupo D</x:v>
      </x:c>
      <x:c r="E128" s="21" t="str">
        <x:v>2026-06-14</x:v>
      </x:c>
      <x:c r="F128" s="21" t="str">
        <x:f>IFERROR(INDEX('Resultados'!$G$5:$G$108,MATCH($B128,'Resultados'!$A$5:$A$108,0)),"")</x:f>
        <x:v>Austrália</x:v>
      </x:c>
      <x:c r="G128" s="21" t="str">
        <x:f>IFERROR(INDEX('Resultados'!$J$5:$J$108,MATCH($B128,'Resultados'!$A$5:$A$108,0)),"")</x:f>
        <x:v>Turquia</x:v>
      </x:c>
      <x:c r="H128" s="21" t="str">
        <x:v>Não</x:v>
      </x:c>
      <x:c r="I128" s="22"/>
      <x:c r="J128" s="22"/>
      <x:c r="K128" s="23"/>
      <x:c r="L128" s="21" t="str">
        <x:f>IFERROR(INDEX('Resultados'!$H$5:$H$108,MATCH($B128,'Resultados'!$A$5:$A$108,0)),"")</x:f>
      </x:c>
      <x:c r="M128" s="21" t="str">
        <x:f>IFERROR(INDEX('Resultados'!$I$5:$I$108,MATCH($B128,'Resultados'!$A$5:$A$108,0)),"")</x:f>
      </x:c>
      <x:c r="N128" s="21" t="str">
        <x:f>IFERROR(INDEX('Resultados'!$L$5:$L$108,MATCH($B128,'Resultados'!$A$5:$A$108,0)),"")</x:f>
      </x:c>
      <x:c r="O128" s="59" t="str">
        <x:f>IF(OR($I128="",$J128="",$L128="",$M128=""),"",IF(AND($H128="Sim",$L128=$M128),IF($I128&lt;&gt;$J128,0,IF(AND($I128=$L128,$J128=$M128),2,1)),IF(AND($I128=$L128,$J128=$M128),3,IF(AND($I128&lt;&gt;$J128,$I128=$M128,$J128=$L128),-2,IF(SIGN($I128-$J128)=SIGN($L128-$M128),1,0)))))</x:f>
      </x:c>
      <x:c r="P128" s="59" t="str">
        <x:f>IF(OR($H128&lt;&gt;"Sim",$I128="",$J128="",$L128="",$M128=""),"",IF(AND(IF($I128&gt;$J128,$F128,IF($I128&lt;$J128,$G128,$K128))&lt;&gt;"",IF($L128&gt;$M128,$F128,IF($L128&lt;$M128,$G128,$N128))&lt;&gt;"",IF($I128&gt;$J128,$F128,IF($I128&lt;$J128,$G128,$K128))=IF($L128&gt;$M128,$F128,IF($L128&lt;$M128,$G128,$N128))),1,0))</x:f>
      </x:c>
      <x:c r="Q128" s="59" t="str">
        <x:f>IF($O128="","",$O128+$P128)</x:f>
      </x:c>
      <x:c r="R128" s="59" t="str">
        <x:f>IF($Q128="","",IF($O128=3,"Cravada",IF(AND($H128="Sim",$L128=$M128,$I128=$J128,$O128=2),"Empate cravado",IF($O128=1,"Resultado certo",IF($O128=-2,"Invertida",IF($P128=1,"Acertou quem passa","Erro"))))))</x:f>
      </x:c>
      <x:c r="S128" s="59" t="str">
        <x:f>IF($O128="","",--(OR($O128=3,AND($H128="Sim",$L128=$M128,$I128=$J128,$O128=2))))</x:f>
      </x:c>
      <x:c r="T128" s="59" t="str">
        <x:f>IF($O128="","",--($O128=-2))</x:f>
      </x:c>
      <x:c r="U128" s="59" t="str">
        <x:f>IF($O128="","",--($O128=1))</x:f>
      </x:c>
      <x:c r="V128" s="59" t="n">
        <x:f>--(AND($I128&lt;&gt;"",$J128&lt;&gt;""))</x:f>
        <x:v>0</x:v>
      </x:c>
    </x:row>
    <x:row r="129">
      <x:c r="A129" s="21" t="str">
        <x:f>INDEX(Config!$B$10:$B$16,INT((ROW()-5)/104)+1)</x:f>
        <x:v>Leo C.</x:v>
      </x:c>
      <x:c r="B129" s="21" t="str">
        <x:v>GD3</x:v>
      </x:c>
      <x:c r="C129" s="21" t="n">
        <x:v>21</x:v>
      </x:c>
      <x:c r="D129" s="21" t="str">
        <x:v>Grupo D</x:v>
      </x:c>
      <x:c r="E129" s="21" t="str">
        <x:v>2026-06-19</x:v>
      </x:c>
      <x:c r="F129" s="21" t="str">
        <x:f>IFERROR(INDEX('Resultados'!$G$5:$G$108,MATCH($B129,'Resultados'!$A$5:$A$108,0)),"")</x:f>
        <x:v>EUA</x:v>
      </x:c>
      <x:c r="G129" s="21" t="str">
        <x:f>IFERROR(INDEX('Resultados'!$J$5:$J$108,MATCH($B129,'Resultados'!$A$5:$A$108,0)),"")</x:f>
        <x:v>Austrália</x:v>
      </x:c>
      <x:c r="H129" s="21" t="str">
        <x:v>Não</x:v>
      </x:c>
      <x:c r="I129" s="22"/>
      <x:c r="J129" s="22"/>
      <x:c r="K129" s="23"/>
      <x:c r="L129" s="21" t="str">
        <x:f>IFERROR(INDEX('Resultados'!$H$5:$H$108,MATCH($B129,'Resultados'!$A$5:$A$108,0)),"")</x:f>
      </x:c>
      <x:c r="M129" s="21" t="str">
        <x:f>IFERROR(INDEX('Resultados'!$I$5:$I$108,MATCH($B129,'Resultados'!$A$5:$A$108,0)),"")</x:f>
      </x:c>
      <x:c r="N129" s="21" t="str">
        <x:f>IFERROR(INDEX('Resultados'!$L$5:$L$108,MATCH($B129,'Resultados'!$A$5:$A$108,0)),"")</x:f>
      </x:c>
      <x:c r="O129" s="59" t="str">
        <x:f>IF(OR($I129="",$J129="",$L129="",$M129=""),"",IF(AND($H129="Sim",$L129=$M129),IF($I129&lt;&gt;$J129,0,IF(AND($I129=$L129,$J129=$M129),2,1)),IF(AND($I129=$L129,$J129=$M129),3,IF(AND($I129&lt;&gt;$J129,$I129=$M129,$J129=$L129),-2,IF(SIGN($I129-$J129)=SIGN($L129-$M129),1,0)))))</x:f>
      </x:c>
      <x:c r="P129" s="59" t="str">
        <x:f>IF(OR($H129&lt;&gt;"Sim",$I129="",$J129="",$L129="",$M129=""),"",IF(AND(IF($I129&gt;$J129,$F129,IF($I129&lt;$J129,$G129,$K129))&lt;&gt;"",IF($L129&gt;$M129,$F129,IF($L129&lt;$M129,$G129,$N129))&lt;&gt;"",IF($I129&gt;$J129,$F129,IF($I129&lt;$J129,$G129,$K129))=IF($L129&gt;$M129,$F129,IF($L129&lt;$M129,$G129,$N129))),1,0))</x:f>
      </x:c>
      <x:c r="Q129" s="59" t="str">
        <x:f>IF($O129="","",$O129+$P129)</x:f>
      </x:c>
      <x:c r="R129" s="59" t="str">
        <x:f>IF($Q129="","",IF($O129=3,"Cravada",IF(AND($H129="Sim",$L129=$M129,$I129=$J129,$O129=2),"Empate cravado",IF($O129=1,"Resultado certo",IF($O129=-2,"Invertida",IF($P129=1,"Acertou quem passa","Erro"))))))</x:f>
      </x:c>
      <x:c r="S129" s="59" t="str">
        <x:f>IF($O129="","",--(OR($O129=3,AND($H129="Sim",$L129=$M129,$I129=$J129,$O129=2))))</x:f>
      </x:c>
      <x:c r="T129" s="59" t="str">
        <x:f>IF($O129="","",--($O129=-2))</x:f>
      </x:c>
      <x:c r="U129" s="59" t="str">
        <x:f>IF($O129="","",--($O129=1))</x:f>
      </x:c>
      <x:c r="V129" s="59" t="n">
        <x:f>--(AND($I129&lt;&gt;"",$J129&lt;&gt;""))</x:f>
        <x:v>0</x:v>
      </x:c>
    </x:row>
    <x:row r="130">
      <x:c r="A130" s="21" t="str">
        <x:f>INDEX(Config!$B$10:$B$16,INT((ROW()-5)/104)+1)</x:f>
        <x:v>Leo C.</x:v>
      </x:c>
      <x:c r="B130" s="21" t="str">
        <x:v>GD4</x:v>
      </x:c>
      <x:c r="C130" s="21" t="n">
        <x:v>22</x:v>
      </x:c>
      <x:c r="D130" s="21" t="str">
        <x:v>Grupo D</x:v>
      </x:c>
      <x:c r="E130" s="21" t="str">
        <x:v>2026-06-20</x:v>
      </x:c>
      <x:c r="F130" s="21" t="str">
        <x:f>IFERROR(INDEX('Resultados'!$G$5:$G$108,MATCH($B130,'Resultados'!$A$5:$A$108,0)),"")</x:f>
        <x:v>Paraguai</x:v>
      </x:c>
      <x:c r="G130" s="21" t="str">
        <x:f>IFERROR(INDEX('Resultados'!$J$5:$J$108,MATCH($B130,'Resultados'!$A$5:$A$108,0)),"")</x:f>
        <x:v>Turquia</x:v>
      </x:c>
      <x:c r="H130" s="21" t="str">
        <x:v>Não</x:v>
      </x:c>
      <x:c r="I130" s="22"/>
      <x:c r="J130" s="22"/>
      <x:c r="K130" s="23"/>
      <x:c r="L130" s="21" t="str">
        <x:f>IFERROR(INDEX('Resultados'!$H$5:$H$108,MATCH($B130,'Resultados'!$A$5:$A$108,0)),"")</x:f>
      </x:c>
      <x:c r="M130" s="21" t="str">
        <x:f>IFERROR(INDEX('Resultados'!$I$5:$I$108,MATCH($B130,'Resultados'!$A$5:$A$108,0)),"")</x:f>
      </x:c>
      <x:c r="N130" s="21" t="str">
        <x:f>IFERROR(INDEX('Resultados'!$L$5:$L$108,MATCH($B130,'Resultados'!$A$5:$A$108,0)),"")</x:f>
      </x:c>
      <x:c r="O130" s="59" t="str">
        <x:f>IF(OR($I130="",$J130="",$L130="",$M130=""),"",IF(AND($H130="Sim",$L130=$M130),IF($I130&lt;&gt;$J130,0,IF(AND($I130=$L130,$J130=$M130),2,1)),IF(AND($I130=$L130,$J130=$M130),3,IF(AND($I130&lt;&gt;$J130,$I130=$M130,$J130=$L130),-2,IF(SIGN($I130-$J130)=SIGN($L130-$M130),1,0)))))</x:f>
      </x:c>
      <x:c r="P130" s="59" t="str">
        <x:f>IF(OR($H130&lt;&gt;"Sim",$I130="",$J130="",$L130="",$M130=""),"",IF(AND(IF($I130&gt;$J130,$F130,IF($I130&lt;$J130,$G130,$K130))&lt;&gt;"",IF($L130&gt;$M130,$F130,IF($L130&lt;$M130,$G130,$N130))&lt;&gt;"",IF($I130&gt;$J130,$F130,IF($I130&lt;$J130,$G130,$K130))=IF($L130&gt;$M130,$F130,IF($L130&lt;$M130,$G130,$N130))),1,0))</x:f>
      </x:c>
      <x:c r="Q130" s="59" t="str">
        <x:f>IF($O130="","",$O130+$P130)</x:f>
      </x:c>
      <x:c r="R130" s="59" t="str">
        <x:f>IF($Q130="","",IF($O130=3,"Cravada",IF(AND($H130="Sim",$L130=$M130,$I130=$J130,$O130=2),"Empate cravado",IF($O130=1,"Resultado certo",IF($O130=-2,"Invertida",IF($P130=1,"Acertou quem passa","Erro"))))))</x:f>
      </x:c>
      <x:c r="S130" s="59" t="str">
        <x:f>IF($O130="","",--(OR($O130=3,AND($H130="Sim",$L130=$M130,$I130=$J130,$O130=2))))</x:f>
      </x:c>
      <x:c r="T130" s="59" t="str">
        <x:f>IF($O130="","",--($O130=-2))</x:f>
      </x:c>
      <x:c r="U130" s="59" t="str">
        <x:f>IF($O130="","",--($O130=1))</x:f>
      </x:c>
      <x:c r="V130" s="59" t="n">
        <x:f>--(AND($I130&lt;&gt;"",$J130&lt;&gt;""))</x:f>
        <x:v>0</x:v>
      </x:c>
    </x:row>
    <x:row r="131">
      <x:c r="A131" s="21" t="str">
        <x:f>INDEX(Config!$B$10:$B$16,INT((ROW()-5)/104)+1)</x:f>
        <x:v>Leo C.</x:v>
      </x:c>
      <x:c r="B131" s="21" t="str">
        <x:v>GD5</x:v>
      </x:c>
      <x:c r="C131" s="21" t="n">
        <x:v>23</x:v>
      </x:c>
      <x:c r="D131" s="21" t="str">
        <x:v>Grupo D</x:v>
      </x:c>
      <x:c r="E131" s="21" t="str">
        <x:v>2026-06-25</x:v>
      </x:c>
      <x:c r="F131" s="21" t="str">
        <x:f>IFERROR(INDEX('Resultados'!$G$5:$G$108,MATCH($B131,'Resultados'!$A$5:$A$108,0)),"")</x:f>
        <x:v>EUA</x:v>
      </x:c>
      <x:c r="G131" s="21" t="str">
        <x:f>IFERROR(INDEX('Resultados'!$J$5:$J$108,MATCH($B131,'Resultados'!$A$5:$A$108,0)),"")</x:f>
        <x:v>Turquia</x:v>
      </x:c>
      <x:c r="H131" s="21" t="str">
        <x:v>Não</x:v>
      </x:c>
      <x:c r="I131" s="22"/>
      <x:c r="J131" s="22"/>
      <x:c r="K131" s="23"/>
      <x:c r="L131" s="21" t="str">
        <x:f>IFERROR(INDEX('Resultados'!$H$5:$H$108,MATCH($B131,'Resultados'!$A$5:$A$108,0)),"")</x:f>
      </x:c>
      <x:c r="M131" s="21" t="str">
        <x:f>IFERROR(INDEX('Resultados'!$I$5:$I$108,MATCH($B131,'Resultados'!$A$5:$A$108,0)),"")</x:f>
      </x:c>
      <x:c r="N131" s="21" t="str">
        <x:f>IFERROR(INDEX('Resultados'!$L$5:$L$108,MATCH($B131,'Resultados'!$A$5:$A$108,0)),"")</x:f>
      </x:c>
      <x:c r="O131" s="59" t="str">
        <x:f>IF(OR($I131="",$J131="",$L131="",$M131=""),"",IF(AND($H131="Sim",$L131=$M131),IF($I131&lt;&gt;$J131,0,IF(AND($I131=$L131,$J131=$M131),2,1)),IF(AND($I131=$L131,$J131=$M131),3,IF(AND($I131&lt;&gt;$J131,$I131=$M131,$J131=$L131),-2,IF(SIGN($I131-$J131)=SIGN($L131-$M131),1,0)))))</x:f>
      </x:c>
      <x:c r="P131" s="59" t="str">
        <x:f>IF(OR($H131&lt;&gt;"Sim",$I131="",$J131="",$L131="",$M131=""),"",IF(AND(IF($I131&gt;$J131,$F131,IF($I131&lt;$J131,$G131,$K131))&lt;&gt;"",IF($L131&gt;$M131,$F131,IF($L131&lt;$M131,$G131,$N131))&lt;&gt;"",IF($I131&gt;$J131,$F131,IF($I131&lt;$J131,$G131,$K131))=IF($L131&gt;$M131,$F131,IF($L131&lt;$M131,$G131,$N131))),1,0))</x:f>
      </x:c>
      <x:c r="Q131" s="59" t="str">
        <x:f>IF($O131="","",$O131+$P131)</x:f>
      </x:c>
      <x:c r="R131" s="59" t="str">
        <x:f>IF($Q131="","",IF($O131=3,"Cravada",IF(AND($H131="Sim",$L131=$M131,$I131=$J131,$O131=2),"Empate cravado",IF($O131=1,"Resultado certo",IF($O131=-2,"Invertida",IF($P131=1,"Acertou quem passa","Erro"))))))</x:f>
      </x:c>
      <x:c r="S131" s="59" t="str">
        <x:f>IF($O131="","",--(OR($O131=3,AND($H131="Sim",$L131=$M131,$I131=$J131,$O131=2))))</x:f>
      </x:c>
      <x:c r="T131" s="59" t="str">
        <x:f>IF($O131="","",--($O131=-2))</x:f>
      </x:c>
      <x:c r="U131" s="59" t="str">
        <x:f>IF($O131="","",--($O131=1))</x:f>
      </x:c>
      <x:c r="V131" s="59" t="n">
        <x:f>--(AND($I131&lt;&gt;"",$J131&lt;&gt;""))</x:f>
        <x:v>0</x:v>
      </x:c>
    </x:row>
    <x:row r="132">
      <x:c r="A132" s="21" t="str">
        <x:f>INDEX(Config!$B$10:$B$16,INT((ROW()-5)/104)+1)</x:f>
        <x:v>Leo C.</x:v>
      </x:c>
      <x:c r="B132" s="21" t="str">
        <x:v>GD6</x:v>
      </x:c>
      <x:c r="C132" s="21" t="n">
        <x:v>24</x:v>
      </x:c>
      <x:c r="D132" s="21" t="str">
        <x:v>Grupo D</x:v>
      </x:c>
      <x:c r="E132" s="21" t="str">
        <x:v>2026-06-25</x:v>
      </x:c>
      <x:c r="F132" s="21" t="str">
        <x:f>IFERROR(INDEX('Resultados'!$G$5:$G$108,MATCH($B132,'Resultados'!$A$5:$A$108,0)),"")</x:f>
        <x:v>Paraguai</x:v>
      </x:c>
      <x:c r="G132" s="21" t="str">
        <x:f>IFERROR(INDEX('Resultados'!$J$5:$J$108,MATCH($B132,'Resultados'!$A$5:$A$108,0)),"")</x:f>
        <x:v>Austrália</x:v>
      </x:c>
      <x:c r="H132" s="21" t="str">
        <x:v>Não</x:v>
      </x:c>
      <x:c r="I132" s="22"/>
      <x:c r="J132" s="22"/>
      <x:c r="K132" s="23"/>
      <x:c r="L132" s="21" t="str">
        <x:f>IFERROR(INDEX('Resultados'!$H$5:$H$108,MATCH($B132,'Resultados'!$A$5:$A$108,0)),"")</x:f>
      </x:c>
      <x:c r="M132" s="21" t="str">
        <x:f>IFERROR(INDEX('Resultados'!$I$5:$I$108,MATCH($B132,'Resultados'!$A$5:$A$108,0)),"")</x:f>
      </x:c>
      <x:c r="N132" s="21" t="str">
        <x:f>IFERROR(INDEX('Resultados'!$L$5:$L$108,MATCH($B132,'Resultados'!$A$5:$A$108,0)),"")</x:f>
      </x:c>
      <x:c r="O132" s="59" t="str">
        <x:f>IF(OR($I132="",$J132="",$L132="",$M132=""),"",IF(AND($H132="Sim",$L132=$M132),IF($I132&lt;&gt;$J132,0,IF(AND($I132=$L132,$J132=$M132),2,1)),IF(AND($I132=$L132,$J132=$M132),3,IF(AND($I132&lt;&gt;$J132,$I132=$M132,$J132=$L132),-2,IF(SIGN($I132-$J132)=SIGN($L132-$M132),1,0)))))</x:f>
      </x:c>
      <x:c r="P132" s="59" t="str">
        <x:f>IF(OR($H132&lt;&gt;"Sim",$I132="",$J132="",$L132="",$M132=""),"",IF(AND(IF($I132&gt;$J132,$F132,IF($I132&lt;$J132,$G132,$K132))&lt;&gt;"",IF($L132&gt;$M132,$F132,IF($L132&lt;$M132,$G132,$N132))&lt;&gt;"",IF($I132&gt;$J132,$F132,IF($I132&lt;$J132,$G132,$K132))=IF($L132&gt;$M132,$F132,IF($L132&lt;$M132,$G132,$N132))),1,0))</x:f>
      </x:c>
      <x:c r="Q132" s="59" t="str">
        <x:f>IF($O132="","",$O132+$P132)</x:f>
      </x:c>
      <x:c r="R132" s="59" t="str">
        <x:f>IF($Q132="","",IF($O132=3,"Cravada",IF(AND($H132="Sim",$L132=$M132,$I132=$J132,$O132=2),"Empate cravado",IF($O132=1,"Resultado certo",IF($O132=-2,"Invertida",IF($P132=1,"Acertou quem passa","Erro"))))))</x:f>
      </x:c>
      <x:c r="S132" s="59" t="str">
        <x:f>IF($O132="","",--(OR($O132=3,AND($H132="Sim",$L132=$M132,$I132=$J132,$O132=2))))</x:f>
      </x:c>
      <x:c r="T132" s="59" t="str">
        <x:f>IF($O132="","",--($O132=-2))</x:f>
      </x:c>
      <x:c r="U132" s="59" t="str">
        <x:f>IF($O132="","",--($O132=1))</x:f>
      </x:c>
      <x:c r="V132" s="59" t="n">
        <x:f>--(AND($I132&lt;&gt;"",$J132&lt;&gt;""))</x:f>
        <x:v>0</x:v>
      </x:c>
    </x:row>
    <x:row r="133">
      <x:c r="A133" s="21" t="str">
        <x:f>INDEX(Config!$B$10:$B$16,INT((ROW()-5)/104)+1)</x:f>
        <x:v>Leo C.</x:v>
      </x:c>
      <x:c r="B133" s="21" t="str">
        <x:v>GE1</x:v>
      </x:c>
      <x:c r="C133" s="21" t="n">
        <x:v>25</x:v>
      </x:c>
      <x:c r="D133" s="21" t="str">
        <x:v>Grupo E</x:v>
      </x:c>
      <x:c r="E133" s="21" t="str">
        <x:v>2026-06-14</x:v>
      </x:c>
      <x:c r="F133" s="21" t="str">
        <x:f>IFERROR(INDEX('Resultados'!$G$5:$G$108,MATCH($B133,'Resultados'!$A$5:$A$108,0)),"")</x:f>
        <x:v>Alemanha</x:v>
      </x:c>
      <x:c r="G133" s="21" t="str">
        <x:f>IFERROR(INDEX('Resultados'!$J$5:$J$108,MATCH($B133,'Resultados'!$A$5:$A$108,0)),"")</x:f>
        <x:v>Curaçau</x:v>
      </x:c>
      <x:c r="H133" s="21" t="str">
        <x:v>Não</x:v>
      </x:c>
      <x:c r="I133" s="22"/>
      <x:c r="J133" s="22"/>
      <x:c r="K133" s="23"/>
      <x:c r="L133" s="21" t="str">
        <x:f>IFERROR(INDEX('Resultados'!$H$5:$H$108,MATCH($B133,'Resultados'!$A$5:$A$108,0)),"")</x:f>
      </x:c>
      <x:c r="M133" s="21" t="str">
        <x:f>IFERROR(INDEX('Resultados'!$I$5:$I$108,MATCH($B133,'Resultados'!$A$5:$A$108,0)),"")</x:f>
      </x:c>
      <x:c r="N133" s="21" t="str">
        <x:f>IFERROR(INDEX('Resultados'!$L$5:$L$108,MATCH($B133,'Resultados'!$A$5:$A$108,0)),"")</x:f>
      </x:c>
      <x:c r="O133" s="59" t="str">
        <x:f>IF(OR($I133="",$J133="",$L133="",$M133=""),"",IF(AND($H133="Sim",$L133=$M133),IF($I133&lt;&gt;$J133,0,IF(AND($I133=$L133,$J133=$M133),2,1)),IF(AND($I133=$L133,$J133=$M133),3,IF(AND($I133&lt;&gt;$J133,$I133=$M133,$J133=$L133),-2,IF(SIGN($I133-$J133)=SIGN($L133-$M133),1,0)))))</x:f>
      </x:c>
      <x:c r="P133" s="59" t="str">
        <x:f>IF(OR($H133&lt;&gt;"Sim",$I133="",$J133="",$L133="",$M133=""),"",IF(AND(IF($I133&gt;$J133,$F133,IF($I133&lt;$J133,$G133,$K133))&lt;&gt;"",IF($L133&gt;$M133,$F133,IF($L133&lt;$M133,$G133,$N133))&lt;&gt;"",IF($I133&gt;$J133,$F133,IF($I133&lt;$J133,$G133,$K133))=IF($L133&gt;$M133,$F133,IF($L133&lt;$M133,$G133,$N133))),1,0))</x:f>
      </x:c>
      <x:c r="Q133" s="59" t="str">
        <x:f>IF($O133="","",$O133+$P133)</x:f>
      </x:c>
      <x:c r="R133" s="59" t="str">
        <x:f>IF($Q133="","",IF($O133=3,"Cravada",IF(AND($H133="Sim",$L133=$M133,$I133=$J133,$O133=2),"Empate cravado",IF($O133=1,"Resultado certo",IF($O133=-2,"Invertida",IF($P133=1,"Acertou quem passa","Erro"))))))</x:f>
      </x:c>
      <x:c r="S133" s="59" t="str">
        <x:f>IF($O133="","",--(OR($O133=3,AND($H133="Sim",$L133=$M133,$I133=$J133,$O133=2))))</x:f>
      </x:c>
      <x:c r="T133" s="59" t="str">
        <x:f>IF($O133="","",--($O133=-2))</x:f>
      </x:c>
      <x:c r="U133" s="59" t="str">
        <x:f>IF($O133="","",--($O133=1))</x:f>
      </x:c>
      <x:c r="V133" s="59" t="n">
        <x:f>--(AND($I133&lt;&gt;"",$J133&lt;&gt;""))</x:f>
        <x:v>0</x:v>
      </x:c>
    </x:row>
    <x:row r="134">
      <x:c r="A134" s="21" t="str">
        <x:f>INDEX(Config!$B$10:$B$16,INT((ROW()-5)/104)+1)</x:f>
        <x:v>Leo C.</x:v>
      </x:c>
      <x:c r="B134" s="21" t="str">
        <x:v>GE2</x:v>
      </x:c>
      <x:c r="C134" s="21" t="n">
        <x:v>26</x:v>
      </x:c>
      <x:c r="D134" s="21" t="str">
        <x:v>Grupo E</x:v>
      </x:c>
      <x:c r="E134" s="21" t="str">
        <x:v>2026-06-14</x:v>
      </x:c>
      <x:c r="F134" s="21" t="str">
        <x:f>IFERROR(INDEX('Resultados'!$G$5:$G$108,MATCH($B134,'Resultados'!$A$5:$A$108,0)),"")</x:f>
        <x:v>Costa do Marfim</x:v>
      </x:c>
      <x:c r="G134" s="21" t="str">
        <x:f>IFERROR(INDEX('Resultados'!$J$5:$J$108,MATCH($B134,'Resultados'!$A$5:$A$108,0)),"")</x:f>
        <x:v>Equador</x:v>
      </x:c>
      <x:c r="H134" s="21" t="str">
        <x:v>Não</x:v>
      </x:c>
      <x:c r="I134" s="22"/>
      <x:c r="J134" s="22"/>
      <x:c r="K134" s="23"/>
      <x:c r="L134" s="21" t="str">
        <x:f>IFERROR(INDEX('Resultados'!$H$5:$H$108,MATCH($B134,'Resultados'!$A$5:$A$108,0)),"")</x:f>
      </x:c>
      <x:c r="M134" s="21" t="str">
        <x:f>IFERROR(INDEX('Resultados'!$I$5:$I$108,MATCH($B134,'Resultados'!$A$5:$A$108,0)),"")</x:f>
      </x:c>
      <x:c r="N134" s="21" t="str">
        <x:f>IFERROR(INDEX('Resultados'!$L$5:$L$108,MATCH($B134,'Resultados'!$A$5:$A$108,0)),"")</x:f>
      </x:c>
      <x:c r="O134" s="59" t="str">
        <x:f>IF(OR($I134="",$J134="",$L134="",$M134=""),"",IF(AND($H134="Sim",$L134=$M134),IF($I134&lt;&gt;$J134,0,IF(AND($I134=$L134,$J134=$M134),2,1)),IF(AND($I134=$L134,$J134=$M134),3,IF(AND($I134&lt;&gt;$J134,$I134=$M134,$J134=$L134),-2,IF(SIGN($I134-$J134)=SIGN($L134-$M134),1,0)))))</x:f>
      </x:c>
      <x:c r="P134" s="59" t="str">
        <x:f>IF(OR($H134&lt;&gt;"Sim",$I134="",$J134="",$L134="",$M134=""),"",IF(AND(IF($I134&gt;$J134,$F134,IF($I134&lt;$J134,$G134,$K134))&lt;&gt;"",IF($L134&gt;$M134,$F134,IF($L134&lt;$M134,$G134,$N134))&lt;&gt;"",IF($I134&gt;$J134,$F134,IF($I134&lt;$J134,$G134,$K134))=IF($L134&gt;$M134,$F134,IF($L134&lt;$M134,$G134,$N134))),1,0))</x:f>
      </x:c>
      <x:c r="Q134" s="59" t="str">
        <x:f>IF($O134="","",$O134+$P134)</x:f>
      </x:c>
      <x:c r="R134" s="59" t="str">
        <x:f>IF($Q134="","",IF($O134=3,"Cravada",IF(AND($H134="Sim",$L134=$M134,$I134=$J134,$O134=2),"Empate cravado",IF($O134=1,"Resultado certo",IF($O134=-2,"Invertida",IF($P134=1,"Acertou quem passa","Erro"))))))</x:f>
      </x:c>
      <x:c r="S134" s="59" t="str">
        <x:f>IF($O134="","",--(OR($O134=3,AND($H134="Sim",$L134=$M134,$I134=$J134,$O134=2))))</x:f>
      </x:c>
      <x:c r="T134" s="59" t="str">
        <x:f>IF($O134="","",--($O134=-2))</x:f>
      </x:c>
      <x:c r="U134" s="59" t="str">
        <x:f>IF($O134="","",--($O134=1))</x:f>
      </x:c>
      <x:c r="V134" s="59" t="n">
        <x:f>--(AND($I134&lt;&gt;"",$J134&lt;&gt;""))</x:f>
        <x:v>0</x:v>
      </x:c>
    </x:row>
    <x:row r="135">
      <x:c r="A135" s="21" t="str">
        <x:f>INDEX(Config!$B$10:$B$16,INT((ROW()-5)/104)+1)</x:f>
        <x:v>Leo C.</x:v>
      </x:c>
      <x:c r="B135" s="21" t="str">
        <x:v>GE3</x:v>
      </x:c>
      <x:c r="C135" s="21" t="n">
        <x:v>27</x:v>
      </x:c>
      <x:c r="D135" s="21" t="str">
        <x:v>Grupo E</x:v>
      </x:c>
      <x:c r="E135" s="21" t="str">
        <x:v>2026-06-20</x:v>
      </x:c>
      <x:c r="F135" s="21" t="str">
        <x:f>IFERROR(INDEX('Resultados'!$G$5:$G$108,MATCH($B135,'Resultados'!$A$5:$A$108,0)),"")</x:f>
        <x:v>Alemanha</x:v>
      </x:c>
      <x:c r="G135" s="21" t="str">
        <x:f>IFERROR(INDEX('Resultados'!$J$5:$J$108,MATCH($B135,'Resultados'!$A$5:$A$108,0)),"")</x:f>
        <x:v>Costa do Marfim</x:v>
      </x:c>
      <x:c r="H135" s="21" t="str">
        <x:v>Não</x:v>
      </x:c>
      <x:c r="I135" s="22"/>
      <x:c r="J135" s="22"/>
      <x:c r="K135" s="23"/>
      <x:c r="L135" s="21" t="str">
        <x:f>IFERROR(INDEX('Resultados'!$H$5:$H$108,MATCH($B135,'Resultados'!$A$5:$A$108,0)),"")</x:f>
      </x:c>
      <x:c r="M135" s="21" t="str">
        <x:f>IFERROR(INDEX('Resultados'!$I$5:$I$108,MATCH($B135,'Resultados'!$A$5:$A$108,0)),"")</x:f>
      </x:c>
      <x:c r="N135" s="21" t="str">
        <x:f>IFERROR(INDEX('Resultados'!$L$5:$L$108,MATCH($B135,'Resultados'!$A$5:$A$108,0)),"")</x:f>
      </x:c>
      <x:c r="O135" s="59" t="str">
        <x:f>IF(OR($I135="",$J135="",$L135="",$M135=""),"",IF(AND($H135="Sim",$L135=$M135),IF($I135&lt;&gt;$J135,0,IF(AND($I135=$L135,$J135=$M135),2,1)),IF(AND($I135=$L135,$J135=$M135),3,IF(AND($I135&lt;&gt;$J135,$I135=$M135,$J135=$L135),-2,IF(SIGN($I135-$J135)=SIGN($L135-$M135),1,0)))))</x:f>
      </x:c>
      <x:c r="P135" s="59" t="str">
        <x:f>IF(OR($H135&lt;&gt;"Sim",$I135="",$J135="",$L135="",$M135=""),"",IF(AND(IF($I135&gt;$J135,$F135,IF($I135&lt;$J135,$G135,$K135))&lt;&gt;"",IF($L135&gt;$M135,$F135,IF($L135&lt;$M135,$G135,$N135))&lt;&gt;"",IF($I135&gt;$J135,$F135,IF($I135&lt;$J135,$G135,$K135))=IF($L135&gt;$M135,$F135,IF($L135&lt;$M135,$G135,$N135))),1,0))</x:f>
      </x:c>
      <x:c r="Q135" s="59" t="str">
        <x:f>IF($O135="","",$O135+$P135)</x:f>
      </x:c>
      <x:c r="R135" s="59" t="str">
        <x:f>IF($Q135="","",IF($O135=3,"Cravada",IF(AND($H135="Sim",$L135=$M135,$I135=$J135,$O135=2),"Empate cravado",IF($O135=1,"Resultado certo",IF($O135=-2,"Invertida",IF($P135=1,"Acertou quem passa","Erro"))))))</x:f>
      </x:c>
      <x:c r="S135" s="59" t="str">
        <x:f>IF($O135="","",--(OR($O135=3,AND($H135="Sim",$L135=$M135,$I135=$J135,$O135=2))))</x:f>
      </x:c>
      <x:c r="T135" s="59" t="str">
        <x:f>IF($O135="","",--($O135=-2))</x:f>
      </x:c>
      <x:c r="U135" s="59" t="str">
        <x:f>IF($O135="","",--($O135=1))</x:f>
      </x:c>
      <x:c r="V135" s="59" t="n">
        <x:f>--(AND($I135&lt;&gt;"",$J135&lt;&gt;""))</x:f>
        <x:v>0</x:v>
      </x:c>
    </x:row>
    <x:row r="136">
      <x:c r="A136" s="21" t="str">
        <x:f>INDEX(Config!$B$10:$B$16,INT((ROW()-5)/104)+1)</x:f>
        <x:v>Leo C.</x:v>
      </x:c>
      <x:c r="B136" s="21" t="str">
        <x:v>GE4</x:v>
      </x:c>
      <x:c r="C136" s="21" t="n">
        <x:v>28</x:v>
      </x:c>
      <x:c r="D136" s="21" t="str">
        <x:v>Grupo E</x:v>
      </x:c>
      <x:c r="E136" s="21" t="str">
        <x:v>2026-06-20</x:v>
      </x:c>
      <x:c r="F136" s="21" t="str">
        <x:f>IFERROR(INDEX('Resultados'!$G$5:$G$108,MATCH($B136,'Resultados'!$A$5:$A$108,0)),"")</x:f>
        <x:v>Curaçau</x:v>
      </x:c>
      <x:c r="G136" s="21" t="str">
        <x:f>IFERROR(INDEX('Resultados'!$J$5:$J$108,MATCH($B136,'Resultados'!$A$5:$A$108,0)),"")</x:f>
        <x:v>Equador</x:v>
      </x:c>
      <x:c r="H136" s="21" t="str">
        <x:v>Não</x:v>
      </x:c>
      <x:c r="I136" s="22"/>
      <x:c r="J136" s="22"/>
      <x:c r="K136" s="23"/>
      <x:c r="L136" s="21" t="str">
        <x:f>IFERROR(INDEX('Resultados'!$H$5:$H$108,MATCH($B136,'Resultados'!$A$5:$A$108,0)),"")</x:f>
      </x:c>
      <x:c r="M136" s="21" t="str">
        <x:f>IFERROR(INDEX('Resultados'!$I$5:$I$108,MATCH($B136,'Resultados'!$A$5:$A$108,0)),"")</x:f>
      </x:c>
      <x:c r="N136" s="21" t="str">
        <x:f>IFERROR(INDEX('Resultados'!$L$5:$L$108,MATCH($B136,'Resultados'!$A$5:$A$108,0)),"")</x:f>
      </x:c>
      <x:c r="O136" s="59" t="str">
        <x:f>IF(OR($I136="",$J136="",$L136="",$M136=""),"",IF(AND($H136="Sim",$L136=$M136),IF($I136&lt;&gt;$J136,0,IF(AND($I136=$L136,$J136=$M136),2,1)),IF(AND($I136=$L136,$J136=$M136),3,IF(AND($I136&lt;&gt;$J136,$I136=$M136,$J136=$L136),-2,IF(SIGN($I136-$J136)=SIGN($L136-$M136),1,0)))))</x:f>
      </x:c>
      <x:c r="P136" s="59" t="str">
        <x:f>IF(OR($H136&lt;&gt;"Sim",$I136="",$J136="",$L136="",$M136=""),"",IF(AND(IF($I136&gt;$J136,$F136,IF($I136&lt;$J136,$G136,$K136))&lt;&gt;"",IF($L136&gt;$M136,$F136,IF($L136&lt;$M136,$G136,$N136))&lt;&gt;"",IF($I136&gt;$J136,$F136,IF($I136&lt;$J136,$G136,$K136))=IF($L136&gt;$M136,$F136,IF($L136&lt;$M136,$G136,$N136))),1,0))</x:f>
      </x:c>
      <x:c r="Q136" s="59" t="str">
        <x:f>IF($O136="","",$O136+$P136)</x:f>
      </x:c>
      <x:c r="R136" s="59" t="str">
        <x:f>IF($Q136="","",IF($O136=3,"Cravada",IF(AND($H136="Sim",$L136=$M136,$I136=$J136,$O136=2),"Empate cravado",IF($O136=1,"Resultado certo",IF($O136=-2,"Invertida",IF($P136=1,"Acertou quem passa","Erro"))))))</x:f>
      </x:c>
      <x:c r="S136" s="59" t="str">
        <x:f>IF($O136="","",--(OR($O136=3,AND($H136="Sim",$L136=$M136,$I136=$J136,$O136=2))))</x:f>
      </x:c>
      <x:c r="T136" s="59" t="str">
        <x:f>IF($O136="","",--($O136=-2))</x:f>
      </x:c>
      <x:c r="U136" s="59" t="str">
        <x:f>IF($O136="","",--($O136=1))</x:f>
      </x:c>
      <x:c r="V136" s="59" t="n">
        <x:f>--(AND($I136&lt;&gt;"",$J136&lt;&gt;""))</x:f>
        <x:v>0</x:v>
      </x:c>
    </x:row>
    <x:row r="137">
      <x:c r="A137" s="21" t="str">
        <x:f>INDEX(Config!$B$10:$B$16,INT((ROW()-5)/104)+1)</x:f>
        <x:v>Leo C.</x:v>
      </x:c>
      <x:c r="B137" s="21" t="str">
        <x:v>GE5</x:v>
      </x:c>
      <x:c r="C137" s="21" t="n">
        <x:v>29</x:v>
      </x:c>
      <x:c r="D137" s="21" t="str">
        <x:v>Grupo E</x:v>
      </x:c>
      <x:c r="E137" s="21" t="str">
        <x:v>2026-06-25</x:v>
      </x:c>
      <x:c r="F137" s="21" t="str">
        <x:f>IFERROR(INDEX('Resultados'!$G$5:$G$108,MATCH($B137,'Resultados'!$A$5:$A$108,0)),"")</x:f>
        <x:v>Alemanha</x:v>
      </x:c>
      <x:c r="G137" s="21" t="str">
        <x:f>IFERROR(INDEX('Resultados'!$J$5:$J$108,MATCH($B137,'Resultados'!$A$5:$A$108,0)),"")</x:f>
        <x:v>Equador</x:v>
      </x:c>
      <x:c r="H137" s="21" t="str">
        <x:v>Não</x:v>
      </x:c>
      <x:c r="I137" s="22"/>
      <x:c r="J137" s="22"/>
      <x:c r="K137" s="23"/>
      <x:c r="L137" s="21" t="str">
        <x:f>IFERROR(INDEX('Resultados'!$H$5:$H$108,MATCH($B137,'Resultados'!$A$5:$A$108,0)),"")</x:f>
      </x:c>
      <x:c r="M137" s="21" t="str">
        <x:f>IFERROR(INDEX('Resultados'!$I$5:$I$108,MATCH($B137,'Resultados'!$A$5:$A$108,0)),"")</x:f>
      </x:c>
      <x:c r="N137" s="21" t="str">
        <x:f>IFERROR(INDEX('Resultados'!$L$5:$L$108,MATCH($B137,'Resultados'!$A$5:$A$108,0)),"")</x:f>
      </x:c>
      <x:c r="O137" s="59" t="str">
        <x:f>IF(OR($I137="",$J137="",$L137="",$M137=""),"",IF(AND($H137="Sim",$L137=$M137),IF($I137&lt;&gt;$J137,0,IF(AND($I137=$L137,$J137=$M137),2,1)),IF(AND($I137=$L137,$J137=$M137),3,IF(AND($I137&lt;&gt;$J137,$I137=$M137,$J137=$L137),-2,IF(SIGN($I137-$J137)=SIGN($L137-$M137),1,0)))))</x:f>
      </x:c>
      <x:c r="P137" s="59" t="str">
        <x:f>IF(OR($H137&lt;&gt;"Sim",$I137="",$J137="",$L137="",$M137=""),"",IF(AND(IF($I137&gt;$J137,$F137,IF($I137&lt;$J137,$G137,$K137))&lt;&gt;"",IF($L137&gt;$M137,$F137,IF($L137&lt;$M137,$G137,$N137))&lt;&gt;"",IF($I137&gt;$J137,$F137,IF($I137&lt;$J137,$G137,$K137))=IF($L137&gt;$M137,$F137,IF($L137&lt;$M137,$G137,$N137))),1,0))</x:f>
      </x:c>
      <x:c r="Q137" s="59" t="str">
        <x:f>IF($O137="","",$O137+$P137)</x:f>
      </x:c>
      <x:c r="R137" s="59" t="str">
        <x:f>IF($Q137="","",IF($O137=3,"Cravada",IF(AND($H137="Sim",$L137=$M137,$I137=$J137,$O137=2),"Empate cravado",IF($O137=1,"Resultado certo",IF($O137=-2,"Invertida",IF($P137=1,"Acertou quem passa","Erro"))))))</x:f>
      </x:c>
      <x:c r="S137" s="59" t="str">
        <x:f>IF($O137="","",--(OR($O137=3,AND($H137="Sim",$L137=$M137,$I137=$J137,$O137=2))))</x:f>
      </x:c>
      <x:c r="T137" s="59" t="str">
        <x:f>IF($O137="","",--($O137=-2))</x:f>
      </x:c>
      <x:c r="U137" s="59" t="str">
        <x:f>IF($O137="","",--($O137=1))</x:f>
      </x:c>
      <x:c r="V137" s="59" t="n">
        <x:f>--(AND($I137&lt;&gt;"",$J137&lt;&gt;""))</x:f>
        <x:v>0</x:v>
      </x:c>
    </x:row>
    <x:row r="138">
      <x:c r="A138" s="21" t="str">
        <x:f>INDEX(Config!$B$10:$B$16,INT((ROW()-5)/104)+1)</x:f>
        <x:v>Leo C.</x:v>
      </x:c>
      <x:c r="B138" s="21" t="str">
        <x:v>GE6</x:v>
      </x:c>
      <x:c r="C138" s="21" t="n">
        <x:v>30</x:v>
      </x:c>
      <x:c r="D138" s="21" t="str">
        <x:v>Grupo E</x:v>
      </x:c>
      <x:c r="E138" s="21" t="str">
        <x:v>2026-06-25</x:v>
      </x:c>
      <x:c r="F138" s="21" t="str">
        <x:f>IFERROR(INDEX('Resultados'!$G$5:$G$108,MATCH($B138,'Resultados'!$A$5:$A$108,0)),"")</x:f>
        <x:v>Curaçau</x:v>
      </x:c>
      <x:c r="G138" s="21" t="str">
        <x:f>IFERROR(INDEX('Resultados'!$J$5:$J$108,MATCH($B138,'Resultados'!$A$5:$A$108,0)),"")</x:f>
        <x:v>Costa do Marfim</x:v>
      </x:c>
      <x:c r="H138" s="21" t="str">
        <x:v>Não</x:v>
      </x:c>
      <x:c r="I138" s="22"/>
      <x:c r="J138" s="22"/>
      <x:c r="K138" s="23"/>
      <x:c r="L138" s="21" t="str">
        <x:f>IFERROR(INDEX('Resultados'!$H$5:$H$108,MATCH($B138,'Resultados'!$A$5:$A$108,0)),"")</x:f>
      </x:c>
      <x:c r="M138" s="21" t="str">
        <x:f>IFERROR(INDEX('Resultados'!$I$5:$I$108,MATCH($B138,'Resultados'!$A$5:$A$108,0)),"")</x:f>
      </x:c>
      <x:c r="N138" s="21" t="str">
        <x:f>IFERROR(INDEX('Resultados'!$L$5:$L$108,MATCH($B138,'Resultados'!$A$5:$A$108,0)),"")</x:f>
      </x:c>
      <x:c r="O138" s="59" t="str">
        <x:f>IF(OR($I138="",$J138="",$L138="",$M138=""),"",IF(AND($H138="Sim",$L138=$M138),IF($I138&lt;&gt;$J138,0,IF(AND($I138=$L138,$J138=$M138),2,1)),IF(AND($I138=$L138,$J138=$M138),3,IF(AND($I138&lt;&gt;$J138,$I138=$M138,$J138=$L138),-2,IF(SIGN($I138-$J138)=SIGN($L138-$M138),1,0)))))</x:f>
      </x:c>
      <x:c r="P138" s="59" t="str">
        <x:f>IF(OR($H138&lt;&gt;"Sim",$I138="",$J138="",$L138="",$M138=""),"",IF(AND(IF($I138&gt;$J138,$F138,IF($I138&lt;$J138,$G138,$K138))&lt;&gt;"",IF($L138&gt;$M138,$F138,IF($L138&lt;$M138,$G138,$N138))&lt;&gt;"",IF($I138&gt;$J138,$F138,IF($I138&lt;$J138,$G138,$K138))=IF($L138&gt;$M138,$F138,IF($L138&lt;$M138,$G138,$N138))),1,0))</x:f>
      </x:c>
      <x:c r="Q138" s="59" t="str">
        <x:f>IF($O138="","",$O138+$P138)</x:f>
      </x:c>
      <x:c r="R138" s="59" t="str">
        <x:f>IF($Q138="","",IF($O138=3,"Cravada",IF(AND($H138="Sim",$L138=$M138,$I138=$J138,$O138=2),"Empate cravado",IF($O138=1,"Resultado certo",IF($O138=-2,"Invertida",IF($P138=1,"Acertou quem passa","Erro"))))))</x:f>
      </x:c>
      <x:c r="S138" s="59" t="str">
        <x:f>IF($O138="","",--(OR($O138=3,AND($H138="Sim",$L138=$M138,$I138=$J138,$O138=2))))</x:f>
      </x:c>
      <x:c r="T138" s="59" t="str">
        <x:f>IF($O138="","",--($O138=-2))</x:f>
      </x:c>
      <x:c r="U138" s="59" t="str">
        <x:f>IF($O138="","",--($O138=1))</x:f>
      </x:c>
      <x:c r="V138" s="59" t="n">
        <x:f>--(AND($I138&lt;&gt;"",$J138&lt;&gt;""))</x:f>
        <x:v>0</x:v>
      </x:c>
    </x:row>
    <x:row r="139">
      <x:c r="A139" s="21" t="str">
        <x:f>INDEX(Config!$B$10:$B$16,INT((ROW()-5)/104)+1)</x:f>
        <x:v>Leo C.</x:v>
      </x:c>
      <x:c r="B139" s="21" t="str">
        <x:v>GF1</x:v>
      </x:c>
      <x:c r="C139" s="21" t="n">
        <x:v>31</x:v>
      </x:c>
      <x:c r="D139" s="21" t="str">
        <x:v>Grupo F</x:v>
      </x:c>
      <x:c r="E139" s="21" t="str">
        <x:v>2026-06-14</x:v>
      </x:c>
      <x:c r="F139" s="21" t="str">
        <x:f>IFERROR(INDEX('Resultados'!$G$5:$G$108,MATCH($B139,'Resultados'!$A$5:$A$108,0)),"")</x:f>
        <x:v>Holanda</x:v>
      </x:c>
      <x:c r="G139" s="21" t="str">
        <x:f>IFERROR(INDEX('Resultados'!$J$5:$J$108,MATCH($B139,'Resultados'!$A$5:$A$108,0)),"")</x:f>
        <x:v>Japão</x:v>
      </x:c>
      <x:c r="H139" s="21" t="str">
        <x:v>Não</x:v>
      </x:c>
      <x:c r="I139" s="22"/>
      <x:c r="J139" s="22"/>
      <x:c r="K139" s="23"/>
      <x:c r="L139" s="21" t="str">
        <x:f>IFERROR(INDEX('Resultados'!$H$5:$H$108,MATCH($B139,'Resultados'!$A$5:$A$108,0)),"")</x:f>
      </x:c>
      <x:c r="M139" s="21" t="str">
        <x:f>IFERROR(INDEX('Resultados'!$I$5:$I$108,MATCH($B139,'Resultados'!$A$5:$A$108,0)),"")</x:f>
      </x:c>
      <x:c r="N139" s="21" t="str">
        <x:f>IFERROR(INDEX('Resultados'!$L$5:$L$108,MATCH($B139,'Resultados'!$A$5:$A$108,0)),"")</x:f>
      </x:c>
      <x:c r="O139" s="59" t="str">
        <x:f>IF(OR($I139="",$J139="",$L139="",$M139=""),"",IF(AND($H139="Sim",$L139=$M139),IF($I139&lt;&gt;$J139,0,IF(AND($I139=$L139,$J139=$M139),2,1)),IF(AND($I139=$L139,$J139=$M139),3,IF(AND($I139&lt;&gt;$J139,$I139=$M139,$J139=$L139),-2,IF(SIGN($I139-$J139)=SIGN($L139-$M139),1,0)))))</x:f>
      </x:c>
      <x:c r="P139" s="59" t="str">
        <x:f>IF(OR($H139&lt;&gt;"Sim",$I139="",$J139="",$L139="",$M139=""),"",IF(AND(IF($I139&gt;$J139,$F139,IF($I139&lt;$J139,$G139,$K139))&lt;&gt;"",IF($L139&gt;$M139,$F139,IF($L139&lt;$M139,$G139,$N139))&lt;&gt;"",IF($I139&gt;$J139,$F139,IF($I139&lt;$J139,$G139,$K139))=IF($L139&gt;$M139,$F139,IF($L139&lt;$M139,$G139,$N139))),1,0))</x:f>
      </x:c>
      <x:c r="Q139" s="59" t="str">
        <x:f>IF($O139="","",$O139+$P139)</x:f>
      </x:c>
      <x:c r="R139" s="59" t="str">
        <x:f>IF($Q139="","",IF($O139=3,"Cravada",IF(AND($H139="Sim",$L139=$M139,$I139=$J139,$O139=2),"Empate cravado",IF($O139=1,"Resultado certo",IF($O139=-2,"Invertida",IF($P139=1,"Acertou quem passa","Erro"))))))</x:f>
      </x:c>
      <x:c r="S139" s="59" t="str">
        <x:f>IF($O139="","",--(OR($O139=3,AND($H139="Sim",$L139=$M139,$I139=$J139,$O139=2))))</x:f>
      </x:c>
      <x:c r="T139" s="59" t="str">
        <x:f>IF($O139="","",--($O139=-2))</x:f>
      </x:c>
      <x:c r="U139" s="59" t="str">
        <x:f>IF($O139="","",--($O139=1))</x:f>
      </x:c>
      <x:c r="V139" s="59" t="n">
        <x:f>--(AND($I139&lt;&gt;"",$J139&lt;&gt;""))</x:f>
        <x:v>0</x:v>
      </x:c>
    </x:row>
    <x:row r="140">
      <x:c r="A140" s="21" t="str">
        <x:f>INDEX(Config!$B$10:$B$16,INT((ROW()-5)/104)+1)</x:f>
        <x:v>Leo C.</x:v>
      </x:c>
      <x:c r="B140" s="21" t="str">
        <x:v>GF2</x:v>
      </x:c>
      <x:c r="C140" s="21" t="n">
        <x:v>32</x:v>
      </x:c>
      <x:c r="D140" s="21" t="str">
        <x:v>Grupo F</x:v>
      </x:c>
      <x:c r="E140" s="21" t="str">
        <x:v>2026-06-14</x:v>
      </x:c>
      <x:c r="F140" s="21" t="str">
        <x:f>IFERROR(INDEX('Resultados'!$G$5:$G$108,MATCH($B140,'Resultados'!$A$5:$A$108,0)),"")</x:f>
        <x:v>Suécia</x:v>
      </x:c>
      <x:c r="G140" s="21" t="str">
        <x:f>IFERROR(INDEX('Resultados'!$J$5:$J$108,MATCH($B140,'Resultados'!$A$5:$A$108,0)),"")</x:f>
        <x:v>Tunísia</x:v>
      </x:c>
      <x:c r="H140" s="21" t="str">
        <x:v>Não</x:v>
      </x:c>
      <x:c r="I140" s="22"/>
      <x:c r="J140" s="22"/>
      <x:c r="K140" s="23"/>
      <x:c r="L140" s="21" t="str">
        <x:f>IFERROR(INDEX('Resultados'!$H$5:$H$108,MATCH($B140,'Resultados'!$A$5:$A$108,0)),"")</x:f>
      </x:c>
      <x:c r="M140" s="21" t="str">
        <x:f>IFERROR(INDEX('Resultados'!$I$5:$I$108,MATCH($B140,'Resultados'!$A$5:$A$108,0)),"")</x:f>
      </x:c>
      <x:c r="N140" s="21" t="str">
        <x:f>IFERROR(INDEX('Resultados'!$L$5:$L$108,MATCH($B140,'Resultados'!$A$5:$A$108,0)),"")</x:f>
      </x:c>
      <x:c r="O140" s="59" t="str">
        <x:f>IF(OR($I140="",$J140="",$L140="",$M140=""),"",IF(AND($H140="Sim",$L140=$M140),IF($I140&lt;&gt;$J140,0,IF(AND($I140=$L140,$J140=$M140),2,1)),IF(AND($I140=$L140,$J140=$M140),3,IF(AND($I140&lt;&gt;$J140,$I140=$M140,$J140=$L140),-2,IF(SIGN($I140-$J140)=SIGN($L140-$M140),1,0)))))</x:f>
      </x:c>
      <x:c r="P140" s="59" t="str">
        <x:f>IF(OR($H140&lt;&gt;"Sim",$I140="",$J140="",$L140="",$M140=""),"",IF(AND(IF($I140&gt;$J140,$F140,IF($I140&lt;$J140,$G140,$K140))&lt;&gt;"",IF($L140&gt;$M140,$F140,IF($L140&lt;$M140,$G140,$N140))&lt;&gt;"",IF($I140&gt;$J140,$F140,IF($I140&lt;$J140,$G140,$K140))=IF($L140&gt;$M140,$F140,IF($L140&lt;$M140,$G140,$N140))),1,0))</x:f>
      </x:c>
      <x:c r="Q140" s="59" t="str">
        <x:f>IF($O140="","",$O140+$P140)</x:f>
      </x:c>
      <x:c r="R140" s="59" t="str">
        <x:f>IF($Q140="","",IF($O140=3,"Cravada",IF(AND($H140="Sim",$L140=$M140,$I140=$J140,$O140=2),"Empate cravado",IF($O140=1,"Resultado certo",IF($O140=-2,"Invertida",IF($P140=1,"Acertou quem passa","Erro"))))))</x:f>
      </x:c>
      <x:c r="S140" s="59" t="str">
        <x:f>IF($O140="","",--(OR($O140=3,AND($H140="Sim",$L140=$M140,$I140=$J140,$O140=2))))</x:f>
      </x:c>
      <x:c r="T140" s="59" t="str">
        <x:f>IF($O140="","",--($O140=-2))</x:f>
      </x:c>
      <x:c r="U140" s="59" t="str">
        <x:f>IF($O140="","",--($O140=1))</x:f>
      </x:c>
      <x:c r="V140" s="59" t="n">
        <x:f>--(AND($I140&lt;&gt;"",$J140&lt;&gt;""))</x:f>
        <x:v>0</x:v>
      </x:c>
    </x:row>
    <x:row r="141">
      <x:c r="A141" s="21" t="str">
        <x:f>INDEX(Config!$B$10:$B$16,INT((ROW()-5)/104)+1)</x:f>
        <x:v>Leo C.</x:v>
      </x:c>
      <x:c r="B141" s="21" t="str">
        <x:v>GF3</x:v>
      </x:c>
      <x:c r="C141" s="21" t="n">
        <x:v>33</x:v>
      </x:c>
      <x:c r="D141" s="21" t="str">
        <x:v>Grupo F</x:v>
      </x:c>
      <x:c r="E141" s="21" t="str">
        <x:v>2026-06-20</x:v>
      </x:c>
      <x:c r="F141" s="21" t="str">
        <x:f>IFERROR(INDEX('Resultados'!$G$5:$G$108,MATCH($B141,'Resultados'!$A$5:$A$108,0)),"")</x:f>
        <x:v>Holanda</x:v>
      </x:c>
      <x:c r="G141" s="21" t="str">
        <x:f>IFERROR(INDEX('Resultados'!$J$5:$J$108,MATCH($B141,'Resultados'!$A$5:$A$108,0)),"")</x:f>
        <x:v>Suécia</x:v>
      </x:c>
      <x:c r="H141" s="21" t="str">
        <x:v>Não</x:v>
      </x:c>
      <x:c r="I141" s="22"/>
      <x:c r="J141" s="22"/>
      <x:c r="K141" s="23"/>
      <x:c r="L141" s="21" t="str">
        <x:f>IFERROR(INDEX('Resultados'!$H$5:$H$108,MATCH($B141,'Resultados'!$A$5:$A$108,0)),"")</x:f>
      </x:c>
      <x:c r="M141" s="21" t="str">
        <x:f>IFERROR(INDEX('Resultados'!$I$5:$I$108,MATCH($B141,'Resultados'!$A$5:$A$108,0)),"")</x:f>
      </x:c>
      <x:c r="N141" s="21" t="str">
        <x:f>IFERROR(INDEX('Resultados'!$L$5:$L$108,MATCH($B141,'Resultados'!$A$5:$A$108,0)),"")</x:f>
      </x:c>
      <x:c r="O141" s="59" t="str">
        <x:f>IF(OR($I141="",$J141="",$L141="",$M141=""),"",IF(AND($H141="Sim",$L141=$M141),IF($I141&lt;&gt;$J141,0,IF(AND($I141=$L141,$J141=$M141),2,1)),IF(AND($I141=$L141,$J141=$M141),3,IF(AND($I141&lt;&gt;$J141,$I141=$M141,$J141=$L141),-2,IF(SIGN($I141-$J141)=SIGN($L141-$M141),1,0)))))</x:f>
      </x:c>
      <x:c r="P141" s="59" t="str">
        <x:f>IF(OR($H141&lt;&gt;"Sim",$I141="",$J141="",$L141="",$M141=""),"",IF(AND(IF($I141&gt;$J141,$F141,IF($I141&lt;$J141,$G141,$K141))&lt;&gt;"",IF($L141&gt;$M141,$F141,IF($L141&lt;$M141,$G141,$N141))&lt;&gt;"",IF($I141&gt;$J141,$F141,IF($I141&lt;$J141,$G141,$K141))=IF($L141&gt;$M141,$F141,IF($L141&lt;$M141,$G141,$N141))),1,0))</x:f>
      </x:c>
      <x:c r="Q141" s="59" t="str">
        <x:f>IF($O141="","",$O141+$P141)</x:f>
      </x:c>
      <x:c r="R141" s="59" t="str">
        <x:f>IF($Q141="","",IF($O141=3,"Cravada",IF(AND($H141="Sim",$L141=$M141,$I141=$J141,$O141=2),"Empate cravado",IF($O141=1,"Resultado certo",IF($O141=-2,"Invertida",IF($P141=1,"Acertou quem passa","Erro"))))))</x:f>
      </x:c>
      <x:c r="S141" s="59" t="str">
        <x:f>IF($O141="","",--(OR($O141=3,AND($H141="Sim",$L141=$M141,$I141=$J141,$O141=2))))</x:f>
      </x:c>
      <x:c r="T141" s="59" t="str">
        <x:f>IF($O141="","",--($O141=-2))</x:f>
      </x:c>
      <x:c r="U141" s="59" t="str">
        <x:f>IF($O141="","",--($O141=1))</x:f>
      </x:c>
      <x:c r="V141" s="59" t="n">
        <x:f>--(AND($I141&lt;&gt;"",$J141&lt;&gt;""))</x:f>
        <x:v>0</x:v>
      </x:c>
    </x:row>
    <x:row r="142">
      <x:c r="A142" s="21" t="str">
        <x:f>INDEX(Config!$B$10:$B$16,INT((ROW()-5)/104)+1)</x:f>
        <x:v>Leo C.</x:v>
      </x:c>
      <x:c r="B142" s="21" t="str">
        <x:v>GF4</x:v>
      </x:c>
      <x:c r="C142" s="21" t="n">
        <x:v>34</x:v>
      </x:c>
      <x:c r="D142" s="21" t="str">
        <x:v>Grupo F</x:v>
      </x:c>
      <x:c r="E142" s="21" t="str">
        <x:v>2026-06-21</x:v>
      </x:c>
      <x:c r="F142" s="21" t="str">
        <x:f>IFERROR(INDEX('Resultados'!$G$5:$G$108,MATCH($B142,'Resultados'!$A$5:$A$108,0)),"")</x:f>
        <x:v>Japão</x:v>
      </x:c>
      <x:c r="G142" s="21" t="str">
        <x:f>IFERROR(INDEX('Resultados'!$J$5:$J$108,MATCH($B142,'Resultados'!$A$5:$A$108,0)),"")</x:f>
        <x:v>Tunísia</x:v>
      </x:c>
      <x:c r="H142" s="21" t="str">
        <x:v>Não</x:v>
      </x:c>
      <x:c r="I142" s="22"/>
      <x:c r="J142" s="22"/>
      <x:c r="K142" s="23"/>
      <x:c r="L142" s="21" t="str">
        <x:f>IFERROR(INDEX('Resultados'!$H$5:$H$108,MATCH($B142,'Resultados'!$A$5:$A$108,0)),"")</x:f>
      </x:c>
      <x:c r="M142" s="21" t="str">
        <x:f>IFERROR(INDEX('Resultados'!$I$5:$I$108,MATCH($B142,'Resultados'!$A$5:$A$108,0)),"")</x:f>
      </x:c>
      <x:c r="N142" s="21" t="str">
        <x:f>IFERROR(INDEX('Resultados'!$L$5:$L$108,MATCH($B142,'Resultados'!$A$5:$A$108,0)),"")</x:f>
      </x:c>
      <x:c r="O142" s="59" t="str">
        <x:f>IF(OR($I142="",$J142="",$L142="",$M142=""),"",IF(AND($H142="Sim",$L142=$M142),IF($I142&lt;&gt;$J142,0,IF(AND($I142=$L142,$J142=$M142),2,1)),IF(AND($I142=$L142,$J142=$M142),3,IF(AND($I142&lt;&gt;$J142,$I142=$M142,$J142=$L142),-2,IF(SIGN($I142-$J142)=SIGN($L142-$M142),1,0)))))</x:f>
      </x:c>
      <x:c r="P142" s="59" t="str">
        <x:f>IF(OR($H142&lt;&gt;"Sim",$I142="",$J142="",$L142="",$M142=""),"",IF(AND(IF($I142&gt;$J142,$F142,IF($I142&lt;$J142,$G142,$K142))&lt;&gt;"",IF($L142&gt;$M142,$F142,IF($L142&lt;$M142,$G142,$N142))&lt;&gt;"",IF($I142&gt;$J142,$F142,IF($I142&lt;$J142,$G142,$K142))=IF($L142&gt;$M142,$F142,IF($L142&lt;$M142,$G142,$N142))),1,0))</x:f>
      </x:c>
      <x:c r="Q142" s="59" t="str">
        <x:f>IF($O142="","",$O142+$P142)</x:f>
      </x:c>
      <x:c r="R142" s="59" t="str">
        <x:f>IF($Q142="","",IF($O142=3,"Cravada",IF(AND($H142="Sim",$L142=$M142,$I142=$J142,$O142=2),"Empate cravado",IF($O142=1,"Resultado certo",IF($O142=-2,"Invertida",IF($P142=1,"Acertou quem passa","Erro"))))))</x:f>
      </x:c>
      <x:c r="S142" s="59" t="str">
        <x:f>IF($O142="","",--(OR($O142=3,AND($H142="Sim",$L142=$M142,$I142=$J142,$O142=2))))</x:f>
      </x:c>
      <x:c r="T142" s="59" t="str">
        <x:f>IF($O142="","",--($O142=-2))</x:f>
      </x:c>
      <x:c r="U142" s="59" t="str">
        <x:f>IF($O142="","",--($O142=1))</x:f>
      </x:c>
      <x:c r="V142" s="59" t="n">
        <x:f>--(AND($I142&lt;&gt;"",$J142&lt;&gt;""))</x:f>
        <x:v>0</x:v>
      </x:c>
    </x:row>
    <x:row r="143">
      <x:c r="A143" s="21" t="str">
        <x:f>INDEX(Config!$B$10:$B$16,INT((ROW()-5)/104)+1)</x:f>
        <x:v>Leo C.</x:v>
      </x:c>
      <x:c r="B143" s="21" t="str">
        <x:v>GF5</x:v>
      </x:c>
      <x:c r="C143" s="21" t="n">
        <x:v>35</x:v>
      </x:c>
      <x:c r="D143" s="21" t="str">
        <x:v>Grupo F</x:v>
      </x:c>
      <x:c r="E143" s="21" t="str">
        <x:v>2026-06-25</x:v>
      </x:c>
      <x:c r="F143" s="21" t="str">
        <x:f>IFERROR(INDEX('Resultados'!$G$5:$G$108,MATCH($B143,'Resultados'!$A$5:$A$108,0)),"")</x:f>
        <x:v>Holanda</x:v>
      </x:c>
      <x:c r="G143" s="21" t="str">
        <x:f>IFERROR(INDEX('Resultados'!$J$5:$J$108,MATCH($B143,'Resultados'!$A$5:$A$108,0)),"")</x:f>
        <x:v>Tunísia</x:v>
      </x:c>
      <x:c r="H143" s="21" t="str">
        <x:v>Não</x:v>
      </x:c>
      <x:c r="I143" s="22"/>
      <x:c r="J143" s="22"/>
      <x:c r="K143" s="23"/>
      <x:c r="L143" s="21" t="str">
        <x:f>IFERROR(INDEX('Resultados'!$H$5:$H$108,MATCH($B143,'Resultados'!$A$5:$A$108,0)),"")</x:f>
      </x:c>
      <x:c r="M143" s="21" t="str">
        <x:f>IFERROR(INDEX('Resultados'!$I$5:$I$108,MATCH($B143,'Resultados'!$A$5:$A$108,0)),"")</x:f>
      </x:c>
      <x:c r="N143" s="21" t="str">
        <x:f>IFERROR(INDEX('Resultados'!$L$5:$L$108,MATCH($B143,'Resultados'!$A$5:$A$108,0)),"")</x:f>
      </x:c>
      <x:c r="O143" s="59" t="str">
        <x:f>IF(OR($I143="",$J143="",$L143="",$M143=""),"",IF(AND($H143="Sim",$L143=$M143),IF($I143&lt;&gt;$J143,0,IF(AND($I143=$L143,$J143=$M143),2,1)),IF(AND($I143=$L143,$J143=$M143),3,IF(AND($I143&lt;&gt;$J143,$I143=$M143,$J143=$L143),-2,IF(SIGN($I143-$J143)=SIGN($L143-$M143),1,0)))))</x:f>
      </x:c>
      <x:c r="P143" s="59" t="str">
        <x:f>IF(OR($H143&lt;&gt;"Sim",$I143="",$J143="",$L143="",$M143=""),"",IF(AND(IF($I143&gt;$J143,$F143,IF($I143&lt;$J143,$G143,$K143))&lt;&gt;"",IF($L143&gt;$M143,$F143,IF($L143&lt;$M143,$G143,$N143))&lt;&gt;"",IF($I143&gt;$J143,$F143,IF($I143&lt;$J143,$G143,$K143))=IF($L143&gt;$M143,$F143,IF($L143&lt;$M143,$G143,$N143))),1,0))</x:f>
      </x:c>
      <x:c r="Q143" s="59" t="str">
        <x:f>IF($O143="","",$O143+$P143)</x:f>
      </x:c>
      <x:c r="R143" s="59" t="str">
        <x:f>IF($Q143="","",IF($O143=3,"Cravada",IF(AND($H143="Sim",$L143=$M143,$I143=$J143,$O143=2),"Empate cravado",IF($O143=1,"Resultado certo",IF($O143=-2,"Invertida",IF($P143=1,"Acertou quem passa","Erro"))))))</x:f>
      </x:c>
      <x:c r="S143" s="59" t="str">
        <x:f>IF($O143="","",--(OR($O143=3,AND($H143="Sim",$L143=$M143,$I143=$J143,$O143=2))))</x:f>
      </x:c>
      <x:c r="T143" s="59" t="str">
        <x:f>IF($O143="","",--($O143=-2))</x:f>
      </x:c>
      <x:c r="U143" s="59" t="str">
        <x:f>IF($O143="","",--($O143=1))</x:f>
      </x:c>
      <x:c r="V143" s="59" t="n">
        <x:f>--(AND($I143&lt;&gt;"",$J143&lt;&gt;""))</x:f>
        <x:v>0</x:v>
      </x:c>
    </x:row>
    <x:row r="144">
      <x:c r="A144" s="21" t="str">
        <x:f>INDEX(Config!$B$10:$B$16,INT((ROW()-5)/104)+1)</x:f>
        <x:v>Leo C.</x:v>
      </x:c>
      <x:c r="B144" s="21" t="str">
        <x:v>GF6</x:v>
      </x:c>
      <x:c r="C144" s="21" t="n">
        <x:v>36</x:v>
      </x:c>
      <x:c r="D144" s="21" t="str">
        <x:v>Grupo F</x:v>
      </x:c>
      <x:c r="E144" s="21" t="str">
        <x:v>2026-06-25</x:v>
      </x:c>
      <x:c r="F144" s="21" t="str">
        <x:f>IFERROR(INDEX('Resultados'!$G$5:$G$108,MATCH($B144,'Resultados'!$A$5:$A$108,0)),"")</x:f>
        <x:v>Japão</x:v>
      </x:c>
      <x:c r="G144" s="21" t="str">
        <x:f>IFERROR(INDEX('Resultados'!$J$5:$J$108,MATCH($B144,'Resultados'!$A$5:$A$108,0)),"")</x:f>
        <x:v>Suécia</x:v>
      </x:c>
      <x:c r="H144" s="21" t="str">
        <x:v>Não</x:v>
      </x:c>
      <x:c r="I144" s="22"/>
      <x:c r="J144" s="22"/>
      <x:c r="K144" s="23"/>
      <x:c r="L144" s="21" t="str">
        <x:f>IFERROR(INDEX('Resultados'!$H$5:$H$108,MATCH($B144,'Resultados'!$A$5:$A$108,0)),"")</x:f>
      </x:c>
      <x:c r="M144" s="21" t="str">
        <x:f>IFERROR(INDEX('Resultados'!$I$5:$I$108,MATCH($B144,'Resultados'!$A$5:$A$108,0)),"")</x:f>
      </x:c>
      <x:c r="N144" s="21" t="str">
        <x:f>IFERROR(INDEX('Resultados'!$L$5:$L$108,MATCH($B144,'Resultados'!$A$5:$A$108,0)),"")</x:f>
      </x:c>
      <x:c r="O144" s="59" t="str">
        <x:f>IF(OR($I144="",$J144="",$L144="",$M144=""),"",IF(AND($H144="Sim",$L144=$M144),IF($I144&lt;&gt;$J144,0,IF(AND($I144=$L144,$J144=$M144),2,1)),IF(AND($I144=$L144,$J144=$M144),3,IF(AND($I144&lt;&gt;$J144,$I144=$M144,$J144=$L144),-2,IF(SIGN($I144-$J144)=SIGN($L144-$M144),1,0)))))</x:f>
      </x:c>
      <x:c r="P144" s="59" t="str">
        <x:f>IF(OR($H144&lt;&gt;"Sim",$I144="",$J144="",$L144="",$M144=""),"",IF(AND(IF($I144&gt;$J144,$F144,IF($I144&lt;$J144,$G144,$K144))&lt;&gt;"",IF($L144&gt;$M144,$F144,IF($L144&lt;$M144,$G144,$N144))&lt;&gt;"",IF($I144&gt;$J144,$F144,IF($I144&lt;$J144,$G144,$K144))=IF($L144&gt;$M144,$F144,IF($L144&lt;$M144,$G144,$N144))),1,0))</x:f>
      </x:c>
      <x:c r="Q144" s="59" t="str">
        <x:f>IF($O144="","",$O144+$P144)</x:f>
      </x:c>
      <x:c r="R144" s="59" t="str">
        <x:f>IF($Q144="","",IF($O144=3,"Cravada",IF(AND($H144="Sim",$L144=$M144,$I144=$J144,$O144=2),"Empate cravado",IF($O144=1,"Resultado certo",IF($O144=-2,"Invertida",IF($P144=1,"Acertou quem passa","Erro"))))))</x:f>
      </x:c>
      <x:c r="S144" s="59" t="str">
        <x:f>IF($O144="","",--(OR($O144=3,AND($H144="Sim",$L144=$M144,$I144=$J144,$O144=2))))</x:f>
      </x:c>
      <x:c r="T144" s="59" t="str">
        <x:f>IF($O144="","",--($O144=-2))</x:f>
      </x:c>
      <x:c r="U144" s="59" t="str">
        <x:f>IF($O144="","",--($O144=1))</x:f>
      </x:c>
      <x:c r="V144" s="59" t="n">
        <x:f>--(AND($I144&lt;&gt;"",$J144&lt;&gt;""))</x:f>
        <x:v>0</x:v>
      </x:c>
    </x:row>
    <x:row r="145">
      <x:c r="A145" s="21" t="str">
        <x:f>INDEX(Config!$B$10:$B$16,INT((ROW()-5)/104)+1)</x:f>
        <x:v>Leo C.</x:v>
      </x:c>
      <x:c r="B145" s="21" t="str">
        <x:v>GG1</x:v>
      </x:c>
      <x:c r="C145" s="21" t="n">
        <x:v>37</x:v>
      </x:c>
      <x:c r="D145" s="21" t="str">
        <x:v>Grupo G</x:v>
      </x:c>
      <x:c r="E145" s="21" t="str">
        <x:v>2026-06-15</x:v>
      </x:c>
      <x:c r="F145" s="21" t="str">
        <x:f>IFERROR(INDEX('Resultados'!$G$5:$G$108,MATCH($B145,'Resultados'!$A$5:$A$108,0)),"")</x:f>
        <x:v>Bélgica</x:v>
      </x:c>
      <x:c r="G145" s="21" t="str">
        <x:f>IFERROR(INDEX('Resultados'!$J$5:$J$108,MATCH($B145,'Resultados'!$A$5:$A$108,0)),"")</x:f>
        <x:v>Egito</x:v>
      </x:c>
      <x:c r="H145" s="21" t="str">
        <x:v>Não</x:v>
      </x:c>
      <x:c r="I145" s="22"/>
      <x:c r="J145" s="22"/>
      <x:c r="K145" s="23"/>
      <x:c r="L145" s="21" t="str">
        <x:f>IFERROR(INDEX('Resultados'!$H$5:$H$108,MATCH($B145,'Resultados'!$A$5:$A$108,0)),"")</x:f>
      </x:c>
      <x:c r="M145" s="21" t="str">
        <x:f>IFERROR(INDEX('Resultados'!$I$5:$I$108,MATCH($B145,'Resultados'!$A$5:$A$108,0)),"")</x:f>
      </x:c>
      <x:c r="N145" s="21" t="str">
        <x:f>IFERROR(INDEX('Resultados'!$L$5:$L$108,MATCH($B145,'Resultados'!$A$5:$A$108,0)),"")</x:f>
      </x:c>
      <x:c r="O145" s="59" t="str">
        <x:f>IF(OR($I145="",$J145="",$L145="",$M145=""),"",IF(AND($H145="Sim",$L145=$M145),IF($I145&lt;&gt;$J145,0,IF(AND($I145=$L145,$J145=$M145),2,1)),IF(AND($I145=$L145,$J145=$M145),3,IF(AND($I145&lt;&gt;$J145,$I145=$M145,$J145=$L145),-2,IF(SIGN($I145-$J145)=SIGN($L145-$M145),1,0)))))</x:f>
      </x:c>
      <x:c r="P145" s="59" t="str">
        <x:f>IF(OR($H145&lt;&gt;"Sim",$I145="",$J145="",$L145="",$M145=""),"",IF(AND(IF($I145&gt;$J145,$F145,IF($I145&lt;$J145,$G145,$K145))&lt;&gt;"",IF($L145&gt;$M145,$F145,IF($L145&lt;$M145,$G145,$N145))&lt;&gt;"",IF($I145&gt;$J145,$F145,IF($I145&lt;$J145,$G145,$K145))=IF($L145&gt;$M145,$F145,IF($L145&lt;$M145,$G145,$N145))),1,0))</x:f>
      </x:c>
      <x:c r="Q145" s="59" t="str">
        <x:f>IF($O145="","",$O145+$P145)</x:f>
      </x:c>
      <x:c r="R145" s="59" t="str">
        <x:f>IF($Q145="","",IF($O145=3,"Cravada",IF(AND($H145="Sim",$L145=$M145,$I145=$J145,$O145=2),"Empate cravado",IF($O145=1,"Resultado certo",IF($O145=-2,"Invertida",IF($P145=1,"Acertou quem passa","Erro"))))))</x:f>
      </x:c>
      <x:c r="S145" s="59" t="str">
        <x:f>IF($O145="","",--(OR($O145=3,AND($H145="Sim",$L145=$M145,$I145=$J145,$O145=2))))</x:f>
      </x:c>
      <x:c r="T145" s="59" t="str">
        <x:f>IF($O145="","",--($O145=-2))</x:f>
      </x:c>
      <x:c r="U145" s="59" t="str">
        <x:f>IF($O145="","",--($O145=1))</x:f>
      </x:c>
      <x:c r="V145" s="59" t="n">
        <x:f>--(AND($I145&lt;&gt;"",$J145&lt;&gt;""))</x:f>
        <x:v>0</x:v>
      </x:c>
    </x:row>
    <x:row r="146">
      <x:c r="A146" s="21" t="str">
        <x:f>INDEX(Config!$B$10:$B$16,INT((ROW()-5)/104)+1)</x:f>
        <x:v>Leo C.</x:v>
      </x:c>
      <x:c r="B146" s="21" t="str">
        <x:v>GG2</x:v>
      </x:c>
      <x:c r="C146" s="21" t="n">
        <x:v>38</x:v>
      </x:c>
      <x:c r="D146" s="21" t="str">
        <x:v>Grupo G</x:v>
      </x:c>
      <x:c r="E146" s="21" t="str">
        <x:v>2026-06-15</x:v>
      </x:c>
      <x:c r="F146" s="21" t="str">
        <x:f>IFERROR(INDEX('Resultados'!$G$5:$G$108,MATCH($B146,'Resultados'!$A$5:$A$108,0)),"")</x:f>
        <x:v>Irã</x:v>
      </x:c>
      <x:c r="G146" s="21" t="str">
        <x:f>IFERROR(INDEX('Resultados'!$J$5:$J$108,MATCH($B146,'Resultados'!$A$5:$A$108,0)),"")</x:f>
        <x:v>Nova Zelândia</x:v>
      </x:c>
      <x:c r="H146" s="21" t="str">
        <x:v>Não</x:v>
      </x:c>
      <x:c r="I146" s="22"/>
      <x:c r="J146" s="22"/>
      <x:c r="K146" s="23"/>
      <x:c r="L146" s="21" t="str">
        <x:f>IFERROR(INDEX('Resultados'!$H$5:$H$108,MATCH($B146,'Resultados'!$A$5:$A$108,0)),"")</x:f>
      </x:c>
      <x:c r="M146" s="21" t="str">
        <x:f>IFERROR(INDEX('Resultados'!$I$5:$I$108,MATCH($B146,'Resultados'!$A$5:$A$108,0)),"")</x:f>
      </x:c>
      <x:c r="N146" s="21" t="str">
        <x:f>IFERROR(INDEX('Resultados'!$L$5:$L$108,MATCH($B146,'Resultados'!$A$5:$A$108,0)),"")</x:f>
      </x:c>
      <x:c r="O146" s="59" t="str">
        <x:f>IF(OR($I146="",$J146="",$L146="",$M146=""),"",IF(AND($H146="Sim",$L146=$M146),IF($I146&lt;&gt;$J146,0,IF(AND($I146=$L146,$J146=$M146),2,1)),IF(AND($I146=$L146,$J146=$M146),3,IF(AND($I146&lt;&gt;$J146,$I146=$M146,$J146=$L146),-2,IF(SIGN($I146-$J146)=SIGN($L146-$M146),1,0)))))</x:f>
      </x:c>
      <x:c r="P146" s="59" t="str">
        <x:f>IF(OR($H146&lt;&gt;"Sim",$I146="",$J146="",$L146="",$M146=""),"",IF(AND(IF($I146&gt;$J146,$F146,IF($I146&lt;$J146,$G146,$K146))&lt;&gt;"",IF($L146&gt;$M146,$F146,IF($L146&lt;$M146,$G146,$N146))&lt;&gt;"",IF($I146&gt;$J146,$F146,IF($I146&lt;$J146,$G146,$K146))=IF($L146&gt;$M146,$F146,IF($L146&lt;$M146,$G146,$N146))),1,0))</x:f>
      </x:c>
      <x:c r="Q146" s="59" t="str">
        <x:f>IF($O146="","",$O146+$P146)</x:f>
      </x:c>
      <x:c r="R146" s="59" t="str">
        <x:f>IF($Q146="","",IF($O146=3,"Cravada",IF(AND($H146="Sim",$L146=$M146,$I146=$J146,$O146=2),"Empate cravado",IF($O146=1,"Resultado certo",IF($O146=-2,"Invertida",IF($P146=1,"Acertou quem passa","Erro"))))))</x:f>
      </x:c>
      <x:c r="S146" s="59" t="str">
        <x:f>IF($O146="","",--(OR($O146=3,AND($H146="Sim",$L146=$M146,$I146=$J146,$O146=2))))</x:f>
      </x:c>
      <x:c r="T146" s="59" t="str">
        <x:f>IF($O146="","",--($O146=-2))</x:f>
      </x:c>
      <x:c r="U146" s="59" t="str">
        <x:f>IF($O146="","",--($O146=1))</x:f>
      </x:c>
      <x:c r="V146" s="59" t="n">
        <x:f>--(AND($I146&lt;&gt;"",$J146&lt;&gt;""))</x:f>
        <x:v>0</x:v>
      </x:c>
    </x:row>
    <x:row r="147">
      <x:c r="A147" s="21" t="str">
        <x:f>INDEX(Config!$B$10:$B$16,INT((ROW()-5)/104)+1)</x:f>
        <x:v>Leo C.</x:v>
      </x:c>
      <x:c r="B147" s="21" t="str">
        <x:v>GG3</x:v>
      </x:c>
      <x:c r="C147" s="21" t="n">
        <x:v>39</x:v>
      </x:c>
      <x:c r="D147" s="21" t="str">
        <x:v>Grupo G</x:v>
      </x:c>
      <x:c r="E147" s="21" t="str">
        <x:v>2026-06-21</x:v>
      </x:c>
      <x:c r="F147" s="21" t="str">
        <x:f>IFERROR(INDEX('Resultados'!$G$5:$G$108,MATCH($B147,'Resultados'!$A$5:$A$108,0)),"")</x:f>
        <x:v>Bélgica</x:v>
      </x:c>
      <x:c r="G147" s="21" t="str">
        <x:f>IFERROR(INDEX('Resultados'!$J$5:$J$108,MATCH($B147,'Resultados'!$A$5:$A$108,0)),"")</x:f>
        <x:v>Irã</x:v>
      </x:c>
      <x:c r="H147" s="21" t="str">
        <x:v>Não</x:v>
      </x:c>
      <x:c r="I147" s="22"/>
      <x:c r="J147" s="22"/>
      <x:c r="K147" s="23"/>
      <x:c r="L147" s="21" t="str">
        <x:f>IFERROR(INDEX('Resultados'!$H$5:$H$108,MATCH($B147,'Resultados'!$A$5:$A$108,0)),"")</x:f>
      </x:c>
      <x:c r="M147" s="21" t="str">
        <x:f>IFERROR(INDEX('Resultados'!$I$5:$I$108,MATCH($B147,'Resultados'!$A$5:$A$108,0)),"")</x:f>
      </x:c>
      <x:c r="N147" s="21" t="str">
        <x:f>IFERROR(INDEX('Resultados'!$L$5:$L$108,MATCH($B147,'Resultados'!$A$5:$A$108,0)),"")</x:f>
      </x:c>
      <x:c r="O147" s="59" t="str">
        <x:f>IF(OR($I147="",$J147="",$L147="",$M147=""),"",IF(AND($H147="Sim",$L147=$M147),IF($I147&lt;&gt;$J147,0,IF(AND($I147=$L147,$J147=$M147),2,1)),IF(AND($I147=$L147,$J147=$M147),3,IF(AND($I147&lt;&gt;$J147,$I147=$M147,$J147=$L147),-2,IF(SIGN($I147-$J147)=SIGN($L147-$M147),1,0)))))</x:f>
      </x:c>
      <x:c r="P147" s="59" t="str">
        <x:f>IF(OR($H147&lt;&gt;"Sim",$I147="",$J147="",$L147="",$M147=""),"",IF(AND(IF($I147&gt;$J147,$F147,IF($I147&lt;$J147,$G147,$K147))&lt;&gt;"",IF($L147&gt;$M147,$F147,IF($L147&lt;$M147,$G147,$N147))&lt;&gt;"",IF($I147&gt;$J147,$F147,IF($I147&lt;$J147,$G147,$K147))=IF($L147&gt;$M147,$F147,IF($L147&lt;$M147,$G147,$N147))),1,0))</x:f>
      </x:c>
      <x:c r="Q147" s="59" t="str">
        <x:f>IF($O147="","",$O147+$P147)</x:f>
      </x:c>
      <x:c r="R147" s="59" t="str">
        <x:f>IF($Q147="","",IF($O147=3,"Cravada",IF(AND($H147="Sim",$L147=$M147,$I147=$J147,$O147=2),"Empate cravado",IF($O147=1,"Resultado certo",IF($O147=-2,"Invertida",IF($P147=1,"Acertou quem passa","Erro"))))))</x:f>
      </x:c>
      <x:c r="S147" s="59" t="str">
        <x:f>IF($O147="","",--(OR($O147=3,AND($H147="Sim",$L147=$M147,$I147=$J147,$O147=2))))</x:f>
      </x:c>
      <x:c r="T147" s="59" t="str">
        <x:f>IF($O147="","",--($O147=-2))</x:f>
      </x:c>
      <x:c r="U147" s="59" t="str">
        <x:f>IF($O147="","",--($O147=1))</x:f>
      </x:c>
      <x:c r="V147" s="59" t="n">
        <x:f>--(AND($I147&lt;&gt;"",$J147&lt;&gt;""))</x:f>
        <x:v>0</x:v>
      </x:c>
    </x:row>
    <x:row r="148">
      <x:c r="A148" s="21" t="str">
        <x:f>INDEX(Config!$B$10:$B$16,INT((ROW()-5)/104)+1)</x:f>
        <x:v>Leo C.</x:v>
      </x:c>
      <x:c r="B148" s="21" t="str">
        <x:v>GG4</x:v>
      </x:c>
      <x:c r="C148" s="21" t="n">
        <x:v>40</x:v>
      </x:c>
      <x:c r="D148" s="21" t="str">
        <x:v>Grupo G</x:v>
      </x:c>
      <x:c r="E148" s="21" t="str">
        <x:v>2026-06-21</x:v>
      </x:c>
      <x:c r="F148" s="21" t="str">
        <x:f>IFERROR(INDEX('Resultados'!$G$5:$G$108,MATCH($B148,'Resultados'!$A$5:$A$108,0)),"")</x:f>
        <x:v>Egito</x:v>
      </x:c>
      <x:c r="G148" s="21" t="str">
        <x:f>IFERROR(INDEX('Resultados'!$J$5:$J$108,MATCH($B148,'Resultados'!$A$5:$A$108,0)),"")</x:f>
        <x:v>Nova Zelândia</x:v>
      </x:c>
      <x:c r="H148" s="21" t="str">
        <x:v>Não</x:v>
      </x:c>
      <x:c r="I148" s="22"/>
      <x:c r="J148" s="22"/>
      <x:c r="K148" s="23"/>
      <x:c r="L148" s="21" t="str">
        <x:f>IFERROR(INDEX('Resultados'!$H$5:$H$108,MATCH($B148,'Resultados'!$A$5:$A$108,0)),"")</x:f>
      </x:c>
      <x:c r="M148" s="21" t="str">
        <x:f>IFERROR(INDEX('Resultados'!$I$5:$I$108,MATCH($B148,'Resultados'!$A$5:$A$108,0)),"")</x:f>
      </x:c>
      <x:c r="N148" s="21" t="str">
        <x:f>IFERROR(INDEX('Resultados'!$L$5:$L$108,MATCH($B148,'Resultados'!$A$5:$A$108,0)),"")</x:f>
      </x:c>
      <x:c r="O148" s="59" t="str">
        <x:f>IF(OR($I148="",$J148="",$L148="",$M148=""),"",IF(AND($H148="Sim",$L148=$M148),IF($I148&lt;&gt;$J148,0,IF(AND($I148=$L148,$J148=$M148),2,1)),IF(AND($I148=$L148,$J148=$M148),3,IF(AND($I148&lt;&gt;$J148,$I148=$M148,$J148=$L148),-2,IF(SIGN($I148-$J148)=SIGN($L148-$M148),1,0)))))</x:f>
      </x:c>
      <x:c r="P148" s="59" t="str">
        <x:f>IF(OR($H148&lt;&gt;"Sim",$I148="",$J148="",$L148="",$M148=""),"",IF(AND(IF($I148&gt;$J148,$F148,IF($I148&lt;$J148,$G148,$K148))&lt;&gt;"",IF($L148&gt;$M148,$F148,IF($L148&lt;$M148,$G148,$N148))&lt;&gt;"",IF($I148&gt;$J148,$F148,IF($I148&lt;$J148,$G148,$K148))=IF($L148&gt;$M148,$F148,IF($L148&lt;$M148,$G148,$N148))),1,0))</x:f>
      </x:c>
      <x:c r="Q148" s="59" t="str">
        <x:f>IF($O148="","",$O148+$P148)</x:f>
      </x:c>
      <x:c r="R148" s="59" t="str">
        <x:f>IF($Q148="","",IF($O148=3,"Cravada",IF(AND($H148="Sim",$L148=$M148,$I148=$J148,$O148=2),"Empate cravado",IF($O148=1,"Resultado certo",IF($O148=-2,"Invertida",IF($P148=1,"Acertou quem passa","Erro"))))))</x:f>
      </x:c>
      <x:c r="S148" s="59" t="str">
        <x:f>IF($O148="","",--(OR($O148=3,AND($H148="Sim",$L148=$M148,$I148=$J148,$O148=2))))</x:f>
      </x:c>
      <x:c r="T148" s="59" t="str">
        <x:f>IF($O148="","",--($O148=-2))</x:f>
      </x:c>
      <x:c r="U148" s="59" t="str">
        <x:f>IF($O148="","",--($O148=1))</x:f>
      </x:c>
      <x:c r="V148" s="59" t="n">
        <x:f>--(AND($I148&lt;&gt;"",$J148&lt;&gt;""))</x:f>
        <x:v>0</x:v>
      </x:c>
    </x:row>
    <x:row r="149">
      <x:c r="A149" s="21" t="str">
        <x:f>INDEX(Config!$B$10:$B$16,INT((ROW()-5)/104)+1)</x:f>
        <x:v>Leo C.</x:v>
      </x:c>
      <x:c r="B149" s="21" t="str">
        <x:v>GG5</x:v>
      </x:c>
      <x:c r="C149" s="21" t="n">
        <x:v>41</x:v>
      </x:c>
      <x:c r="D149" s="21" t="str">
        <x:v>Grupo G</x:v>
      </x:c>
      <x:c r="E149" s="21" t="str">
        <x:v>2026-06-27</x:v>
      </x:c>
      <x:c r="F149" s="21" t="str">
        <x:f>IFERROR(INDEX('Resultados'!$G$5:$G$108,MATCH($B149,'Resultados'!$A$5:$A$108,0)),"")</x:f>
        <x:v>Bélgica</x:v>
      </x:c>
      <x:c r="G149" s="21" t="str">
        <x:f>IFERROR(INDEX('Resultados'!$J$5:$J$108,MATCH($B149,'Resultados'!$A$5:$A$108,0)),"")</x:f>
        <x:v>Nova Zelândia</x:v>
      </x:c>
      <x:c r="H149" s="21" t="str">
        <x:v>Não</x:v>
      </x:c>
      <x:c r="I149" s="22"/>
      <x:c r="J149" s="22"/>
      <x:c r="K149" s="23"/>
      <x:c r="L149" s="21" t="str">
        <x:f>IFERROR(INDEX('Resultados'!$H$5:$H$108,MATCH($B149,'Resultados'!$A$5:$A$108,0)),"")</x:f>
      </x:c>
      <x:c r="M149" s="21" t="str">
        <x:f>IFERROR(INDEX('Resultados'!$I$5:$I$108,MATCH($B149,'Resultados'!$A$5:$A$108,0)),"")</x:f>
      </x:c>
      <x:c r="N149" s="21" t="str">
        <x:f>IFERROR(INDEX('Resultados'!$L$5:$L$108,MATCH($B149,'Resultados'!$A$5:$A$108,0)),"")</x:f>
      </x:c>
      <x:c r="O149" s="59" t="str">
        <x:f>IF(OR($I149="",$J149="",$L149="",$M149=""),"",IF(AND($H149="Sim",$L149=$M149),IF($I149&lt;&gt;$J149,0,IF(AND($I149=$L149,$J149=$M149),2,1)),IF(AND($I149=$L149,$J149=$M149),3,IF(AND($I149&lt;&gt;$J149,$I149=$M149,$J149=$L149),-2,IF(SIGN($I149-$J149)=SIGN($L149-$M149),1,0)))))</x:f>
      </x:c>
      <x:c r="P149" s="59" t="str">
        <x:f>IF(OR($H149&lt;&gt;"Sim",$I149="",$J149="",$L149="",$M149=""),"",IF(AND(IF($I149&gt;$J149,$F149,IF($I149&lt;$J149,$G149,$K149))&lt;&gt;"",IF($L149&gt;$M149,$F149,IF($L149&lt;$M149,$G149,$N149))&lt;&gt;"",IF($I149&gt;$J149,$F149,IF($I149&lt;$J149,$G149,$K149))=IF($L149&gt;$M149,$F149,IF($L149&lt;$M149,$G149,$N149))),1,0))</x:f>
      </x:c>
      <x:c r="Q149" s="59" t="str">
        <x:f>IF($O149="","",$O149+$P149)</x:f>
      </x:c>
      <x:c r="R149" s="59" t="str">
        <x:f>IF($Q149="","",IF($O149=3,"Cravada",IF(AND($H149="Sim",$L149=$M149,$I149=$J149,$O149=2),"Empate cravado",IF($O149=1,"Resultado certo",IF($O149=-2,"Invertida",IF($P149=1,"Acertou quem passa","Erro"))))))</x:f>
      </x:c>
      <x:c r="S149" s="59" t="str">
        <x:f>IF($O149="","",--(OR($O149=3,AND($H149="Sim",$L149=$M149,$I149=$J149,$O149=2))))</x:f>
      </x:c>
      <x:c r="T149" s="59" t="str">
        <x:f>IF($O149="","",--($O149=-2))</x:f>
      </x:c>
      <x:c r="U149" s="59" t="str">
        <x:f>IF($O149="","",--($O149=1))</x:f>
      </x:c>
      <x:c r="V149" s="59" t="n">
        <x:f>--(AND($I149&lt;&gt;"",$J149&lt;&gt;""))</x:f>
        <x:v>0</x:v>
      </x:c>
    </x:row>
    <x:row r="150">
      <x:c r="A150" s="21" t="str">
        <x:f>INDEX(Config!$B$10:$B$16,INT((ROW()-5)/104)+1)</x:f>
        <x:v>Leo C.</x:v>
      </x:c>
      <x:c r="B150" s="21" t="str">
        <x:v>GG6</x:v>
      </x:c>
      <x:c r="C150" s="21" t="n">
        <x:v>42</x:v>
      </x:c>
      <x:c r="D150" s="21" t="str">
        <x:v>Grupo G</x:v>
      </x:c>
      <x:c r="E150" s="21" t="str">
        <x:v>2026-06-27</x:v>
      </x:c>
      <x:c r="F150" s="21" t="str">
        <x:f>IFERROR(INDEX('Resultados'!$G$5:$G$108,MATCH($B150,'Resultados'!$A$5:$A$108,0)),"")</x:f>
        <x:v>Egito</x:v>
      </x:c>
      <x:c r="G150" s="21" t="str">
        <x:f>IFERROR(INDEX('Resultados'!$J$5:$J$108,MATCH($B150,'Resultados'!$A$5:$A$108,0)),"")</x:f>
        <x:v>Irã</x:v>
      </x:c>
      <x:c r="H150" s="21" t="str">
        <x:v>Não</x:v>
      </x:c>
      <x:c r="I150" s="22"/>
      <x:c r="J150" s="22"/>
      <x:c r="K150" s="23"/>
      <x:c r="L150" s="21" t="str">
        <x:f>IFERROR(INDEX('Resultados'!$H$5:$H$108,MATCH($B150,'Resultados'!$A$5:$A$108,0)),"")</x:f>
      </x:c>
      <x:c r="M150" s="21" t="str">
        <x:f>IFERROR(INDEX('Resultados'!$I$5:$I$108,MATCH($B150,'Resultados'!$A$5:$A$108,0)),"")</x:f>
      </x:c>
      <x:c r="N150" s="21" t="str">
        <x:f>IFERROR(INDEX('Resultados'!$L$5:$L$108,MATCH($B150,'Resultados'!$A$5:$A$108,0)),"")</x:f>
      </x:c>
      <x:c r="O150" s="59" t="str">
        <x:f>IF(OR($I150="",$J150="",$L150="",$M150=""),"",IF(AND($H150="Sim",$L150=$M150),IF($I150&lt;&gt;$J150,0,IF(AND($I150=$L150,$J150=$M150),2,1)),IF(AND($I150=$L150,$J150=$M150),3,IF(AND($I150&lt;&gt;$J150,$I150=$M150,$J150=$L150),-2,IF(SIGN($I150-$J150)=SIGN($L150-$M150),1,0)))))</x:f>
      </x:c>
      <x:c r="P150" s="59" t="str">
        <x:f>IF(OR($H150&lt;&gt;"Sim",$I150="",$J150="",$L150="",$M150=""),"",IF(AND(IF($I150&gt;$J150,$F150,IF($I150&lt;$J150,$G150,$K150))&lt;&gt;"",IF($L150&gt;$M150,$F150,IF($L150&lt;$M150,$G150,$N150))&lt;&gt;"",IF($I150&gt;$J150,$F150,IF($I150&lt;$J150,$G150,$K150))=IF($L150&gt;$M150,$F150,IF($L150&lt;$M150,$G150,$N150))),1,0))</x:f>
      </x:c>
      <x:c r="Q150" s="59" t="str">
        <x:f>IF($O150="","",$O150+$P150)</x:f>
      </x:c>
      <x:c r="R150" s="59" t="str">
        <x:f>IF($Q150="","",IF($O150=3,"Cravada",IF(AND($H150="Sim",$L150=$M150,$I150=$J150,$O150=2),"Empate cravado",IF($O150=1,"Resultado certo",IF($O150=-2,"Invertida",IF($P150=1,"Acertou quem passa","Erro"))))))</x:f>
      </x:c>
      <x:c r="S150" s="59" t="str">
        <x:f>IF($O150="","",--(OR($O150=3,AND($H150="Sim",$L150=$M150,$I150=$J150,$O150=2))))</x:f>
      </x:c>
      <x:c r="T150" s="59" t="str">
        <x:f>IF($O150="","",--($O150=-2))</x:f>
      </x:c>
      <x:c r="U150" s="59" t="str">
        <x:f>IF($O150="","",--($O150=1))</x:f>
      </x:c>
      <x:c r="V150" s="59" t="n">
        <x:f>--(AND($I150&lt;&gt;"",$J150&lt;&gt;""))</x:f>
        <x:v>0</x:v>
      </x:c>
    </x:row>
    <x:row r="151">
      <x:c r="A151" s="21" t="str">
        <x:f>INDEX(Config!$B$10:$B$16,INT((ROW()-5)/104)+1)</x:f>
        <x:v>Leo C.</x:v>
      </x:c>
      <x:c r="B151" s="21" t="str">
        <x:v>GH1</x:v>
      </x:c>
      <x:c r="C151" s="21" t="n">
        <x:v>43</x:v>
      </x:c>
      <x:c r="D151" s="21" t="str">
        <x:v>Grupo H</x:v>
      </x:c>
      <x:c r="E151" s="21" t="str">
        <x:v>2026-06-15</x:v>
      </x:c>
      <x:c r="F151" s="21" t="str">
        <x:f>IFERROR(INDEX('Resultados'!$G$5:$G$108,MATCH($B151,'Resultados'!$A$5:$A$108,0)),"")</x:f>
        <x:v>Espanha</x:v>
      </x:c>
      <x:c r="G151" s="21" t="str">
        <x:f>IFERROR(INDEX('Resultados'!$J$5:$J$108,MATCH($B151,'Resultados'!$A$5:$A$108,0)),"")</x:f>
        <x:v>Cabo Verde</x:v>
      </x:c>
      <x:c r="H151" s="21" t="str">
        <x:v>Não</x:v>
      </x:c>
      <x:c r="I151" s="22"/>
      <x:c r="J151" s="22"/>
      <x:c r="K151" s="23"/>
      <x:c r="L151" s="21" t="str">
        <x:f>IFERROR(INDEX('Resultados'!$H$5:$H$108,MATCH($B151,'Resultados'!$A$5:$A$108,0)),"")</x:f>
      </x:c>
      <x:c r="M151" s="21" t="str">
        <x:f>IFERROR(INDEX('Resultados'!$I$5:$I$108,MATCH($B151,'Resultados'!$A$5:$A$108,0)),"")</x:f>
      </x:c>
      <x:c r="N151" s="21" t="str">
        <x:f>IFERROR(INDEX('Resultados'!$L$5:$L$108,MATCH($B151,'Resultados'!$A$5:$A$108,0)),"")</x:f>
      </x:c>
      <x:c r="O151" s="59" t="str">
        <x:f>IF(OR($I151="",$J151="",$L151="",$M151=""),"",IF(AND($H151="Sim",$L151=$M151),IF($I151&lt;&gt;$J151,0,IF(AND($I151=$L151,$J151=$M151),2,1)),IF(AND($I151=$L151,$J151=$M151),3,IF(AND($I151&lt;&gt;$J151,$I151=$M151,$J151=$L151),-2,IF(SIGN($I151-$J151)=SIGN($L151-$M151),1,0)))))</x:f>
      </x:c>
      <x:c r="P151" s="59" t="str">
        <x:f>IF(OR($H151&lt;&gt;"Sim",$I151="",$J151="",$L151="",$M151=""),"",IF(AND(IF($I151&gt;$J151,$F151,IF($I151&lt;$J151,$G151,$K151))&lt;&gt;"",IF($L151&gt;$M151,$F151,IF($L151&lt;$M151,$G151,$N151))&lt;&gt;"",IF($I151&gt;$J151,$F151,IF($I151&lt;$J151,$G151,$K151))=IF($L151&gt;$M151,$F151,IF($L151&lt;$M151,$G151,$N151))),1,0))</x:f>
      </x:c>
      <x:c r="Q151" s="59" t="str">
        <x:f>IF($O151="","",$O151+$P151)</x:f>
      </x:c>
      <x:c r="R151" s="59" t="str">
        <x:f>IF($Q151="","",IF($O151=3,"Cravada",IF(AND($H151="Sim",$L151=$M151,$I151=$J151,$O151=2),"Empate cravado",IF($O151=1,"Resultado certo",IF($O151=-2,"Invertida",IF($P151=1,"Acertou quem passa","Erro"))))))</x:f>
      </x:c>
      <x:c r="S151" s="59" t="str">
        <x:f>IF($O151="","",--(OR($O151=3,AND($H151="Sim",$L151=$M151,$I151=$J151,$O151=2))))</x:f>
      </x:c>
      <x:c r="T151" s="59" t="str">
        <x:f>IF($O151="","",--($O151=-2))</x:f>
      </x:c>
      <x:c r="U151" s="59" t="str">
        <x:f>IF($O151="","",--($O151=1))</x:f>
      </x:c>
      <x:c r="V151" s="59" t="n">
        <x:f>--(AND($I151&lt;&gt;"",$J151&lt;&gt;""))</x:f>
        <x:v>0</x:v>
      </x:c>
    </x:row>
    <x:row r="152">
      <x:c r="A152" s="21" t="str">
        <x:f>INDEX(Config!$B$10:$B$16,INT((ROW()-5)/104)+1)</x:f>
        <x:v>Leo C.</x:v>
      </x:c>
      <x:c r="B152" s="21" t="str">
        <x:v>GH2</x:v>
      </x:c>
      <x:c r="C152" s="21" t="n">
        <x:v>44</x:v>
      </x:c>
      <x:c r="D152" s="21" t="str">
        <x:v>Grupo H</x:v>
      </x:c>
      <x:c r="E152" s="21" t="str">
        <x:v>2026-06-15</x:v>
      </x:c>
      <x:c r="F152" s="21" t="str">
        <x:f>IFERROR(INDEX('Resultados'!$G$5:$G$108,MATCH($B152,'Resultados'!$A$5:$A$108,0)),"")</x:f>
        <x:v>Arábia Saudita</x:v>
      </x:c>
      <x:c r="G152" s="21" t="str">
        <x:f>IFERROR(INDEX('Resultados'!$J$5:$J$108,MATCH($B152,'Resultados'!$A$5:$A$108,0)),"")</x:f>
        <x:v>Uruguai</x:v>
      </x:c>
      <x:c r="H152" s="21" t="str">
        <x:v>Não</x:v>
      </x:c>
      <x:c r="I152" s="22"/>
      <x:c r="J152" s="22"/>
      <x:c r="K152" s="23"/>
      <x:c r="L152" s="21" t="str">
        <x:f>IFERROR(INDEX('Resultados'!$H$5:$H$108,MATCH($B152,'Resultados'!$A$5:$A$108,0)),"")</x:f>
      </x:c>
      <x:c r="M152" s="21" t="str">
        <x:f>IFERROR(INDEX('Resultados'!$I$5:$I$108,MATCH($B152,'Resultados'!$A$5:$A$108,0)),"")</x:f>
      </x:c>
      <x:c r="N152" s="21" t="str">
        <x:f>IFERROR(INDEX('Resultados'!$L$5:$L$108,MATCH($B152,'Resultados'!$A$5:$A$108,0)),"")</x:f>
      </x:c>
      <x:c r="O152" s="59" t="str">
        <x:f>IF(OR($I152="",$J152="",$L152="",$M152=""),"",IF(AND($H152="Sim",$L152=$M152),IF($I152&lt;&gt;$J152,0,IF(AND($I152=$L152,$J152=$M152),2,1)),IF(AND($I152=$L152,$J152=$M152),3,IF(AND($I152&lt;&gt;$J152,$I152=$M152,$J152=$L152),-2,IF(SIGN($I152-$J152)=SIGN($L152-$M152),1,0)))))</x:f>
      </x:c>
      <x:c r="P152" s="59" t="str">
        <x:f>IF(OR($H152&lt;&gt;"Sim",$I152="",$J152="",$L152="",$M152=""),"",IF(AND(IF($I152&gt;$J152,$F152,IF($I152&lt;$J152,$G152,$K152))&lt;&gt;"",IF($L152&gt;$M152,$F152,IF($L152&lt;$M152,$G152,$N152))&lt;&gt;"",IF($I152&gt;$J152,$F152,IF($I152&lt;$J152,$G152,$K152))=IF($L152&gt;$M152,$F152,IF($L152&lt;$M152,$G152,$N152))),1,0))</x:f>
      </x:c>
      <x:c r="Q152" s="59" t="str">
        <x:f>IF($O152="","",$O152+$P152)</x:f>
      </x:c>
      <x:c r="R152" s="59" t="str">
        <x:f>IF($Q152="","",IF($O152=3,"Cravada",IF(AND($H152="Sim",$L152=$M152,$I152=$J152,$O152=2),"Empate cravado",IF($O152=1,"Resultado certo",IF($O152=-2,"Invertida",IF($P152=1,"Acertou quem passa","Erro"))))))</x:f>
      </x:c>
      <x:c r="S152" s="59" t="str">
        <x:f>IF($O152="","",--(OR($O152=3,AND($H152="Sim",$L152=$M152,$I152=$J152,$O152=2))))</x:f>
      </x:c>
      <x:c r="T152" s="59" t="str">
        <x:f>IF($O152="","",--($O152=-2))</x:f>
      </x:c>
      <x:c r="U152" s="59" t="str">
        <x:f>IF($O152="","",--($O152=1))</x:f>
      </x:c>
      <x:c r="V152" s="59" t="n">
        <x:f>--(AND($I152&lt;&gt;"",$J152&lt;&gt;""))</x:f>
        <x:v>0</x:v>
      </x:c>
    </x:row>
    <x:row r="153">
      <x:c r="A153" s="21" t="str">
        <x:f>INDEX(Config!$B$10:$B$16,INT((ROW()-5)/104)+1)</x:f>
        <x:v>Leo C.</x:v>
      </x:c>
      <x:c r="B153" s="21" t="str">
        <x:v>GH3</x:v>
      </x:c>
      <x:c r="C153" s="21" t="n">
        <x:v>45</x:v>
      </x:c>
      <x:c r="D153" s="21" t="str">
        <x:v>Grupo H</x:v>
      </x:c>
      <x:c r="E153" s="21" t="str">
        <x:v>2026-06-21</x:v>
      </x:c>
      <x:c r="F153" s="21" t="str">
        <x:f>IFERROR(INDEX('Resultados'!$G$5:$G$108,MATCH($B153,'Resultados'!$A$5:$A$108,0)),"")</x:f>
        <x:v>Espanha</x:v>
      </x:c>
      <x:c r="G153" s="21" t="str">
        <x:f>IFERROR(INDEX('Resultados'!$J$5:$J$108,MATCH($B153,'Resultados'!$A$5:$A$108,0)),"")</x:f>
        <x:v>Arábia Saudita</x:v>
      </x:c>
      <x:c r="H153" s="21" t="str">
        <x:v>Não</x:v>
      </x:c>
      <x:c r="I153" s="22"/>
      <x:c r="J153" s="22"/>
      <x:c r="K153" s="23"/>
      <x:c r="L153" s="21" t="str">
        <x:f>IFERROR(INDEX('Resultados'!$H$5:$H$108,MATCH($B153,'Resultados'!$A$5:$A$108,0)),"")</x:f>
      </x:c>
      <x:c r="M153" s="21" t="str">
        <x:f>IFERROR(INDEX('Resultados'!$I$5:$I$108,MATCH($B153,'Resultados'!$A$5:$A$108,0)),"")</x:f>
      </x:c>
      <x:c r="N153" s="21" t="str">
        <x:f>IFERROR(INDEX('Resultados'!$L$5:$L$108,MATCH($B153,'Resultados'!$A$5:$A$108,0)),"")</x:f>
      </x:c>
      <x:c r="O153" s="59" t="str">
        <x:f>IF(OR($I153="",$J153="",$L153="",$M153=""),"",IF(AND($H153="Sim",$L153=$M153),IF($I153&lt;&gt;$J153,0,IF(AND($I153=$L153,$J153=$M153),2,1)),IF(AND($I153=$L153,$J153=$M153),3,IF(AND($I153&lt;&gt;$J153,$I153=$M153,$J153=$L153),-2,IF(SIGN($I153-$J153)=SIGN($L153-$M153),1,0)))))</x:f>
      </x:c>
      <x:c r="P153" s="59" t="str">
        <x:f>IF(OR($H153&lt;&gt;"Sim",$I153="",$J153="",$L153="",$M153=""),"",IF(AND(IF($I153&gt;$J153,$F153,IF($I153&lt;$J153,$G153,$K153))&lt;&gt;"",IF($L153&gt;$M153,$F153,IF($L153&lt;$M153,$G153,$N153))&lt;&gt;"",IF($I153&gt;$J153,$F153,IF($I153&lt;$J153,$G153,$K153))=IF($L153&gt;$M153,$F153,IF($L153&lt;$M153,$G153,$N153))),1,0))</x:f>
      </x:c>
      <x:c r="Q153" s="59" t="str">
        <x:f>IF($O153="","",$O153+$P153)</x:f>
      </x:c>
      <x:c r="R153" s="59" t="str">
        <x:f>IF($Q153="","",IF($O153=3,"Cravada",IF(AND($H153="Sim",$L153=$M153,$I153=$J153,$O153=2),"Empate cravado",IF($O153=1,"Resultado certo",IF($O153=-2,"Invertida",IF($P153=1,"Acertou quem passa","Erro"))))))</x:f>
      </x:c>
      <x:c r="S153" s="59" t="str">
        <x:f>IF($O153="","",--(OR($O153=3,AND($H153="Sim",$L153=$M153,$I153=$J153,$O153=2))))</x:f>
      </x:c>
      <x:c r="T153" s="59" t="str">
        <x:f>IF($O153="","",--($O153=-2))</x:f>
      </x:c>
      <x:c r="U153" s="59" t="str">
        <x:f>IF($O153="","",--($O153=1))</x:f>
      </x:c>
      <x:c r="V153" s="59" t="n">
        <x:f>--(AND($I153&lt;&gt;"",$J153&lt;&gt;""))</x:f>
        <x:v>0</x:v>
      </x:c>
    </x:row>
    <x:row r="154">
      <x:c r="A154" s="21" t="str">
        <x:f>INDEX(Config!$B$10:$B$16,INT((ROW()-5)/104)+1)</x:f>
        <x:v>Leo C.</x:v>
      </x:c>
      <x:c r="B154" s="21" t="str">
        <x:v>GH4</x:v>
      </x:c>
      <x:c r="C154" s="21" t="n">
        <x:v>46</x:v>
      </x:c>
      <x:c r="D154" s="21" t="str">
        <x:v>Grupo H</x:v>
      </x:c>
      <x:c r="E154" s="21" t="str">
        <x:v>2026-06-21</x:v>
      </x:c>
      <x:c r="F154" s="21" t="str">
        <x:f>IFERROR(INDEX('Resultados'!$G$5:$G$108,MATCH($B154,'Resultados'!$A$5:$A$108,0)),"")</x:f>
        <x:v>Cabo Verde</x:v>
      </x:c>
      <x:c r="G154" s="21" t="str">
        <x:f>IFERROR(INDEX('Resultados'!$J$5:$J$108,MATCH($B154,'Resultados'!$A$5:$A$108,0)),"")</x:f>
        <x:v>Uruguai</x:v>
      </x:c>
      <x:c r="H154" s="21" t="str">
        <x:v>Não</x:v>
      </x:c>
      <x:c r="I154" s="22"/>
      <x:c r="J154" s="22"/>
      <x:c r="K154" s="23"/>
      <x:c r="L154" s="21" t="str">
        <x:f>IFERROR(INDEX('Resultados'!$H$5:$H$108,MATCH($B154,'Resultados'!$A$5:$A$108,0)),"")</x:f>
      </x:c>
      <x:c r="M154" s="21" t="str">
        <x:f>IFERROR(INDEX('Resultados'!$I$5:$I$108,MATCH($B154,'Resultados'!$A$5:$A$108,0)),"")</x:f>
      </x:c>
      <x:c r="N154" s="21" t="str">
        <x:f>IFERROR(INDEX('Resultados'!$L$5:$L$108,MATCH($B154,'Resultados'!$A$5:$A$108,0)),"")</x:f>
      </x:c>
      <x:c r="O154" s="59" t="str">
        <x:f>IF(OR($I154="",$J154="",$L154="",$M154=""),"",IF(AND($H154="Sim",$L154=$M154),IF($I154&lt;&gt;$J154,0,IF(AND($I154=$L154,$J154=$M154),2,1)),IF(AND($I154=$L154,$J154=$M154),3,IF(AND($I154&lt;&gt;$J154,$I154=$M154,$J154=$L154),-2,IF(SIGN($I154-$J154)=SIGN($L154-$M154),1,0)))))</x:f>
      </x:c>
      <x:c r="P154" s="59" t="str">
        <x:f>IF(OR($H154&lt;&gt;"Sim",$I154="",$J154="",$L154="",$M154=""),"",IF(AND(IF($I154&gt;$J154,$F154,IF($I154&lt;$J154,$G154,$K154))&lt;&gt;"",IF($L154&gt;$M154,$F154,IF($L154&lt;$M154,$G154,$N154))&lt;&gt;"",IF($I154&gt;$J154,$F154,IF($I154&lt;$J154,$G154,$K154))=IF($L154&gt;$M154,$F154,IF($L154&lt;$M154,$G154,$N154))),1,0))</x:f>
      </x:c>
      <x:c r="Q154" s="59" t="str">
        <x:f>IF($O154="","",$O154+$P154)</x:f>
      </x:c>
      <x:c r="R154" s="59" t="str">
        <x:f>IF($Q154="","",IF($O154=3,"Cravada",IF(AND($H154="Sim",$L154=$M154,$I154=$J154,$O154=2),"Empate cravado",IF($O154=1,"Resultado certo",IF($O154=-2,"Invertida",IF($P154=1,"Acertou quem passa","Erro"))))))</x:f>
      </x:c>
      <x:c r="S154" s="59" t="str">
        <x:f>IF($O154="","",--(OR($O154=3,AND($H154="Sim",$L154=$M154,$I154=$J154,$O154=2))))</x:f>
      </x:c>
      <x:c r="T154" s="59" t="str">
        <x:f>IF($O154="","",--($O154=-2))</x:f>
      </x:c>
      <x:c r="U154" s="59" t="str">
        <x:f>IF($O154="","",--($O154=1))</x:f>
      </x:c>
      <x:c r="V154" s="59" t="n">
        <x:f>--(AND($I154&lt;&gt;"",$J154&lt;&gt;""))</x:f>
        <x:v>0</x:v>
      </x:c>
    </x:row>
    <x:row r="155">
      <x:c r="A155" s="21" t="str">
        <x:f>INDEX(Config!$B$10:$B$16,INT((ROW()-5)/104)+1)</x:f>
        <x:v>Leo C.</x:v>
      </x:c>
      <x:c r="B155" s="21" t="str">
        <x:v>GH5</x:v>
      </x:c>
      <x:c r="C155" s="21" t="n">
        <x:v>47</x:v>
      </x:c>
      <x:c r="D155" s="21" t="str">
        <x:v>Grupo H</x:v>
      </x:c>
      <x:c r="E155" s="21" t="str">
        <x:v>2026-06-26</x:v>
      </x:c>
      <x:c r="F155" s="21" t="str">
        <x:f>IFERROR(INDEX('Resultados'!$G$5:$G$108,MATCH($B155,'Resultados'!$A$5:$A$108,0)),"")</x:f>
        <x:v>Espanha</x:v>
      </x:c>
      <x:c r="G155" s="21" t="str">
        <x:f>IFERROR(INDEX('Resultados'!$J$5:$J$108,MATCH($B155,'Resultados'!$A$5:$A$108,0)),"")</x:f>
        <x:v>Uruguai</x:v>
      </x:c>
      <x:c r="H155" s="21" t="str">
        <x:v>Não</x:v>
      </x:c>
      <x:c r="I155" s="22"/>
      <x:c r="J155" s="22"/>
      <x:c r="K155" s="23"/>
      <x:c r="L155" s="21" t="str">
        <x:f>IFERROR(INDEX('Resultados'!$H$5:$H$108,MATCH($B155,'Resultados'!$A$5:$A$108,0)),"")</x:f>
      </x:c>
      <x:c r="M155" s="21" t="str">
        <x:f>IFERROR(INDEX('Resultados'!$I$5:$I$108,MATCH($B155,'Resultados'!$A$5:$A$108,0)),"")</x:f>
      </x:c>
      <x:c r="N155" s="21" t="str">
        <x:f>IFERROR(INDEX('Resultados'!$L$5:$L$108,MATCH($B155,'Resultados'!$A$5:$A$108,0)),"")</x:f>
      </x:c>
      <x:c r="O155" s="59" t="str">
        <x:f>IF(OR($I155="",$J155="",$L155="",$M155=""),"",IF(AND($H155="Sim",$L155=$M155),IF($I155&lt;&gt;$J155,0,IF(AND($I155=$L155,$J155=$M155),2,1)),IF(AND($I155=$L155,$J155=$M155),3,IF(AND($I155&lt;&gt;$J155,$I155=$M155,$J155=$L155),-2,IF(SIGN($I155-$J155)=SIGN($L155-$M155),1,0)))))</x:f>
      </x:c>
      <x:c r="P155" s="59" t="str">
        <x:f>IF(OR($H155&lt;&gt;"Sim",$I155="",$J155="",$L155="",$M155=""),"",IF(AND(IF($I155&gt;$J155,$F155,IF($I155&lt;$J155,$G155,$K155))&lt;&gt;"",IF($L155&gt;$M155,$F155,IF($L155&lt;$M155,$G155,$N155))&lt;&gt;"",IF($I155&gt;$J155,$F155,IF($I155&lt;$J155,$G155,$K155))=IF($L155&gt;$M155,$F155,IF($L155&lt;$M155,$G155,$N155))),1,0))</x:f>
      </x:c>
      <x:c r="Q155" s="59" t="str">
        <x:f>IF($O155="","",$O155+$P155)</x:f>
      </x:c>
      <x:c r="R155" s="59" t="str">
        <x:f>IF($Q155="","",IF($O155=3,"Cravada",IF(AND($H155="Sim",$L155=$M155,$I155=$J155,$O155=2),"Empate cravado",IF($O155=1,"Resultado certo",IF($O155=-2,"Invertida",IF($P155=1,"Acertou quem passa","Erro"))))))</x:f>
      </x:c>
      <x:c r="S155" s="59" t="str">
        <x:f>IF($O155="","",--(OR($O155=3,AND($H155="Sim",$L155=$M155,$I155=$J155,$O155=2))))</x:f>
      </x:c>
      <x:c r="T155" s="59" t="str">
        <x:f>IF($O155="","",--($O155=-2))</x:f>
      </x:c>
      <x:c r="U155" s="59" t="str">
        <x:f>IF($O155="","",--($O155=1))</x:f>
      </x:c>
      <x:c r="V155" s="59" t="n">
        <x:f>--(AND($I155&lt;&gt;"",$J155&lt;&gt;""))</x:f>
        <x:v>0</x:v>
      </x:c>
    </x:row>
    <x:row r="156">
      <x:c r="A156" s="21" t="str">
        <x:f>INDEX(Config!$B$10:$B$16,INT((ROW()-5)/104)+1)</x:f>
        <x:v>Leo C.</x:v>
      </x:c>
      <x:c r="B156" s="21" t="str">
        <x:v>GH6</x:v>
      </x:c>
      <x:c r="C156" s="21" t="n">
        <x:v>48</x:v>
      </x:c>
      <x:c r="D156" s="21" t="str">
        <x:v>Grupo H</x:v>
      </x:c>
      <x:c r="E156" s="21" t="str">
        <x:v>2026-06-26</x:v>
      </x:c>
      <x:c r="F156" s="21" t="str">
        <x:f>IFERROR(INDEX('Resultados'!$G$5:$G$108,MATCH($B156,'Resultados'!$A$5:$A$108,0)),"")</x:f>
        <x:v>Cabo Verde</x:v>
      </x:c>
      <x:c r="G156" s="21" t="str">
        <x:f>IFERROR(INDEX('Resultados'!$J$5:$J$108,MATCH($B156,'Resultados'!$A$5:$A$108,0)),"")</x:f>
        <x:v>Arábia Saudita</x:v>
      </x:c>
      <x:c r="H156" s="21" t="str">
        <x:v>Não</x:v>
      </x:c>
      <x:c r="I156" s="22"/>
      <x:c r="J156" s="22"/>
      <x:c r="K156" s="23"/>
      <x:c r="L156" s="21" t="str">
        <x:f>IFERROR(INDEX('Resultados'!$H$5:$H$108,MATCH($B156,'Resultados'!$A$5:$A$108,0)),"")</x:f>
      </x:c>
      <x:c r="M156" s="21" t="str">
        <x:f>IFERROR(INDEX('Resultados'!$I$5:$I$108,MATCH($B156,'Resultados'!$A$5:$A$108,0)),"")</x:f>
      </x:c>
      <x:c r="N156" s="21" t="str">
        <x:f>IFERROR(INDEX('Resultados'!$L$5:$L$108,MATCH($B156,'Resultados'!$A$5:$A$108,0)),"")</x:f>
      </x:c>
      <x:c r="O156" s="59" t="str">
        <x:f>IF(OR($I156="",$J156="",$L156="",$M156=""),"",IF(AND($H156="Sim",$L156=$M156),IF($I156&lt;&gt;$J156,0,IF(AND($I156=$L156,$J156=$M156),2,1)),IF(AND($I156=$L156,$J156=$M156),3,IF(AND($I156&lt;&gt;$J156,$I156=$M156,$J156=$L156),-2,IF(SIGN($I156-$J156)=SIGN($L156-$M156),1,0)))))</x:f>
      </x:c>
      <x:c r="P156" s="59" t="str">
        <x:f>IF(OR($H156&lt;&gt;"Sim",$I156="",$J156="",$L156="",$M156=""),"",IF(AND(IF($I156&gt;$J156,$F156,IF($I156&lt;$J156,$G156,$K156))&lt;&gt;"",IF($L156&gt;$M156,$F156,IF($L156&lt;$M156,$G156,$N156))&lt;&gt;"",IF($I156&gt;$J156,$F156,IF($I156&lt;$J156,$G156,$K156))=IF($L156&gt;$M156,$F156,IF($L156&lt;$M156,$G156,$N156))),1,0))</x:f>
      </x:c>
      <x:c r="Q156" s="59" t="str">
        <x:f>IF($O156="","",$O156+$P156)</x:f>
      </x:c>
      <x:c r="R156" s="59" t="str">
        <x:f>IF($Q156="","",IF($O156=3,"Cravada",IF(AND($H156="Sim",$L156=$M156,$I156=$J156,$O156=2),"Empate cravado",IF($O156=1,"Resultado certo",IF($O156=-2,"Invertida",IF($P156=1,"Acertou quem passa","Erro"))))))</x:f>
      </x:c>
      <x:c r="S156" s="59" t="str">
        <x:f>IF($O156="","",--(OR($O156=3,AND($H156="Sim",$L156=$M156,$I156=$J156,$O156=2))))</x:f>
      </x:c>
      <x:c r="T156" s="59" t="str">
        <x:f>IF($O156="","",--($O156=-2))</x:f>
      </x:c>
      <x:c r="U156" s="59" t="str">
        <x:f>IF($O156="","",--($O156=1))</x:f>
      </x:c>
      <x:c r="V156" s="59" t="n">
        <x:f>--(AND($I156&lt;&gt;"",$J156&lt;&gt;""))</x:f>
        <x:v>0</x:v>
      </x:c>
    </x:row>
    <x:row r="157">
      <x:c r="A157" s="21" t="str">
        <x:f>INDEX(Config!$B$10:$B$16,INT((ROW()-5)/104)+1)</x:f>
        <x:v>Leo C.</x:v>
      </x:c>
      <x:c r="B157" s="21" t="str">
        <x:v>GI1</x:v>
      </x:c>
      <x:c r="C157" s="21" t="n">
        <x:v>49</x:v>
      </x:c>
      <x:c r="D157" s="21" t="str">
        <x:v>Grupo I</x:v>
      </x:c>
      <x:c r="E157" s="21" t="str">
        <x:v>2026-06-16</x:v>
      </x:c>
      <x:c r="F157" s="21" t="str">
        <x:f>IFERROR(INDEX('Resultados'!$G$5:$G$108,MATCH($B157,'Resultados'!$A$5:$A$108,0)),"")</x:f>
        <x:v>França</x:v>
      </x:c>
      <x:c r="G157" s="21" t="str">
        <x:f>IFERROR(INDEX('Resultados'!$J$5:$J$108,MATCH($B157,'Resultados'!$A$5:$A$108,0)),"")</x:f>
        <x:v>Senegal</x:v>
      </x:c>
      <x:c r="H157" s="21" t="str">
        <x:v>Não</x:v>
      </x:c>
      <x:c r="I157" s="22"/>
      <x:c r="J157" s="22"/>
      <x:c r="K157" s="23"/>
      <x:c r="L157" s="21" t="str">
        <x:f>IFERROR(INDEX('Resultados'!$H$5:$H$108,MATCH($B157,'Resultados'!$A$5:$A$108,0)),"")</x:f>
      </x:c>
      <x:c r="M157" s="21" t="str">
        <x:f>IFERROR(INDEX('Resultados'!$I$5:$I$108,MATCH($B157,'Resultados'!$A$5:$A$108,0)),"")</x:f>
      </x:c>
      <x:c r="N157" s="21" t="str">
        <x:f>IFERROR(INDEX('Resultados'!$L$5:$L$108,MATCH($B157,'Resultados'!$A$5:$A$108,0)),"")</x:f>
      </x:c>
      <x:c r="O157" s="59" t="str">
        <x:f>IF(OR($I157="",$J157="",$L157="",$M157=""),"",IF(AND($H157="Sim",$L157=$M157),IF($I157&lt;&gt;$J157,0,IF(AND($I157=$L157,$J157=$M157),2,1)),IF(AND($I157=$L157,$J157=$M157),3,IF(AND($I157&lt;&gt;$J157,$I157=$M157,$J157=$L157),-2,IF(SIGN($I157-$J157)=SIGN($L157-$M157),1,0)))))</x:f>
      </x:c>
      <x:c r="P157" s="59" t="str">
        <x:f>IF(OR($H157&lt;&gt;"Sim",$I157="",$J157="",$L157="",$M157=""),"",IF(AND(IF($I157&gt;$J157,$F157,IF($I157&lt;$J157,$G157,$K157))&lt;&gt;"",IF($L157&gt;$M157,$F157,IF($L157&lt;$M157,$G157,$N157))&lt;&gt;"",IF($I157&gt;$J157,$F157,IF($I157&lt;$J157,$G157,$K157))=IF($L157&gt;$M157,$F157,IF($L157&lt;$M157,$G157,$N157))),1,0))</x:f>
      </x:c>
      <x:c r="Q157" s="59" t="str">
        <x:f>IF($O157="","",$O157+$P157)</x:f>
      </x:c>
      <x:c r="R157" s="59" t="str">
        <x:f>IF($Q157="","",IF($O157=3,"Cravada",IF(AND($H157="Sim",$L157=$M157,$I157=$J157,$O157=2),"Empate cravado",IF($O157=1,"Resultado certo",IF($O157=-2,"Invertida",IF($P157=1,"Acertou quem passa","Erro"))))))</x:f>
      </x:c>
      <x:c r="S157" s="59" t="str">
        <x:f>IF($O157="","",--(OR($O157=3,AND($H157="Sim",$L157=$M157,$I157=$J157,$O157=2))))</x:f>
      </x:c>
      <x:c r="T157" s="59" t="str">
        <x:f>IF($O157="","",--($O157=-2))</x:f>
      </x:c>
      <x:c r="U157" s="59" t="str">
        <x:f>IF($O157="","",--($O157=1))</x:f>
      </x:c>
      <x:c r="V157" s="59" t="n">
        <x:f>--(AND($I157&lt;&gt;"",$J157&lt;&gt;""))</x:f>
        <x:v>0</x:v>
      </x:c>
    </x:row>
    <x:row r="158">
      <x:c r="A158" s="21" t="str">
        <x:f>INDEX(Config!$B$10:$B$16,INT((ROW()-5)/104)+1)</x:f>
        <x:v>Leo C.</x:v>
      </x:c>
      <x:c r="B158" s="21" t="str">
        <x:v>GI2</x:v>
      </x:c>
      <x:c r="C158" s="21" t="n">
        <x:v>50</x:v>
      </x:c>
      <x:c r="D158" s="21" t="str">
        <x:v>Grupo I</x:v>
      </x:c>
      <x:c r="E158" s="21" t="str">
        <x:v>2026-06-16</x:v>
      </x:c>
      <x:c r="F158" s="21" t="str">
        <x:f>IFERROR(INDEX('Resultados'!$G$5:$G$108,MATCH($B158,'Resultados'!$A$5:$A$108,0)),"")</x:f>
        <x:v>Iraque</x:v>
      </x:c>
      <x:c r="G158" s="21" t="str">
        <x:f>IFERROR(INDEX('Resultados'!$J$5:$J$108,MATCH($B158,'Resultados'!$A$5:$A$108,0)),"")</x:f>
        <x:v>Noruega</x:v>
      </x:c>
      <x:c r="H158" s="21" t="str">
        <x:v>Não</x:v>
      </x:c>
      <x:c r="I158" s="22"/>
      <x:c r="J158" s="22"/>
      <x:c r="K158" s="23"/>
      <x:c r="L158" s="21" t="str">
        <x:f>IFERROR(INDEX('Resultados'!$H$5:$H$108,MATCH($B158,'Resultados'!$A$5:$A$108,0)),"")</x:f>
      </x:c>
      <x:c r="M158" s="21" t="str">
        <x:f>IFERROR(INDEX('Resultados'!$I$5:$I$108,MATCH($B158,'Resultados'!$A$5:$A$108,0)),"")</x:f>
      </x:c>
      <x:c r="N158" s="21" t="str">
        <x:f>IFERROR(INDEX('Resultados'!$L$5:$L$108,MATCH($B158,'Resultados'!$A$5:$A$108,0)),"")</x:f>
      </x:c>
      <x:c r="O158" s="59" t="str">
        <x:f>IF(OR($I158="",$J158="",$L158="",$M158=""),"",IF(AND($H158="Sim",$L158=$M158),IF($I158&lt;&gt;$J158,0,IF(AND($I158=$L158,$J158=$M158),2,1)),IF(AND($I158=$L158,$J158=$M158),3,IF(AND($I158&lt;&gt;$J158,$I158=$M158,$J158=$L158),-2,IF(SIGN($I158-$J158)=SIGN($L158-$M158),1,0)))))</x:f>
      </x:c>
      <x:c r="P158" s="59" t="str">
        <x:f>IF(OR($H158&lt;&gt;"Sim",$I158="",$J158="",$L158="",$M158=""),"",IF(AND(IF($I158&gt;$J158,$F158,IF($I158&lt;$J158,$G158,$K158))&lt;&gt;"",IF($L158&gt;$M158,$F158,IF($L158&lt;$M158,$G158,$N158))&lt;&gt;"",IF($I158&gt;$J158,$F158,IF($I158&lt;$J158,$G158,$K158))=IF($L158&gt;$M158,$F158,IF($L158&lt;$M158,$G158,$N158))),1,0))</x:f>
      </x:c>
      <x:c r="Q158" s="59" t="str">
        <x:f>IF($O158="","",$O158+$P158)</x:f>
      </x:c>
      <x:c r="R158" s="59" t="str">
        <x:f>IF($Q158="","",IF($O158=3,"Cravada",IF(AND($H158="Sim",$L158=$M158,$I158=$J158,$O158=2),"Empate cravado",IF($O158=1,"Resultado certo",IF($O158=-2,"Invertida",IF($P158=1,"Acertou quem passa","Erro"))))))</x:f>
      </x:c>
      <x:c r="S158" s="59" t="str">
        <x:f>IF($O158="","",--(OR($O158=3,AND($H158="Sim",$L158=$M158,$I158=$J158,$O158=2))))</x:f>
      </x:c>
      <x:c r="T158" s="59" t="str">
        <x:f>IF($O158="","",--($O158=-2))</x:f>
      </x:c>
      <x:c r="U158" s="59" t="str">
        <x:f>IF($O158="","",--($O158=1))</x:f>
      </x:c>
      <x:c r="V158" s="59" t="n">
        <x:f>--(AND($I158&lt;&gt;"",$J158&lt;&gt;""))</x:f>
        <x:v>0</x:v>
      </x:c>
    </x:row>
    <x:row r="159">
      <x:c r="A159" s="21" t="str">
        <x:f>INDEX(Config!$B$10:$B$16,INT((ROW()-5)/104)+1)</x:f>
        <x:v>Leo C.</x:v>
      </x:c>
      <x:c r="B159" s="21" t="str">
        <x:v>GI3</x:v>
      </x:c>
      <x:c r="C159" s="21" t="n">
        <x:v>51</x:v>
      </x:c>
      <x:c r="D159" s="21" t="str">
        <x:v>Grupo I</x:v>
      </x:c>
      <x:c r="E159" s="21" t="str">
        <x:v>2026-06-22</x:v>
      </x:c>
      <x:c r="F159" s="21" t="str">
        <x:f>IFERROR(INDEX('Resultados'!$G$5:$G$108,MATCH($B159,'Resultados'!$A$5:$A$108,0)),"")</x:f>
        <x:v>França</x:v>
      </x:c>
      <x:c r="G159" s="21" t="str">
        <x:f>IFERROR(INDEX('Resultados'!$J$5:$J$108,MATCH($B159,'Resultados'!$A$5:$A$108,0)),"")</x:f>
        <x:v>Iraque</x:v>
      </x:c>
      <x:c r="H159" s="21" t="str">
        <x:v>Não</x:v>
      </x:c>
      <x:c r="I159" s="22"/>
      <x:c r="J159" s="22"/>
      <x:c r="K159" s="23"/>
      <x:c r="L159" s="21" t="str">
        <x:f>IFERROR(INDEX('Resultados'!$H$5:$H$108,MATCH($B159,'Resultados'!$A$5:$A$108,0)),"")</x:f>
      </x:c>
      <x:c r="M159" s="21" t="str">
        <x:f>IFERROR(INDEX('Resultados'!$I$5:$I$108,MATCH($B159,'Resultados'!$A$5:$A$108,0)),"")</x:f>
      </x:c>
      <x:c r="N159" s="21" t="str">
        <x:f>IFERROR(INDEX('Resultados'!$L$5:$L$108,MATCH($B159,'Resultados'!$A$5:$A$108,0)),"")</x:f>
      </x:c>
      <x:c r="O159" s="59" t="str">
        <x:f>IF(OR($I159="",$J159="",$L159="",$M159=""),"",IF(AND($H159="Sim",$L159=$M159),IF($I159&lt;&gt;$J159,0,IF(AND($I159=$L159,$J159=$M159),2,1)),IF(AND($I159=$L159,$J159=$M159),3,IF(AND($I159&lt;&gt;$J159,$I159=$M159,$J159=$L159),-2,IF(SIGN($I159-$J159)=SIGN($L159-$M159),1,0)))))</x:f>
      </x:c>
      <x:c r="P159" s="59" t="str">
        <x:f>IF(OR($H159&lt;&gt;"Sim",$I159="",$J159="",$L159="",$M159=""),"",IF(AND(IF($I159&gt;$J159,$F159,IF($I159&lt;$J159,$G159,$K159))&lt;&gt;"",IF($L159&gt;$M159,$F159,IF($L159&lt;$M159,$G159,$N159))&lt;&gt;"",IF($I159&gt;$J159,$F159,IF($I159&lt;$J159,$G159,$K159))=IF($L159&gt;$M159,$F159,IF($L159&lt;$M159,$G159,$N159))),1,0))</x:f>
      </x:c>
      <x:c r="Q159" s="59" t="str">
        <x:f>IF($O159="","",$O159+$P159)</x:f>
      </x:c>
      <x:c r="R159" s="59" t="str">
        <x:f>IF($Q159="","",IF($O159=3,"Cravada",IF(AND($H159="Sim",$L159=$M159,$I159=$J159,$O159=2),"Empate cravado",IF($O159=1,"Resultado certo",IF($O159=-2,"Invertida",IF($P159=1,"Acertou quem passa","Erro"))))))</x:f>
      </x:c>
      <x:c r="S159" s="59" t="str">
        <x:f>IF($O159="","",--(OR($O159=3,AND($H159="Sim",$L159=$M159,$I159=$J159,$O159=2))))</x:f>
      </x:c>
      <x:c r="T159" s="59" t="str">
        <x:f>IF($O159="","",--($O159=-2))</x:f>
      </x:c>
      <x:c r="U159" s="59" t="str">
        <x:f>IF($O159="","",--($O159=1))</x:f>
      </x:c>
      <x:c r="V159" s="59" t="n">
        <x:f>--(AND($I159&lt;&gt;"",$J159&lt;&gt;""))</x:f>
        <x:v>0</x:v>
      </x:c>
    </x:row>
    <x:row r="160">
      <x:c r="A160" s="21" t="str">
        <x:f>INDEX(Config!$B$10:$B$16,INT((ROW()-5)/104)+1)</x:f>
        <x:v>Leo C.</x:v>
      </x:c>
      <x:c r="B160" s="21" t="str">
        <x:v>GI4</x:v>
      </x:c>
      <x:c r="C160" s="21" t="n">
        <x:v>52</x:v>
      </x:c>
      <x:c r="D160" s="21" t="str">
        <x:v>Grupo I</x:v>
      </x:c>
      <x:c r="E160" s="21" t="str">
        <x:v>2026-06-22</x:v>
      </x:c>
      <x:c r="F160" s="21" t="str">
        <x:f>IFERROR(INDEX('Resultados'!$G$5:$G$108,MATCH($B160,'Resultados'!$A$5:$A$108,0)),"")</x:f>
        <x:v>Senegal</x:v>
      </x:c>
      <x:c r="G160" s="21" t="str">
        <x:f>IFERROR(INDEX('Resultados'!$J$5:$J$108,MATCH($B160,'Resultados'!$A$5:$A$108,0)),"")</x:f>
        <x:v>Noruega</x:v>
      </x:c>
      <x:c r="H160" s="21" t="str">
        <x:v>Não</x:v>
      </x:c>
      <x:c r="I160" s="22"/>
      <x:c r="J160" s="22"/>
      <x:c r="K160" s="23"/>
      <x:c r="L160" s="21" t="str">
        <x:f>IFERROR(INDEX('Resultados'!$H$5:$H$108,MATCH($B160,'Resultados'!$A$5:$A$108,0)),"")</x:f>
      </x:c>
      <x:c r="M160" s="21" t="str">
        <x:f>IFERROR(INDEX('Resultados'!$I$5:$I$108,MATCH($B160,'Resultados'!$A$5:$A$108,0)),"")</x:f>
      </x:c>
      <x:c r="N160" s="21" t="str">
        <x:f>IFERROR(INDEX('Resultados'!$L$5:$L$108,MATCH($B160,'Resultados'!$A$5:$A$108,0)),"")</x:f>
      </x:c>
      <x:c r="O160" s="59" t="str">
        <x:f>IF(OR($I160="",$J160="",$L160="",$M160=""),"",IF(AND($H160="Sim",$L160=$M160),IF($I160&lt;&gt;$J160,0,IF(AND($I160=$L160,$J160=$M160),2,1)),IF(AND($I160=$L160,$J160=$M160),3,IF(AND($I160&lt;&gt;$J160,$I160=$M160,$J160=$L160),-2,IF(SIGN($I160-$J160)=SIGN($L160-$M160),1,0)))))</x:f>
      </x:c>
      <x:c r="P160" s="59" t="str">
        <x:f>IF(OR($H160&lt;&gt;"Sim",$I160="",$J160="",$L160="",$M160=""),"",IF(AND(IF($I160&gt;$J160,$F160,IF($I160&lt;$J160,$G160,$K160))&lt;&gt;"",IF($L160&gt;$M160,$F160,IF($L160&lt;$M160,$G160,$N160))&lt;&gt;"",IF($I160&gt;$J160,$F160,IF($I160&lt;$J160,$G160,$K160))=IF($L160&gt;$M160,$F160,IF($L160&lt;$M160,$G160,$N160))),1,0))</x:f>
      </x:c>
      <x:c r="Q160" s="59" t="str">
        <x:f>IF($O160="","",$O160+$P160)</x:f>
      </x:c>
      <x:c r="R160" s="59" t="str">
        <x:f>IF($Q160="","",IF($O160=3,"Cravada",IF(AND($H160="Sim",$L160=$M160,$I160=$J160,$O160=2),"Empate cravado",IF($O160=1,"Resultado certo",IF($O160=-2,"Invertida",IF($P160=1,"Acertou quem passa","Erro"))))))</x:f>
      </x:c>
      <x:c r="S160" s="59" t="str">
        <x:f>IF($O160="","",--(OR($O160=3,AND($H160="Sim",$L160=$M160,$I160=$J160,$O160=2))))</x:f>
      </x:c>
      <x:c r="T160" s="59" t="str">
        <x:f>IF($O160="","",--($O160=-2))</x:f>
      </x:c>
      <x:c r="U160" s="59" t="str">
        <x:f>IF($O160="","",--($O160=1))</x:f>
      </x:c>
      <x:c r="V160" s="59" t="n">
        <x:f>--(AND($I160&lt;&gt;"",$J160&lt;&gt;""))</x:f>
        <x:v>0</x:v>
      </x:c>
    </x:row>
    <x:row r="161">
      <x:c r="A161" s="21" t="str">
        <x:f>INDEX(Config!$B$10:$B$16,INT((ROW()-5)/104)+1)</x:f>
        <x:v>Leo C.</x:v>
      </x:c>
      <x:c r="B161" s="21" t="str">
        <x:v>GI5</x:v>
      </x:c>
      <x:c r="C161" s="21" t="n">
        <x:v>53</x:v>
      </x:c>
      <x:c r="D161" s="21" t="str">
        <x:v>Grupo I</x:v>
      </x:c>
      <x:c r="E161" s="21" t="str">
        <x:v>2026-06-26</x:v>
      </x:c>
      <x:c r="F161" s="21" t="str">
        <x:f>IFERROR(INDEX('Resultados'!$G$5:$G$108,MATCH($B161,'Resultados'!$A$5:$A$108,0)),"")</x:f>
        <x:v>França</x:v>
      </x:c>
      <x:c r="G161" s="21" t="str">
        <x:f>IFERROR(INDEX('Resultados'!$J$5:$J$108,MATCH($B161,'Resultados'!$A$5:$A$108,0)),"")</x:f>
        <x:v>Noruega</x:v>
      </x:c>
      <x:c r="H161" s="21" t="str">
        <x:v>Não</x:v>
      </x:c>
      <x:c r="I161" s="22"/>
      <x:c r="J161" s="22"/>
      <x:c r="K161" s="23"/>
      <x:c r="L161" s="21" t="str">
        <x:f>IFERROR(INDEX('Resultados'!$H$5:$H$108,MATCH($B161,'Resultados'!$A$5:$A$108,0)),"")</x:f>
      </x:c>
      <x:c r="M161" s="21" t="str">
        <x:f>IFERROR(INDEX('Resultados'!$I$5:$I$108,MATCH($B161,'Resultados'!$A$5:$A$108,0)),"")</x:f>
      </x:c>
      <x:c r="N161" s="21" t="str">
        <x:f>IFERROR(INDEX('Resultados'!$L$5:$L$108,MATCH($B161,'Resultados'!$A$5:$A$108,0)),"")</x:f>
      </x:c>
      <x:c r="O161" s="59" t="str">
        <x:f>IF(OR($I161="",$J161="",$L161="",$M161=""),"",IF(AND($H161="Sim",$L161=$M161),IF($I161&lt;&gt;$J161,0,IF(AND($I161=$L161,$J161=$M161),2,1)),IF(AND($I161=$L161,$J161=$M161),3,IF(AND($I161&lt;&gt;$J161,$I161=$M161,$J161=$L161),-2,IF(SIGN($I161-$J161)=SIGN($L161-$M161),1,0)))))</x:f>
      </x:c>
      <x:c r="P161" s="59" t="str">
        <x:f>IF(OR($H161&lt;&gt;"Sim",$I161="",$J161="",$L161="",$M161=""),"",IF(AND(IF($I161&gt;$J161,$F161,IF($I161&lt;$J161,$G161,$K161))&lt;&gt;"",IF($L161&gt;$M161,$F161,IF($L161&lt;$M161,$G161,$N161))&lt;&gt;"",IF($I161&gt;$J161,$F161,IF($I161&lt;$J161,$G161,$K161))=IF($L161&gt;$M161,$F161,IF($L161&lt;$M161,$G161,$N161))),1,0))</x:f>
      </x:c>
      <x:c r="Q161" s="59" t="str">
        <x:f>IF($O161="","",$O161+$P161)</x:f>
      </x:c>
      <x:c r="R161" s="59" t="str">
        <x:f>IF($Q161="","",IF($O161=3,"Cravada",IF(AND($H161="Sim",$L161=$M161,$I161=$J161,$O161=2),"Empate cravado",IF($O161=1,"Resultado certo",IF($O161=-2,"Invertida",IF($P161=1,"Acertou quem passa","Erro"))))))</x:f>
      </x:c>
      <x:c r="S161" s="59" t="str">
        <x:f>IF($O161="","",--(OR($O161=3,AND($H161="Sim",$L161=$M161,$I161=$J161,$O161=2))))</x:f>
      </x:c>
      <x:c r="T161" s="59" t="str">
        <x:f>IF($O161="","",--($O161=-2))</x:f>
      </x:c>
      <x:c r="U161" s="59" t="str">
        <x:f>IF($O161="","",--($O161=1))</x:f>
      </x:c>
      <x:c r="V161" s="59" t="n">
        <x:f>--(AND($I161&lt;&gt;"",$J161&lt;&gt;""))</x:f>
        <x:v>0</x:v>
      </x:c>
    </x:row>
    <x:row r="162">
      <x:c r="A162" s="21" t="str">
        <x:f>INDEX(Config!$B$10:$B$16,INT((ROW()-5)/104)+1)</x:f>
        <x:v>Leo C.</x:v>
      </x:c>
      <x:c r="B162" s="21" t="str">
        <x:v>GI6</x:v>
      </x:c>
      <x:c r="C162" s="21" t="n">
        <x:v>54</x:v>
      </x:c>
      <x:c r="D162" s="21" t="str">
        <x:v>Grupo I</x:v>
      </x:c>
      <x:c r="E162" s="21" t="str">
        <x:v>2026-06-26</x:v>
      </x:c>
      <x:c r="F162" s="21" t="str">
        <x:f>IFERROR(INDEX('Resultados'!$G$5:$G$108,MATCH($B162,'Resultados'!$A$5:$A$108,0)),"")</x:f>
        <x:v>Senegal</x:v>
      </x:c>
      <x:c r="G162" s="21" t="str">
        <x:f>IFERROR(INDEX('Resultados'!$J$5:$J$108,MATCH($B162,'Resultados'!$A$5:$A$108,0)),"")</x:f>
        <x:v>Iraque</x:v>
      </x:c>
      <x:c r="H162" s="21" t="str">
        <x:v>Não</x:v>
      </x:c>
      <x:c r="I162" s="22"/>
      <x:c r="J162" s="22"/>
      <x:c r="K162" s="23"/>
      <x:c r="L162" s="21" t="str">
        <x:f>IFERROR(INDEX('Resultados'!$H$5:$H$108,MATCH($B162,'Resultados'!$A$5:$A$108,0)),"")</x:f>
      </x:c>
      <x:c r="M162" s="21" t="str">
        <x:f>IFERROR(INDEX('Resultados'!$I$5:$I$108,MATCH($B162,'Resultados'!$A$5:$A$108,0)),"")</x:f>
      </x:c>
      <x:c r="N162" s="21" t="str">
        <x:f>IFERROR(INDEX('Resultados'!$L$5:$L$108,MATCH($B162,'Resultados'!$A$5:$A$108,0)),"")</x:f>
      </x:c>
      <x:c r="O162" s="59" t="str">
        <x:f>IF(OR($I162="",$J162="",$L162="",$M162=""),"",IF(AND($H162="Sim",$L162=$M162),IF($I162&lt;&gt;$J162,0,IF(AND($I162=$L162,$J162=$M162),2,1)),IF(AND($I162=$L162,$J162=$M162),3,IF(AND($I162&lt;&gt;$J162,$I162=$M162,$J162=$L162),-2,IF(SIGN($I162-$J162)=SIGN($L162-$M162),1,0)))))</x:f>
      </x:c>
      <x:c r="P162" s="59" t="str">
        <x:f>IF(OR($H162&lt;&gt;"Sim",$I162="",$J162="",$L162="",$M162=""),"",IF(AND(IF($I162&gt;$J162,$F162,IF($I162&lt;$J162,$G162,$K162))&lt;&gt;"",IF($L162&gt;$M162,$F162,IF($L162&lt;$M162,$G162,$N162))&lt;&gt;"",IF($I162&gt;$J162,$F162,IF($I162&lt;$J162,$G162,$K162))=IF($L162&gt;$M162,$F162,IF($L162&lt;$M162,$G162,$N162))),1,0))</x:f>
      </x:c>
      <x:c r="Q162" s="59" t="str">
        <x:f>IF($O162="","",$O162+$P162)</x:f>
      </x:c>
      <x:c r="R162" s="59" t="str">
        <x:f>IF($Q162="","",IF($O162=3,"Cravada",IF(AND($H162="Sim",$L162=$M162,$I162=$J162,$O162=2),"Empate cravado",IF($O162=1,"Resultado certo",IF($O162=-2,"Invertida",IF($P162=1,"Acertou quem passa","Erro"))))))</x:f>
      </x:c>
      <x:c r="S162" s="59" t="str">
        <x:f>IF($O162="","",--(OR($O162=3,AND($H162="Sim",$L162=$M162,$I162=$J162,$O162=2))))</x:f>
      </x:c>
      <x:c r="T162" s="59" t="str">
        <x:f>IF($O162="","",--($O162=-2))</x:f>
      </x:c>
      <x:c r="U162" s="59" t="str">
        <x:f>IF($O162="","",--($O162=1))</x:f>
      </x:c>
      <x:c r="V162" s="59" t="n">
        <x:f>--(AND($I162&lt;&gt;"",$J162&lt;&gt;""))</x:f>
        <x:v>0</x:v>
      </x:c>
    </x:row>
    <x:row r="163">
      <x:c r="A163" s="21" t="str">
        <x:f>INDEX(Config!$B$10:$B$16,INT((ROW()-5)/104)+1)</x:f>
        <x:v>Leo C.</x:v>
      </x:c>
      <x:c r="B163" s="21" t="str">
        <x:v>GJ1</x:v>
      </x:c>
      <x:c r="C163" s="21" t="n">
        <x:v>55</x:v>
      </x:c>
      <x:c r="D163" s="21" t="str">
        <x:v>Grupo J</x:v>
      </x:c>
      <x:c r="E163" s="21" t="str">
        <x:v>2026-06-16</x:v>
      </x:c>
      <x:c r="F163" s="21" t="str">
        <x:f>IFERROR(INDEX('Resultados'!$G$5:$G$108,MATCH($B163,'Resultados'!$A$5:$A$108,0)),"")</x:f>
        <x:v>Argentina</x:v>
      </x:c>
      <x:c r="G163" s="21" t="str">
        <x:f>IFERROR(INDEX('Resultados'!$J$5:$J$108,MATCH($B163,'Resultados'!$A$5:$A$108,0)),"")</x:f>
        <x:v>Argélia</x:v>
      </x:c>
      <x:c r="H163" s="21" t="str">
        <x:v>Não</x:v>
      </x:c>
      <x:c r="I163" s="22"/>
      <x:c r="J163" s="22"/>
      <x:c r="K163" s="23"/>
      <x:c r="L163" s="21" t="str">
        <x:f>IFERROR(INDEX('Resultados'!$H$5:$H$108,MATCH($B163,'Resultados'!$A$5:$A$108,0)),"")</x:f>
      </x:c>
      <x:c r="M163" s="21" t="str">
        <x:f>IFERROR(INDEX('Resultados'!$I$5:$I$108,MATCH($B163,'Resultados'!$A$5:$A$108,0)),"")</x:f>
      </x:c>
      <x:c r="N163" s="21" t="str">
        <x:f>IFERROR(INDEX('Resultados'!$L$5:$L$108,MATCH($B163,'Resultados'!$A$5:$A$108,0)),"")</x:f>
      </x:c>
      <x:c r="O163" s="59" t="str">
        <x:f>IF(OR($I163="",$J163="",$L163="",$M163=""),"",IF(AND($H163="Sim",$L163=$M163),IF($I163&lt;&gt;$J163,0,IF(AND($I163=$L163,$J163=$M163),2,1)),IF(AND($I163=$L163,$J163=$M163),3,IF(AND($I163&lt;&gt;$J163,$I163=$M163,$J163=$L163),-2,IF(SIGN($I163-$J163)=SIGN($L163-$M163),1,0)))))</x:f>
      </x:c>
      <x:c r="P163" s="59" t="str">
        <x:f>IF(OR($H163&lt;&gt;"Sim",$I163="",$J163="",$L163="",$M163=""),"",IF(AND(IF($I163&gt;$J163,$F163,IF($I163&lt;$J163,$G163,$K163))&lt;&gt;"",IF($L163&gt;$M163,$F163,IF($L163&lt;$M163,$G163,$N163))&lt;&gt;"",IF($I163&gt;$J163,$F163,IF($I163&lt;$J163,$G163,$K163))=IF($L163&gt;$M163,$F163,IF($L163&lt;$M163,$G163,$N163))),1,0))</x:f>
      </x:c>
      <x:c r="Q163" s="59" t="str">
        <x:f>IF($O163="","",$O163+$P163)</x:f>
      </x:c>
      <x:c r="R163" s="59" t="str">
        <x:f>IF($Q163="","",IF($O163=3,"Cravada",IF(AND($H163="Sim",$L163=$M163,$I163=$J163,$O163=2),"Empate cravado",IF($O163=1,"Resultado certo",IF($O163=-2,"Invertida",IF($P163=1,"Acertou quem passa","Erro"))))))</x:f>
      </x:c>
      <x:c r="S163" s="59" t="str">
        <x:f>IF($O163="","",--(OR($O163=3,AND($H163="Sim",$L163=$M163,$I163=$J163,$O163=2))))</x:f>
      </x:c>
      <x:c r="T163" s="59" t="str">
        <x:f>IF($O163="","",--($O163=-2))</x:f>
      </x:c>
      <x:c r="U163" s="59" t="str">
        <x:f>IF($O163="","",--($O163=1))</x:f>
      </x:c>
      <x:c r="V163" s="59" t="n">
        <x:f>--(AND($I163&lt;&gt;"",$J163&lt;&gt;""))</x:f>
        <x:v>0</x:v>
      </x:c>
    </x:row>
    <x:row r="164">
      <x:c r="A164" s="21" t="str">
        <x:f>INDEX(Config!$B$10:$B$16,INT((ROW()-5)/104)+1)</x:f>
        <x:v>Leo C.</x:v>
      </x:c>
      <x:c r="B164" s="21" t="str">
        <x:v>GJ2</x:v>
      </x:c>
      <x:c r="C164" s="21" t="n">
        <x:v>56</x:v>
      </x:c>
      <x:c r="D164" s="21" t="str">
        <x:v>Grupo J</x:v>
      </x:c>
      <x:c r="E164" s="21" t="str">
        <x:v>2026-06-17</x:v>
      </x:c>
      <x:c r="F164" s="21" t="str">
        <x:f>IFERROR(INDEX('Resultados'!$G$5:$G$108,MATCH($B164,'Resultados'!$A$5:$A$108,0)),"")</x:f>
        <x:v>Áustria</x:v>
      </x:c>
      <x:c r="G164" s="21" t="str">
        <x:f>IFERROR(INDEX('Resultados'!$J$5:$J$108,MATCH($B164,'Resultados'!$A$5:$A$108,0)),"")</x:f>
        <x:v>Jordânia</x:v>
      </x:c>
      <x:c r="H164" s="21" t="str">
        <x:v>Não</x:v>
      </x:c>
      <x:c r="I164" s="22"/>
      <x:c r="J164" s="22"/>
      <x:c r="K164" s="23"/>
      <x:c r="L164" s="21" t="str">
        <x:f>IFERROR(INDEX('Resultados'!$H$5:$H$108,MATCH($B164,'Resultados'!$A$5:$A$108,0)),"")</x:f>
      </x:c>
      <x:c r="M164" s="21" t="str">
        <x:f>IFERROR(INDEX('Resultados'!$I$5:$I$108,MATCH($B164,'Resultados'!$A$5:$A$108,0)),"")</x:f>
      </x:c>
      <x:c r="N164" s="21" t="str">
        <x:f>IFERROR(INDEX('Resultados'!$L$5:$L$108,MATCH($B164,'Resultados'!$A$5:$A$108,0)),"")</x:f>
      </x:c>
      <x:c r="O164" s="59" t="str">
        <x:f>IF(OR($I164="",$J164="",$L164="",$M164=""),"",IF(AND($H164="Sim",$L164=$M164),IF($I164&lt;&gt;$J164,0,IF(AND($I164=$L164,$J164=$M164),2,1)),IF(AND($I164=$L164,$J164=$M164),3,IF(AND($I164&lt;&gt;$J164,$I164=$M164,$J164=$L164),-2,IF(SIGN($I164-$J164)=SIGN($L164-$M164),1,0)))))</x:f>
      </x:c>
      <x:c r="P164" s="59" t="str">
        <x:f>IF(OR($H164&lt;&gt;"Sim",$I164="",$J164="",$L164="",$M164=""),"",IF(AND(IF($I164&gt;$J164,$F164,IF($I164&lt;$J164,$G164,$K164))&lt;&gt;"",IF($L164&gt;$M164,$F164,IF($L164&lt;$M164,$G164,$N164))&lt;&gt;"",IF($I164&gt;$J164,$F164,IF($I164&lt;$J164,$G164,$K164))=IF($L164&gt;$M164,$F164,IF($L164&lt;$M164,$G164,$N164))),1,0))</x:f>
      </x:c>
      <x:c r="Q164" s="59" t="str">
        <x:f>IF($O164="","",$O164+$P164)</x:f>
      </x:c>
      <x:c r="R164" s="59" t="str">
        <x:f>IF($Q164="","",IF($O164=3,"Cravada",IF(AND($H164="Sim",$L164=$M164,$I164=$J164,$O164=2),"Empate cravado",IF($O164=1,"Resultado certo",IF($O164=-2,"Invertida",IF($P164=1,"Acertou quem passa","Erro"))))))</x:f>
      </x:c>
      <x:c r="S164" s="59" t="str">
        <x:f>IF($O164="","",--(OR($O164=3,AND($H164="Sim",$L164=$M164,$I164=$J164,$O164=2))))</x:f>
      </x:c>
      <x:c r="T164" s="59" t="str">
        <x:f>IF($O164="","",--($O164=-2))</x:f>
      </x:c>
      <x:c r="U164" s="59" t="str">
        <x:f>IF($O164="","",--($O164=1))</x:f>
      </x:c>
      <x:c r="V164" s="59" t="n">
        <x:f>--(AND($I164&lt;&gt;"",$J164&lt;&gt;""))</x:f>
        <x:v>0</x:v>
      </x:c>
    </x:row>
    <x:row r="165">
      <x:c r="A165" s="21" t="str">
        <x:f>INDEX(Config!$B$10:$B$16,INT((ROW()-5)/104)+1)</x:f>
        <x:v>Leo C.</x:v>
      </x:c>
      <x:c r="B165" s="21" t="str">
        <x:v>GJ3</x:v>
      </x:c>
      <x:c r="C165" s="21" t="n">
        <x:v>57</x:v>
      </x:c>
      <x:c r="D165" s="21" t="str">
        <x:v>Grupo J</x:v>
      </x:c>
      <x:c r="E165" s="21" t="str">
        <x:v>2026-06-22</x:v>
      </x:c>
      <x:c r="F165" s="21" t="str">
        <x:f>IFERROR(INDEX('Resultados'!$G$5:$G$108,MATCH($B165,'Resultados'!$A$5:$A$108,0)),"")</x:f>
        <x:v>Argentina</x:v>
      </x:c>
      <x:c r="G165" s="21" t="str">
        <x:f>IFERROR(INDEX('Resultados'!$J$5:$J$108,MATCH($B165,'Resultados'!$A$5:$A$108,0)),"")</x:f>
        <x:v>Áustria</x:v>
      </x:c>
      <x:c r="H165" s="21" t="str">
        <x:v>Não</x:v>
      </x:c>
      <x:c r="I165" s="22"/>
      <x:c r="J165" s="22"/>
      <x:c r="K165" s="23"/>
      <x:c r="L165" s="21" t="str">
        <x:f>IFERROR(INDEX('Resultados'!$H$5:$H$108,MATCH($B165,'Resultados'!$A$5:$A$108,0)),"")</x:f>
      </x:c>
      <x:c r="M165" s="21" t="str">
        <x:f>IFERROR(INDEX('Resultados'!$I$5:$I$108,MATCH($B165,'Resultados'!$A$5:$A$108,0)),"")</x:f>
      </x:c>
      <x:c r="N165" s="21" t="str">
        <x:f>IFERROR(INDEX('Resultados'!$L$5:$L$108,MATCH($B165,'Resultados'!$A$5:$A$108,0)),"")</x:f>
      </x:c>
      <x:c r="O165" s="59" t="str">
        <x:f>IF(OR($I165="",$J165="",$L165="",$M165=""),"",IF(AND($H165="Sim",$L165=$M165),IF($I165&lt;&gt;$J165,0,IF(AND($I165=$L165,$J165=$M165),2,1)),IF(AND($I165=$L165,$J165=$M165),3,IF(AND($I165&lt;&gt;$J165,$I165=$M165,$J165=$L165),-2,IF(SIGN($I165-$J165)=SIGN($L165-$M165),1,0)))))</x:f>
      </x:c>
      <x:c r="P165" s="59" t="str">
        <x:f>IF(OR($H165&lt;&gt;"Sim",$I165="",$J165="",$L165="",$M165=""),"",IF(AND(IF($I165&gt;$J165,$F165,IF($I165&lt;$J165,$G165,$K165))&lt;&gt;"",IF($L165&gt;$M165,$F165,IF($L165&lt;$M165,$G165,$N165))&lt;&gt;"",IF($I165&gt;$J165,$F165,IF($I165&lt;$J165,$G165,$K165))=IF($L165&gt;$M165,$F165,IF($L165&lt;$M165,$G165,$N165))),1,0))</x:f>
      </x:c>
      <x:c r="Q165" s="59" t="str">
        <x:f>IF($O165="","",$O165+$P165)</x:f>
      </x:c>
      <x:c r="R165" s="59" t="str">
        <x:f>IF($Q165="","",IF($O165=3,"Cravada",IF(AND($H165="Sim",$L165=$M165,$I165=$J165,$O165=2),"Empate cravado",IF($O165=1,"Resultado certo",IF($O165=-2,"Invertida",IF($P165=1,"Acertou quem passa","Erro"))))))</x:f>
      </x:c>
      <x:c r="S165" s="59" t="str">
        <x:f>IF($O165="","",--(OR($O165=3,AND($H165="Sim",$L165=$M165,$I165=$J165,$O165=2))))</x:f>
      </x:c>
      <x:c r="T165" s="59" t="str">
        <x:f>IF($O165="","",--($O165=-2))</x:f>
      </x:c>
      <x:c r="U165" s="59" t="str">
        <x:f>IF($O165="","",--($O165=1))</x:f>
      </x:c>
      <x:c r="V165" s="59" t="n">
        <x:f>--(AND($I165&lt;&gt;"",$J165&lt;&gt;""))</x:f>
        <x:v>0</x:v>
      </x:c>
    </x:row>
    <x:row r="166">
      <x:c r="A166" s="21" t="str">
        <x:f>INDEX(Config!$B$10:$B$16,INT((ROW()-5)/104)+1)</x:f>
        <x:v>Leo C.</x:v>
      </x:c>
      <x:c r="B166" s="21" t="str">
        <x:v>GJ4</x:v>
      </x:c>
      <x:c r="C166" s="21" t="n">
        <x:v>58</x:v>
      </x:c>
      <x:c r="D166" s="21" t="str">
        <x:v>Grupo J</x:v>
      </x:c>
      <x:c r="E166" s="21" t="str">
        <x:v>2026-06-23</x:v>
      </x:c>
      <x:c r="F166" s="21" t="str">
        <x:f>IFERROR(INDEX('Resultados'!$G$5:$G$108,MATCH($B166,'Resultados'!$A$5:$A$108,0)),"")</x:f>
        <x:v>Argélia</x:v>
      </x:c>
      <x:c r="G166" s="21" t="str">
        <x:f>IFERROR(INDEX('Resultados'!$J$5:$J$108,MATCH($B166,'Resultados'!$A$5:$A$108,0)),"")</x:f>
        <x:v>Jordânia</x:v>
      </x:c>
      <x:c r="H166" s="21" t="str">
        <x:v>Não</x:v>
      </x:c>
      <x:c r="I166" s="22"/>
      <x:c r="J166" s="22"/>
      <x:c r="K166" s="23"/>
      <x:c r="L166" s="21" t="str">
        <x:f>IFERROR(INDEX('Resultados'!$H$5:$H$108,MATCH($B166,'Resultados'!$A$5:$A$108,0)),"")</x:f>
      </x:c>
      <x:c r="M166" s="21" t="str">
        <x:f>IFERROR(INDEX('Resultados'!$I$5:$I$108,MATCH($B166,'Resultados'!$A$5:$A$108,0)),"")</x:f>
      </x:c>
      <x:c r="N166" s="21" t="str">
        <x:f>IFERROR(INDEX('Resultados'!$L$5:$L$108,MATCH($B166,'Resultados'!$A$5:$A$108,0)),"")</x:f>
      </x:c>
      <x:c r="O166" s="59" t="str">
        <x:f>IF(OR($I166="",$J166="",$L166="",$M166=""),"",IF(AND($H166="Sim",$L166=$M166),IF($I166&lt;&gt;$J166,0,IF(AND($I166=$L166,$J166=$M166),2,1)),IF(AND($I166=$L166,$J166=$M166),3,IF(AND($I166&lt;&gt;$J166,$I166=$M166,$J166=$L166),-2,IF(SIGN($I166-$J166)=SIGN($L166-$M166),1,0)))))</x:f>
      </x:c>
      <x:c r="P166" s="59" t="str">
        <x:f>IF(OR($H166&lt;&gt;"Sim",$I166="",$J166="",$L166="",$M166=""),"",IF(AND(IF($I166&gt;$J166,$F166,IF($I166&lt;$J166,$G166,$K166))&lt;&gt;"",IF($L166&gt;$M166,$F166,IF($L166&lt;$M166,$G166,$N166))&lt;&gt;"",IF($I166&gt;$J166,$F166,IF($I166&lt;$J166,$G166,$K166))=IF($L166&gt;$M166,$F166,IF($L166&lt;$M166,$G166,$N166))),1,0))</x:f>
      </x:c>
      <x:c r="Q166" s="59" t="str">
        <x:f>IF($O166="","",$O166+$P166)</x:f>
      </x:c>
      <x:c r="R166" s="59" t="str">
        <x:f>IF($Q166="","",IF($O166=3,"Cravada",IF(AND($H166="Sim",$L166=$M166,$I166=$J166,$O166=2),"Empate cravado",IF($O166=1,"Resultado certo",IF($O166=-2,"Invertida",IF($P166=1,"Acertou quem passa","Erro"))))))</x:f>
      </x:c>
      <x:c r="S166" s="59" t="str">
        <x:f>IF($O166="","",--(OR($O166=3,AND($H166="Sim",$L166=$M166,$I166=$J166,$O166=2))))</x:f>
      </x:c>
      <x:c r="T166" s="59" t="str">
        <x:f>IF($O166="","",--($O166=-2))</x:f>
      </x:c>
      <x:c r="U166" s="59" t="str">
        <x:f>IF($O166="","",--($O166=1))</x:f>
      </x:c>
      <x:c r="V166" s="59" t="n">
        <x:f>--(AND($I166&lt;&gt;"",$J166&lt;&gt;""))</x:f>
        <x:v>0</x:v>
      </x:c>
    </x:row>
    <x:row r="167">
      <x:c r="A167" s="21" t="str">
        <x:f>INDEX(Config!$B$10:$B$16,INT((ROW()-5)/104)+1)</x:f>
        <x:v>Leo C.</x:v>
      </x:c>
      <x:c r="B167" s="21" t="str">
        <x:v>GJ5</x:v>
      </x:c>
      <x:c r="C167" s="21" t="n">
        <x:v>59</x:v>
      </x:c>
      <x:c r="D167" s="21" t="str">
        <x:v>Grupo J</x:v>
      </x:c>
      <x:c r="E167" s="21" t="str">
        <x:v>2026-06-27</x:v>
      </x:c>
      <x:c r="F167" s="21" t="str">
        <x:f>IFERROR(INDEX('Resultados'!$G$5:$G$108,MATCH($B167,'Resultados'!$A$5:$A$108,0)),"")</x:f>
        <x:v>Argentina</x:v>
      </x:c>
      <x:c r="G167" s="21" t="str">
        <x:f>IFERROR(INDEX('Resultados'!$J$5:$J$108,MATCH($B167,'Resultados'!$A$5:$A$108,0)),"")</x:f>
        <x:v>Jordânia</x:v>
      </x:c>
      <x:c r="H167" s="21" t="str">
        <x:v>Não</x:v>
      </x:c>
      <x:c r="I167" s="22"/>
      <x:c r="J167" s="22"/>
      <x:c r="K167" s="23"/>
      <x:c r="L167" s="21" t="str">
        <x:f>IFERROR(INDEX('Resultados'!$H$5:$H$108,MATCH($B167,'Resultados'!$A$5:$A$108,0)),"")</x:f>
      </x:c>
      <x:c r="M167" s="21" t="str">
        <x:f>IFERROR(INDEX('Resultados'!$I$5:$I$108,MATCH($B167,'Resultados'!$A$5:$A$108,0)),"")</x:f>
      </x:c>
      <x:c r="N167" s="21" t="str">
        <x:f>IFERROR(INDEX('Resultados'!$L$5:$L$108,MATCH($B167,'Resultados'!$A$5:$A$108,0)),"")</x:f>
      </x:c>
      <x:c r="O167" s="59" t="str">
        <x:f>IF(OR($I167="",$J167="",$L167="",$M167=""),"",IF(AND($H167="Sim",$L167=$M167),IF($I167&lt;&gt;$J167,0,IF(AND($I167=$L167,$J167=$M167),2,1)),IF(AND($I167=$L167,$J167=$M167),3,IF(AND($I167&lt;&gt;$J167,$I167=$M167,$J167=$L167),-2,IF(SIGN($I167-$J167)=SIGN($L167-$M167),1,0)))))</x:f>
      </x:c>
      <x:c r="P167" s="59" t="str">
        <x:f>IF(OR($H167&lt;&gt;"Sim",$I167="",$J167="",$L167="",$M167=""),"",IF(AND(IF($I167&gt;$J167,$F167,IF($I167&lt;$J167,$G167,$K167))&lt;&gt;"",IF($L167&gt;$M167,$F167,IF($L167&lt;$M167,$G167,$N167))&lt;&gt;"",IF($I167&gt;$J167,$F167,IF($I167&lt;$J167,$G167,$K167))=IF($L167&gt;$M167,$F167,IF($L167&lt;$M167,$G167,$N167))),1,0))</x:f>
      </x:c>
      <x:c r="Q167" s="59" t="str">
        <x:f>IF($O167="","",$O167+$P167)</x:f>
      </x:c>
      <x:c r="R167" s="59" t="str">
        <x:f>IF($Q167="","",IF($O167=3,"Cravada",IF(AND($H167="Sim",$L167=$M167,$I167=$J167,$O167=2),"Empate cravado",IF($O167=1,"Resultado certo",IF($O167=-2,"Invertida",IF($P167=1,"Acertou quem passa","Erro"))))))</x:f>
      </x:c>
      <x:c r="S167" s="59" t="str">
        <x:f>IF($O167="","",--(OR($O167=3,AND($H167="Sim",$L167=$M167,$I167=$J167,$O167=2))))</x:f>
      </x:c>
      <x:c r="T167" s="59" t="str">
        <x:f>IF($O167="","",--($O167=-2))</x:f>
      </x:c>
      <x:c r="U167" s="59" t="str">
        <x:f>IF($O167="","",--($O167=1))</x:f>
      </x:c>
      <x:c r="V167" s="59" t="n">
        <x:f>--(AND($I167&lt;&gt;"",$J167&lt;&gt;""))</x:f>
        <x:v>0</x:v>
      </x:c>
    </x:row>
    <x:row r="168">
      <x:c r="A168" s="21" t="str">
        <x:f>INDEX(Config!$B$10:$B$16,INT((ROW()-5)/104)+1)</x:f>
        <x:v>Leo C.</x:v>
      </x:c>
      <x:c r="B168" s="21" t="str">
        <x:v>GJ6</x:v>
      </x:c>
      <x:c r="C168" s="21" t="n">
        <x:v>60</x:v>
      </x:c>
      <x:c r="D168" s="21" t="str">
        <x:v>Grupo J</x:v>
      </x:c>
      <x:c r="E168" s="21" t="str">
        <x:v>2026-06-27</x:v>
      </x:c>
      <x:c r="F168" s="21" t="str">
        <x:f>IFERROR(INDEX('Resultados'!$G$5:$G$108,MATCH($B168,'Resultados'!$A$5:$A$108,0)),"")</x:f>
        <x:v>Argélia</x:v>
      </x:c>
      <x:c r="G168" s="21" t="str">
        <x:f>IFERROR(INDEX('Resultados'!$J$5:$J$108,MATCH($B168,'Resultados'!$A$5:$A$108,0)),"")</x:f>
        <x:v>Áustria</x:v>
      </x:c>
      <x:c r="H168" s="21" t="str">
        <x:v>Não</x:v>
      </x:c>
      <x:c r="I168" s="22"/>
      <x:c r="J168" s="22"/>
      <x:c r="K168" s="23"/>
      <x:c r="L168" s="21" t="str">
        <x:f>IFERROR(INDEX('Resultados'!$H$5:$H$108,MATCH($B168,'Resultados'!$A$5:$A$108,0)),"")</x:f>
      </x:c>
      <x:c r="M168" s="21" t="str">
        <x:f>IFERROR(INDEX('Resultados'!$I$5:$I$108,MATCH($B168,'Resultados'!$A$5:$A$108,0)),"")</x:f>
      </x:c>
      <x:c r="N168" s="21" t="str">
        <x:f>IFERROR(INDEX('Resultados'!$L$5:$L$108,MATCH($B168,'Resultados'!$A$5:$A$108,0)),"")</x:f>
      </x:c>
      <x:c r="O168" s="59" t="str">
        <x:f>IF(OR($I168="",$J168="",$L168="",$M168=""),"",IF(AND($H168="Sim",$L168=$M168),IF($I168&lt;&gt;$J168,0,IF(AND($I168=$L168,$J168=$M168),2,1)),IF(AND($I168=$L168,$J168=$M168),3,IF(AND($I168&lt;&gt;$J168,$I168=$M168,$J168=$L168),-2,IF(SIGN($I168-$J168)=SIGN($L168-$M168),1,0)))))</x:f>
      </x:c>
      <x:c r="P168" s="59" t="str">
        <x:f>IF(OR($H168&lt;&gt;"Sim",$I168="",$J168="",$L168="",$M168=""),"",IF(AND(IF($I168&gt;$J168,$F168,IF($I168&lt;$J168,$G168,$K168))&lt;&gt;"",IF($L168&gt;$M168,$F168,IF($L168&lt;$M168,$G168,$N168))&lt;&gt;"",IF($I168&gt;$J168,$F168,IF($I168&lt;$J168,$G168,$K168))=IF($L168&gt;$M168,$F168,IF($L168&lt;$M168,$G168,$N168))),1,0))</x:f>
      </x:c>
      <x:c r="Q168" s="59" t="str">
        <x:f>IF($O168="","",$O168+$P168)</x:f>
      </x:c>
      <x:c r="R168" s="59" t="str">
        <x:f>IF($Q168="","",IF($O168=3,"Cravada",IF(AND($H168="Sim",$L168=$M168,$I168=$J168,$O168=2),"Empate cravado",IF($O168=1,"Resultado certo",IF($O168=-2,"Invertida",IF($P168=1,"Acertou quem passa","Erro"))))))</x:f>
      </x:c>
      <x:c r="S168" s="59" t="str">
        <x:f>IF($O168="","",--(OR($O168=3,AND($H168="Sim",$L168=$M168,$I168=$J168,$O168=2))))</x:f>
      </x:c>
      <x:c r="T168" s="59" t="str">
        <x:f>IF($O168="","",--($O168=-2))</x:f>
      </x:c>
      <x:c r="U168" s="59" t="str">
        <x:f>IF($O168="","",--($O168=1))</x:f>
      </x:c>
      <x:c r="V168" s="59" t="n">
        <x:f>--(AND($I168&lt;&gt;"",$J168&lt;&gt;""))</x:f>
        <x:v>0</x:v>
      </x:c>
    </x:row>
    <x:row r="169">
      <x:c r="A169" s="21" t="str">
        <x:f>INDEX(Config!$B$10:$B$16,INT((ROW()-5)/104)+1)</x:f>
        <x:v>Leo C.</x:v>
      </x:c>
      <x:c r="B169" s="21" t="str">
        <x:v>GK1</x:v>
      </x:c>
      <x:c r="C169" s="21" t="n">
        <x:v>61</x:v>
      </x:c>
      <x:c r="D169" s="21" t="str">
        <x:v>Grupo K</x:v>
      </x:c>
      <x:c r="E169" s="21" t="str">
        <x:v>2026-06-17</x:v>
      </x:c>
      <x:c r="F169" s="21" t="str">
        <x:f>IFERROR(INDEX('Resultados'!$G$5:$G$108,MATCH($B169,'Resultados'!$A$5:$A$108,0)),"")</x:f>
        <x:v>Portugal</x:v>
      </x:c>
      <x:c r="G169" s="21" t="str">
        <x:f>IFERROR(INDEX('Resultados'!$J$5:$J$108,MATCH($B169,'Resultados'!$A$5:$A$108,0)),"")</x:f>
        <x:v>Rep. D. do Congo</x:v>
      </x:c>
      <x:c r="H169" s="21" t="str">
        <x:v>Não</x:v>
      </x:c>
      <x:c r="I169" s="22"/>
      <x:c r="J169" s="22"/>
      <x:c r="K169" s="23"/>
      <x:c r="L169" s="21" t="str">
        <x:f>IFERROR(INDEX('Resultados'!$H$5:$H$108,MATCH($B169,'Resultados'!$A$5:$A$108,0)),"")</x:f>
      </x:c>
      <x:c r="M169" s="21" t="str">
        <x:f>IFERROR(INDEX('Resultados'!$I$5:$I$108,MATCH($B169,'Resultados'!$A$5:$A$108,0)),"")</x:f>
      </x:c>
      <x:c r="N169" s="21" t="str">
        <x:f>IFERROR(INDEX('Resultados'!$L$5:$L$108,MATCH($B169,'Resultados'!$A$5:$A$108,0)),"")</x:f>
      </x:c>
      <x:c r="O169" s="59" t="str">
        <x:f>IF(OR($I169="",$J169="",$L169="",$M169=""),"",IF(AND($H169="Sim",$L169=$M169),IF($I169&lt;&gt;$J169,0,IF(AND($I169=$L169,$J169=$M169),2,1)),IF(AND($I169=$L169,$J169=$M169),3,IF(AND($I169&lt;&gt;$J169,$I169=$M169,$J169=$L169),-2,IF(SIGN($I169-$J169)=SIGN($L169-$M169),1,0)))))</x:f>
      </x:c>
      <x:c r="P169" s="59" t="str">
        <x:f>IF(OR($H169&lt;&gt;"Sim",$I169="",$J169="",$L169="",$M169=""),"",IF(AND(IF($I169&gt;$J169,$F169,IF($I169&lt;$J169,$G169,$K169))&lt;&gt;"",IF($L169&gt;$M169,$F169,IF($L169&lt;$M169,$G169,$N169))&lt;&gt;"",IF($I169&gt;$J169,$F169,IF($I169&lt;$J169,$G169,$K169))=IF($L169&gt;$M169,$F169,IF($L169&lt;$M169,$G169,$N169))),1,0))</x:f>
      </x:c>
      <x:c r="Q169" s="59" t="str">
        <x:f>IF($O169="","",$O169+$P169)</x:f>
      </x:c>
      <x:c r="R169" s="59" t="str">
        <x:f>IF($Q169="","",IF($O169=3,"Cravada",IF(AND($H169="Sim",$L169=$M169,$I169=$J169,$O169=2),"Empate cravado",IF($O169=1,"Resultado certo",IF($O169=-2,"Invertida",IF($P169=1,"Acertou quem passa","Erro"))))))</x:f>
      </x:c>
      <x:c r="S169" s="59" t="str">
        <x:f>IF($O169="","",--(OR($O169=3,AND($H169="Sim",$L169=$M169,$I169=$J169,$O169=2))))</x:f>
      </x:c>
      <x:c r="T169" s="59" t="str">
        <x:f>IF($O169="","",--($O169=-2))</x:f>
      </x:c>
      <x:c r="U169" s="59" t="str">
        <x:f>IF($O169="","",--($O169=1))</x:f>
      </x:c>
      <x:c r="V169" s="59" t="n">
        <x:f>--(AND($I169&lt;&gt;"",$J169&lt;&gt;""))</x:f>
        <x:v>0</x:v>
      </x:c>
    </x:row>
    <x:row r="170">
      <x:c r="A170" s="21" t="str">
        <x:f>INDEX(Config!$B$10:$B$16,INT((ROW()-5)/104)+1)</x:f>
        <x:v>Leo C.</x:v>
      </x:c>
      <x:c r="B170" s="21" t="str">
        <x:v>GK2</x:v>
      </x:c>
      <x:c r="C170" s="21" t="n">
        <x:v>62</x:v>
      </x:c>
      <x:c r="D170" s="21" t="str">
        <x:v>Grupo K</x:v>
      </x:c>
      <x:c r="E170" s="21" t="str">
        <x:v>2026-06-17</x:v>
      </x:c>
      <x:c r="F170" s="21" t="str">
        <x:f>IFERROR(INDEX('Resultados'!$G$5:$G$108,MATCH($B170,'Resultados'!$A$5:$A$108,0)),"")</x:f>
        <x:v>Uzbequistão</x:v>
      </x:c>
      <x:c r="G170" s="21" t="str">
        <x:f>IFERROR(INDEX('Resultados'!$J$5:$J$108,MATCH($B170,'Resultados'!$A$5:$A$108,0)),"")</x:f>
        <x:v>Colômbia</x:v>
      </x:c>
      <x:c r="H170" s="21" t="str">
        <x:v>Não</x:v>
      </x:c>
      <x:c r="I170" s="22"/>
      <x:c r="J170" s="22"/>
      <x:c r="K170" s="23"/>
      <x:c r="L170" s="21" t="str">
        <x:f>IFERROR(INDEX('Resultados'!$H$5:$H$108,MATCH($B170,'Resultados'!$A$5:$A$108,0)),"")</x:f>
      </x:c>
      <x:c r="M170" s="21" t="str">
        <x:f>IFERROR(INDEX('Resultados'!$I$5:$I$108,MATCH($B170,'Resultados'!$A$5:$A$108,0)),"")</x:f>
      </x:c>
      <x:c r="N170" s="21" t="str">
        <x:f>IFERROR(INDEX('Resultados'!$L$5:$L$108,MATCH($B170,'Resultados'!$A$5:$A$108,0)),"")</x:f>
      </x:c>
      <x:c r="O170" s="59" t="str">
        <x:f>IF(OR($I170="",$J170="",$L170="",$M170=""),"",IF(AND($H170="Sim",$L170=$M170),IF($I170&lt;&gt;$J170,0,IF(AND($I170=$L170,$J170=$M170),2,1)),IF(AND($I170=$L170,$J170=$M170),3,IF(AND($I170&lt;&gt;$J170,$I170=$M170,$J170=$L170),-2,IF(SIGN($I170-$J170)=SIGN($L170-$M170),1,0)))))</x:f>
      </x:c>
      <x:c r="P170" s="59" t="str">
        <x:f>IF(OR($H170&lt;&gt;"Sim",$I170="",$J170="",$L170="",$M170=""),"",IF(AND(IF($I170&gt;$J170,$F170,IF($I170&lt;$J170,$G170,$K170))&lt;&gt;"",IF($L170&gt;$M170,$F170,IF($L170&lt;$M170,$G170,$N170))&lt;&gt;"",IF($I170&gt;$J170,$F170,IF($I170&lt;$J170,$G170,$K170))=IF($L170&gt;$M170,$F170,IF($L170&lt;$M170,$G170,$N170))),1,0))</x:f>
      </x:c>
      <x:c r="Q170" s="59" t="str">
        <x:f>IF($O170="","",$O170+$P170)</x:f>
      </x:c>
      <x:c r="R170" s="59" t="str">
        <x:f>IF($Q170="","",IF($O170=3,"Cravada",IF(AND($H170="Sim",$L170=$M170,$I170=$J170,$O170=2),"Empate cravado",IF($O170=1,"Resultado certo",IF($O170=-2,"Invertida",IF($P170=1,"Acertou quem passa","Erro"))))))</x:f>
      </x:c>
      <x:c r="S170" s="59" t="str">
        <x:f>IF($O170="","",--(OR($O170=3,AND($H170="Sim",$L170=$M170,$I170=$J170,$O170=2))))</x:f>
      </x:c>
      <x:c r="T170" s="59" t="str">
        <x:f>IF($O170="","",--($O170=-2))</x:f>
      </x:c>
      <x:c r="U170" s="59" t="str">
        <x:f>IF($O170="","",--($O170=1))</x:f>
      </x:c>
      <x:c r="V170" s="59" t="n">
        <x:f>--(AND($I170&lt;&gt;"",$J170&lt;&gt;""))</x:f>
        <x:v>0</x:v>
      </x:c>
    </x:row>
    <x:row r="171">
      <x:c r="A171" s="21" t="str">
        <x:f>INDEX(Config!$B$10:$B$16,INT((ROW()-5)/104)+1)</x:f>
        <x:v>Leo C.</x:v>
      </x:c>
      <x:c r="B171" s="21" t="str">
        <x:v>GK3</x:v>
      </x:c>
      <x:c r="C171" s="21" t="n">
        <x:v>63</x:v>
      </x:c>
      <x:c r="D171" s="21" t="str">
        <x:v>Grupo K</x:v>
      </x:c>
      <x:c r="E171" s="21" t="str">
        <x:v>2026-06-23</x:v>
      </x:c>
      <x:c r="F171" s="21" t="str">
        <x:f>IFERROR(INDEX('Resultados'!$G$5:$G$108,MATCH($B171,'Resultados'!$A$5:$A$108,0)),"")</x:f>
        <x:v>Portugal</x:v>
      </x:c>
      <x:c r="G171" s="21" t="str">
        <x:f>IFERROR(INDEX('Resultados'!$J$5:$J$108,MATCH($B171,'Resultados'!$A$5:$A$108,0)),"")</x:f>
        <x:v>Uzbequistão</x:v>
      </x:c>
      <x:c r="H171" s="21" t="str">
        <x:v>Não</x:v>
      </x:c>
      <x:c r="I171" s="22"/>
      <x:c r="J171" s="22"/>
      <x:c r="K171" s="23"/>
      <x:c r="L171" s="21" t="str">
        <x:f>IFERROR(INDEX('Resultados'!$H$5:$H$108,MATCH($B171,'Resultados'!$A$5:$A$108,0)),"")</x:f>
      </x:c>
      <x:c r="M171" s="21" t="str">
        <x:f>IFERROR(INDEX('Resultados'!$I$5:$I$108,MATCH($B171,'Resultados'!$A$5:$A$108,0)),"")</x:f>
      </x:c>
      <x:c r="N171" s="21" t="str">
        <x:f>IFERROR(INDEX('Resultados'!$L$5:$L$108,MATCH($B171,'Resultados'!$A$5:$A$108,0)),"")</x:f>
      </x:c>
      <x:c r="O171" s="59" t="str">
        <x:f>IF(OR($I171="",$J171="",$L171="",$M171=""),"",IF(AND($H171="Sim",$L171=$M171),IF($I171&lt;&gt;$J171,0,IF(AND($I171=$L171,$J171=$M171),2,1)),IF(AND($I171=$L171,$J171=$M171),3,IF(AND($I171&lt;&gt;$J171,$I171=$M171,$J171=$L171),-2,IF(SIGN($I171-$J171)=SIGN($L171-$M171),1,0)))))</x:f>
      </x:c>
      <x:c r="P171" s="59" t="str">
        <x:f>IF(OR($H171&lt;&gt;"Sim",$I171="",$J171="",$L171="",$M171=""),"",IF(AND(IF($I171&gt;$J171,$F171,IF($I171&lt;$J171,$G171,$K171))&lt;&gt;"",IF($L171&gt;$M171,$F171,IF($L171&lt;$M171,$G171,$N171))&lt;&gt;"",IF($I171&gt;$J171,$F171,IF($I171&lt;$J171,$G171,$K171))=IF($L171&gt;$M171,$F171,IF($L171&lt;$M171,$G171,$N171))),1,0))</x:f>
      </x:c>
      <x:c r="Q171" s="59" t="str">
        <x:f>IF($O171="","",$O171+$P171)</x:f>
      </x:c>
      <x:c r="R171" s="59" t="str">
        <x:f>IF($Q171="","",IF($O171=3,"Cravada",IF(AND($H171="Sim",$L171=$M171,$I171=$J171,$O171=2),"Empate cravado",IF($O171=1,"Resultado certo",IF($O171=-2,"Invertida",IF($P171=1,"Acertou quem passa","Erro"))))))</x:f>
      </x:c>
      <x:c r="S171" s="59" t="str">
        <x:f>IF($O171="","",--(OR($O171=3,AND($H171="Sim",$L171=$M171,$I171=$J171,$O171=2))))</x:f>
      </x:c>
      <x:c r="T171" s="59" t="str">
        <x:f>IF($O171="","",--($O171=-2))</x:f>
      </x:c>
      <x:c r="U171" s="59" t="str">
        <x:f>IF($O171="","",--($O171=1))</x:f>
      </x:c>
      <x:c r="V171" s="59" t="n">
        <x:f>--(AND($I171&lt;&gt;"",$J171&lt;&gt;""))</x:f>
        <x:v>0</x:v>
      </x:c>
    </x:row>
    <x:row r="172">
      <x:c r="A172" s="21" t="str">
        <x:f>INDEX(Config!$B$10:$B$16,INT((ROW()-5)/104)+1)</x:f>
        <x:v>Leo C.</x:v>
      </x:c>
      <x:c r="B172" s="21" t="str">
        <x:v>GK4</x:v>
      </x:c>
      <x:c r="C172" s="21" t="n">
        <x:v>64</x:v>
      </x:c>
      <x:c r="D172" s="21" t="str">
        <x:v>Grupo K</x:v>
      </x:c>
      <x:c r="E172" s="21" t="str">
        <x:v>2026-06-23</x:v>
      </x:c>
      <x:c r="F172" s="21" t="str">
        <x:f>IFERROR(INDEX('Resultados'!$G$5:$G$108,MATCH($B172,'Resultados'!$A$5:$A$108,0)),"")</x:f>
        <x:v>Rep. D. do Congo</x:v>
      </x:c>
      <x:c r="G172" s="21" t="str">
        <x:f>IFERROR(INDEX('Resultados'!$J$5:$J$108,MATCH($B172,'Resultados'!$A$5:$A$108,0)),"")</x:f>
        <x:v>Colômbia</x:v>
      </x:c>
      <x:c r="H172" s="21" t="str">
        <x:v>Não</x:v>
      </x:c>
      <x:c r="I172" s="22"/>
      <x:c r="J172" s="22"/>
      <x:c r="K172" s="23"/>
      <x:c r="L172" s="21" t="str">
        <x:f>IFERROR(INDEX('Resultados'!$H$5:$H$108,MATCH($B172,'Resultados'!$A$5:$A$108,0)),"")</x:f>
      </x:c>
      <x:c r="M172" s="21" t="str">
        <x:f>IFERROR(INDEX('Resultados'!$I$5:$I$108,MATCH($B172,'Resultados'!$A$5:$A$108,0)),"")</x:f>
      </x:c>
      <x:c r="N172" s="21" t="str">
        <x:f>IFERROR(INDEX('Resultados'!$L$5:$L$108,MATCH($B172,'Resultados'!$A$5:$A$108,0)),"")</x:f>
      </x:c>
      <x:c r="O172" s="59" t="str">
        <x:f>IF(OR($I172="",$J172="",$L172="",$M172=""),"",IF(AND($H172="Sim",$L172=$M172),IF($I172&lt;&gt;$J172,0,IF(AND($I172=$L172,$J172=$M172),2,1)),IF(AND($I172=$L172,$J172=$M172),3,IF(AND($I172&lt;&gt;$J172,$I172=$M172,$J172=$L172),-2,IF(SIGN($I172-$J172)=SIGN($L172-$M172),1,0)))))</x:f>
      </x:c>
      <x:c r="P172" s="59" t="str">
        <x:f>IF(OR($H172&lt;&gt;"Sim",$I172="",$J172="",$L172="",$M172=""),"",IF(AND(IF($I172&gt;$J172,$F172,IF($I172&lt;$J172,$G172,$K172))&lt;&gt;"",IF($L172&gt;$M172,$F172,IF($L172&lt;$M172,$G172,$N172))&lt;&gt;"",IF($I172&gt;$J172,$F172,IF($I172&lt;$J172,$G172,$K172))=IF($L172&gt;$M172,$F172,IF($L172&lt;$M172,$G172,$N172))),1,0))</x:f>
      </x:c>
      <x:c r="Q172" s="59" t="str">
        <x:f>IF($O172="","",$O172+$P172)</x:f>
      </x:c>
      <x:c r="R172" s="59" t="str">
        <x:f>IF($Q172="","",IF($O172=3,"Cravada",IF(AND($H172="Sim",$L172=$M172,$I172=$J172,$O172=2),"Empate cravado",IF($O172=1,"Resultado certo",IF($O172=-2,"Invertida",IF($P172=1,"Acertou quem passa","Erro"))))))</x:f>
      </x:c>
      <x:c r="S172" s="59" t="str">
        <x:f>IF($O172="","",--(OR($O172=3,AND($H172="Sim",$L172=$M172,$I172=$J172,$O172=2))))</x:f>
      </x:c>
      <x:c r="T172" s="59" t="str">
        <x:f>IF($O172="","",--($O172=-2))</x:f>
      </x:c>
      <x:c r="U172" s="59" t="str">
        <x:f>IF($O172="","",--($O172=1))</x:f>
      </x:c>
      <x:c r="V172" s="59" t="n">
        <x:f>--(AND($I172&lt;&gt;"",$J172&lt;&gt;""))</x:f>
        <x:v>0</x:v>
      </x:c>
    </x:row>
    <x:row r="173">
      <x:c r="A173" s="21" t="str">
        <x:f>INDEX(Config!$B$10:$B$16,INT((ROW()-5)/104)+1)</x:f>
        <x:v>Leo C.</x:v>
      </x:c>
      <x:c r="B173" s="21" t="str">
        <x:v>GK5</x:v>
      </x:c>
      <x:c r="C173" s="21" t="n">
        <x:v>65</x:v>
      </x:c>
      <x:c r="D173" s="21" t="str">
        <x:v>Grupo K</x:v>
      </x:c>
      <x:c r="E173" s="21" t="str">
        <x:v>2026-06-27</x:v>
      </x:c>
      <x:c r="F173" s="21" t="str">
        <x:f>IFERROR(INDEX('Resultados'!$G$5:$G$108,MATCH($B173,'Resultados'!$A$5:$A$108,0)),"")</x:f>
        <x:v>Portugal</x:v>
      </x:c>
      <x:c r="G173" s="21" t="str">
        <x:f>IFERROR(INDEX('Resultados'!$J$5:$J$108,MATCH($B173,'Resultados'!$A$5:$A$108,0)),"")</x:f>
        <x:v>Colômbia</x:v>
      </x:c>
      <x:c r="H173" s="21" t="str">
        <x:v>Não</x:v>
      </x:c>
      <x:c r="I173" s="22"/>
      <x:c r="J173" s="22"/>
      <x:c r="K173" s="23"/>
      <x:c r="L173" s="21" t="str">
        <x:f>IFERROR(INDEX('Resultados'!$H$5:$H$108,MATCH($B173,'Resultados'!$A$5:$A$108,0)),"")</x:f>
      </x:c>
      <x:c r="M173" s="21" t="str">
        <x:f>IFERROR(INDEX('Resultados'!$I$5:$I$108,MATCH($B173,'Resultados'!$A$5:$A$108,0)),"")</x:f>
      </x:c>
      <x:c r="N173" s="21" t="str">
        <x:f>IFERROR(INDEX('Resultados'!$L$5:$L$108,MATCH($B173,'Resultados'!$A$5:$A$108,0)),"")</x:f>
      </x:c>
      <x:c r="O173" s="59" t="str">
        <x:f>IF(OR($I173="",$J173="",$L173="",$M173=""),"",IF(AND($H173="Sim",$L173=$M173),IF($I173&lt;&gt;$J173,0,IF(AND($I173=$L173,$J173=$M173),2,1)),IF(AND($I173=$L173,$J173=$M173),3,IF(AND($I173&lt;&gt;$J173,$I173=$M173,$J173=$L173),-2,IF(SIGN($I173-$J173)=SIGN($L173-$M173),1,0)))))</x:f>
      </x:c>
      <x:c r="P173" s="59" t="str">
        <x:f>IF(OR($H173&lt;&gt;"Sim",$I173="",$J173="",$L173="",$M173=""),"",IF(AND(IF($I173&gt;$J173,$F173,IF($I173&lt;$J173,$G173,$K173))&lt;&gt;"",IF($L173&gt;$M173,$F173,IF($L173&lt;$M173,$G173,$N173))&lt;&gt;"",IF($I173&gt;$J173,$F173,IF($I173&lt;$J173,$G173,$K173))=IF($L173&gt;$M173,$F173,IF($L173&lt;$M173,$G173,$N173))),1,0))</x:f>
      </x:c>
      <x:c r="Q173" s="59" t="str">
        <x:f>IF($O173="","",$O173+$P173)</x:f>
      </x:c>
      <x:c r="R173" s="59" t="str">
        <x:f>IF($Q173="","",IF($O173=3,"Cravada",IF(AND($H173="Sim",$L173=$M173,$I173=$J173,$O173=2),"Empate cravado",IF($O173=1,"Resultado certo",IF($O173=-2,"Invertida",IF($P173=1,"Acertou quem passa","Erro"))))))</x:f>
      </x:c>
      <x:c r="S173" s="59" t="str">
        <x:f>IF($O173="","",--(OR($O173=3,AND($H173="Sim",$L173=$M173,$I173=$J173,$O173=2))))</x:f>
      </x:c>
      <x:c r="T173" s="59" t="str">
        <x:f>IF($O173="","",--($O173=-2))</x:f>
      </x:c>
      <x:c r="U173" s="59" t="str">
        <x:f>IF($O173="","",--($O173=1))</x:f>
      </x:c>
      <x:c r="V173" s="59" t="n">
        <x:f>--(AND($I173&lt;&gt;"",$J173&lt;&gt;""))</x:f>
        <x:v>0</x:v>
      </x:c>
    </x:row>
    <x:row r="174">
      <x:c r="A174" s="21" t="str">
        <x:f>INDEX(Config!$B$10:$B$16,INT((ROW()-5)/104)+1)</x:f>
        <x:v>Leo C.</x:v>
      </x:c>
      <x:c r="B174" s="21" t="str">
        <x:v>GK6</x:v>
      </x:c>
      <x:c r="C174" s="21" t="n">
        <x:v>66</x:v>
      </x:c>
      <x:c r="D174" s="21" t="str">
        <x:v>Grupo K</x:v>
      </x:c>
      <x:c r="E174" s="21" t="str">
        <x:v>2026-06-27</x:v>
      </x:c>
      <x:c r="F174" s="21" t="str">
        <x:f>IFERROR(INDEX('Resultados'!$G$5:$G$108,MATCH($B174,'Resultados'!$A$5:$A$108,0)),"")</x:f>
        <x:v>Rep. D. do Congo</x:v>
      </x:c>
      <x:c r="G174" s="21" t="str">
        <x:f>IFERROR(INDEX('Resultados'!$J$5:$J$108,MATCH($B174,'Resultados'!$A$5:$A$108,0)),"")</x:f>
        <x:v>Uzbequistão</x:v>
      </x:c>
      <x:c r="H174" s="21" t="str">
        <x:v>Não</x:v>
      </x:c>
      <x:c r="I174" s="22"/>
      <x:c r="J174" s="22"/>
      <x:c r="K174" s="23"/>
      <x:c r="L174" s="21" t="str">
        <x:f>IFERROR(INDEX('Resultados'!$H$5:$H$108,MATCH($B174,'Resultados'!$A$5:$A$108,0)),"")</x:f>
      </x:c>
      <x:c r="M174" s="21" t="str">
        <x:f>IFERROR(INDEX('Resultados'!$I$5:$I$108,MATCH($B174,'Resultados'!$A$5:$A$108,0)),"")</x:f>
      </x:c>
      <x:c r="N174" s="21" t="str">
        <x:f>IFERROR(INDEX('Resultados'!$L$5:$L$108,MATCH($B174,'Resultados'!$A$5:$A$108,0)),"")</x:f>
      </x:c>
      <x:c r="O174" s="59" t="str">
        <x:f>IF(OR($I174="",$J174="",$L174="",$M174=""),"",IF(AND($H174="Sim",$L174=$M174),IF($I174&lt;&gt;$J174,0,IF(AND($I174=$L174,$J174=$M174),2,1)),IF(AND($I174=$L174,$J174=$M174),3,IF(AND($I174&lt;&gt;$J174,$I174=$M174,$J174=$L174),-2,IF(SIGN($I174-$J174)=SIGN($L174-$M174),1,0)))))</x:f>
      </x:c>
      <x:c r="P174" s="59" t="str">
        <x:f>IF(OR($H174&lt;&gt;"Sim",$I174="",$J174="",$L174="",$M174=""),"",IF(AND(IF($I174&gt;$J174,$F174,IF($I174&lt;$J174,$G174,$K174))&lt;&gt;"",IF($L174&gt;$M174,$F174,IF($L174&lt;$M174,$G174,$N174))&lt;&gt;"",IF($I174&gt;$J174,$F174,IF($I174&lt;$J174,$G174,$K174))=IF($L174&gt;$M174,$F174,IF($L174&lt;$M174,$G174,$N174))),1,0))</x:f>
      </x:c>
      <x:c r="Q174" s="59" t="str">
        <x:f>IF($O174="","",$O174+$P174)</x:f>
      </x:c>
      <x:c r="R174" s="59" t="str">
        <x:f>IF($Q174="","",IF($O174=3,"Cravada",IF(AND($H174="Sim",$L174=$M174,$I174=$J174,$O174=2),"Empate cravado",IF($O174=1,"Resultado certo",IF($O174=-2,"Invertida",IF($P174=1,"Acertou quem passa","Erro"))))))</x:f>
      </x:c>
      <x:c r="S174" s="59" t="str">
        <x:f>IF($O174="","",--(OR($O174=3,AND($H174="Sim",$L174=$M174,$I174=$J174,$O174=2))))</x:f>
      </x:c>
      <x:c r="T174" s="59" t="str">
        <x:f>IF($O174="","",--($O174=-2))</x:f>
      </x:c>
      <x:c r="U174" s="59" t="str">
        <x:f>IF($O174="","",--($O174=1))</x:f>
      </x:c>
      <x:c r="V174" s="59" t="n">
        <x:f>--(AND($I174&lt;&gt;"",$J174&lt;&gt;""))</x:f>
        <x:v>0</x:v>
      </x:c>
    </x:row>
    <x:row r="175">
      <x:c r="A175" s="21" t="str">
        <x:f>INDEX(Config!$B$10:$B$16,INT((ROW()-5)/104)+1)</x:f>
        <x:v>Leo C.</x:v>
      </x:c>
      <x:c r="B175" s="21" t="str">
        <x:v>GL1</x:v>
      </x:c>
      <x:c r="C175" s="21" t="n">
        <x:v>67</x:v>
      </x:c>
      <x:c r="D175" s="21" t="str">
        <x:v>Grupo L</x:v>
      </x:c>
      <x:c r="E175" s="21" t="str">
        <x:v>2026-06-17</x:v>
      </x:c>
      <x:c r="F175" s="21" t="str">
        <x:f>IFERROR(INDEX('Resultados'!$G$5:$G$108,MATCH($B175,'Resultados'!$A$5:$A$108,0)),"")</x:f>
        <x:v>Inglaterra</x:v>
      </x:c>
      <x:c r="G175" s="21" t="str">
        <x:f>IFERROR(INDEX('Resultados'!$J$5:$J$108,MATCH($B175,'Resultados'!$A$5:$A$108,0)),"")</x:f>
        <x:v>Croácia</x:v>
      </x:c>
      <x:c r="H175" s="21" t="str">
        <x:v>Não</x:v>
      </x:c>
      <x:c r="I175" s="22"/>
      <x:c r="J175" s="22"/>
      <x:c r="K175" s="23"/>
      <x:c r="L175" s="21" t="str">
        <x:f>IFERROR(INDEX('Resultados'!$H$5:$H$108,MATCH($B175,'Resultados'!$A$5:$A$108,0)),"")</x:f>
      </x:c>
      <x:c r="M175" s="21" t="str">
        <x:f>IFERROR(INDEX('Resultados'!$I$5:$I$108,MATCH($B175,'Resultados'!$A$5:$A$108,0)),"")</x:f>
      </x:c>
      <x:c r="N175" s="21" t="str">
        <x:f>IFERROR(INDEX('Resultados'!$L$5:$L$108,MATCH($B175,'Resultados'!$A$5:$A$108,0)),"")</x:f>
      </x:c>
      <x:c r="O175" s="59" t="str">
        <x:f>IF(OR($I175="",$J175="",$L175="",$M175=""),"",IF(AND($H175="Sim",$L175=$M175),IF($I175&lt;&gt;$J175,0,IF(AND($I175=$L175,$J175=$M175),2,1)),IF(AND($I175=$L175,$J175=$M175),3,IF(AND($I175&lt;&gt;$J175,$I175=$M175,$J175=$L175),-2,IF(SIGN($I175-$J175)=SIGN($L175-$M175),1,0)))))</x:f>
      </x:c>
      <x:c r="P175" s="59" t="str">
        <x:f>IF(OR($H175&lt;&gt;"Sim",$I175="",$J175="",$L175="",$M175=""),"",IF(AND(IF($I175&gt;$J175,$F175,IF($I175&lt;$J175,$G175,$K175))&lt;&gt;"",IF($L175&gt;$M175,$F175,IF($L175&lt;$M175,$G175,$N175))&lt;&gt;"",IF($I175&gt;$J175,$F175,IF($I175&lt;$J175,$G175,$K175))=IF($L175&gt;$M175,$F175,IF($L175&lt;$M175,$G175,$N175))),1,0))</x:f>
      </x:c>
      <x:c r="Q175" s="59" t="str">
        <x:f>IF($O175="","",$O175+$P175)</x:f>
      </x:c>
      <x:c r="R175" s="59" t="str">
        <x:f>IF($Q175="","",IF($O175=3,"Cravada",IF(AND($H175="Sim",$L175=$M175,$I175=$J175,$O175=2),"Empate cravado",IF($O175=1,"Resultado certo",IF($O175=-2,"Invertida",IF($P175=1,"Acertou quem passa","Erro"))))))</x:f>
      </x:c>
      <x:c r="S175" s="59" t="str">
        <x:f>IF($O175="","",--(OR($O175=3,AND($H175="Sim",$L175=$M175,$I175=$J175,$O175=2))))</x:f>
      </x:c>
      <x:c r="T175" s="59" t="str">
        <x:f>IF($O175="","",--($O175=-2))</x:f>
      </x:c>
      <x:c r="U175" s="59" t="str">
        <x:f>IF($O175="","",--($O175=1))</x:f>
      </x:c>
      <x:c r="V175" s="59" t="n">
        <x:f>--(AND($I175&lt;&gt;"",$J175&lt;&gt;""))</x:f>
        <x:v>0</x:v>
      </x:c>
    </x:row>
    <x:row r="176">
      <x:c r="A176" s="21" t="str">
        <x:f>INDEX(Config!$B$10:$B$16,INT((ROW()-5)/104)+1)</x:f>
        <x:v>Leo C.</x:v>
      </x:c>
      <x:c r="B176" s="21" t="str">
        <x:v>GL2</x:v>
      </x:c>
      <x:c r="C176" s="21" t="n">
        <x:v>68</x:v>
      </x:c>
      <x:c r="D176" s="21" t="str">
        <x:v>Grupo L</x:v>
      </x:c>
      <x:c r="E176" s="21" t="str">
        <x:v>2026-06-17</x:v>
      </x:c>
      <x:c r="F176" s="21" t="str">
        <x:f>IFERROR(INDEX('Resultados'!$G$5:$G$108,MATCH($B176,'Resultados'!$A$5:$A$108,0)),"")</x:f>
        <x:v>Gana</x:v>
      </x:c>
      <x:c r="G176" s="21" t="str">
        <x:f>IFERROR(INDEX('Resultados'!$J$5:$J$108,MATCH($B176,'Resultados'!$A$5:$A$108,0)),"")</x:f>
        <x:v>Panamá</x:v>
      </x:c>
      <x:c r="H176" s="21" t="str">
        <x:v>Não</x:v>
      </x:c>
      <x:c r="I176" s="22"/>
      <x:c r="J176" s="22"/>
      <x:c r="K176" s="23"/>
      <x:c r="L176" s="21" t="str">
        <x:f>IFERROR(INDEX('Resultados'!$H$5:$H$108,MATCH($B176,'Resultados'!$A$5:$A$108,0)),"")</x:f>
      </x:c>
      <x:c r="M176" s="21" t="str">
        <x:f>IFERROR(INDEX('Resultados'!$I$5:$I$108,MATCH($B176,'Resultados'!$A$5:$A$108,0)),"")</x:f>
      </x:c>
      <x:c r="N176" s="21" t="str">
        <x:f>IFERROR(INDEX('Resultados'!$L$5:$L$108,MATCH($B176,'Resultados'!$A$5:$A$108,0)),"")</x:f>
      </x:c>
      <x:c r="O176" s="59" t="str">
        <x:f>IF(OR($I176="",$J176="",$L176="",$M176=""),"",IF(AND($H176="Sim",$L176=$M176),IF($I176&lt;&gt;$J176,0,IF(AND($I176=$L176,$J176=$M176),2,1)),IF(AND($I176=$L176,$J176=$M176),3,IF(AND($I176&lt;&gt;$J176,$I176=$M176,$J176=$L176),-2,IF(SIGN($I176-$J176)=SIGN($L176-$M176),1,0)))))</x:f>
      </x:c>
      <x:c r="P176" s="59" t="str">
        <x:f>IF(OR($H176&lt;&gt;"Sim",$I176="",$J176="",$L176="",$M176=""),"",IF(AND(IF($I176&gt;$J176,$F176,IF($I176&lt;$J176,$G176,$K176))&lt;&gt;"",IF($L176&gt;$M176,$F176,IF($L176&lt;$M176,$G176,$N176))&lt;&gt;"",IF($I176&gt;$J176,$F176,IF($I176&lt;$J176,$G176,$K176))=IF($L176&gt;$M176,$F176,IF($L176&lt;$M176,$G176,$N176))),1,0))</x:f>
      </x:c>
      <x:c r="Q176" s="59" t="str">
        <x:f>IF($O176="","",$O176+$P176)</x:f>
      </x:c>
      <x:c r="R176" s="59" t="str">
        <x:f>IF($Q176="","",IF($O176=3,"Cravada",IF(AND($H176="Sim",$L176=$M176,$I176=$J176,$O176=2),"Empate cravado",IF($O176=1,"Resultado certo",IF($O176=-2,"Invertida",IF($P176=1,"Acertou quem passa","Erro"))))))</x:f>
      </x:c>
      <x:c r="S176" s="59" t="str">
        <x:f>IF($O176="","",--(OR($O176=3,AND($H176="Sim",$L176=$M176,$I176=$J176,$O176=2))))</x:f>
      </x:c>
      <x:c r="T176" s="59" t="str">
        <x:f>IF($O176="","",--($O176=-2))</x:f>
      </x:c>
      <x:c r="U176" s="59" t="str">
        <x:f>IF($O176="","",--($O176=1))</x:f>
      </x:c>
      <x:c r="V176" s="59" t="n">
        <x:f>--(AND($I176&lt;&gt;"",$J176&lt;&gt;""))</x:f>
        <x:v>0</x:v>
      </x:c>
    </x:row>
    <x:row r="177">
      <x:c r="A177" s="21" t="str">
        <x:f>INDEX(Config!$B$10:$B$16,INT((ROW()-5)/104)+1)</x:f>
        <x:v>Leo C.</x:v>
      </x:c>
      <x:c r="B177" s="21" t="str">
        <x:v>GL3</x:v>
      </x:c>
      <x:c r="C177" s="21" t="n">
        <x:v>69</x:v>
      </x:c>
      <x:c r="D177" s="21" t="str">
        <x:v>Grupo L</x:v>
      </x:c>
      <x:c r="E177" s="21" t="str">
        <x:v>2026-06-23</x:v>
      </x:c>
      <x:c r="F177" s="21" t="str">
        <x:f>IFERROR(INDEX('Resultados'!$G$5:$G$108,MATCH($B177,'Resultados'!$A$5:$A$108,0)),"")</x:f>
        <x:v>Inglaterra</x:v>
      </x:c>
      <x:c r="G177" s="21" t="str">
        <x:f>IFERROR(INDEX('Resultados'!$J$5:$J$108,MATCH($B177,'Resultados'!$A$5:$A$108,0)),"")</x:f>
        <x:v>Gana</x:v>
      </x:c>
      <x:c r="H177" s="21" t="str">
        <x:v>Não</x:v>
      </x:c>
      <x:c r="I177" s="22"/>
      <x:c r="J177" s="22"/>
      <x:c r="K177" s="23"/>
      <x:c r="L177" s="21" t="str">
        <x:f>IFERROR(INDEX('Resultados'!$H$5:$H$108,MATCH($B177,'Resultados'!$A$5:$A$108,0)),"")</x:f>
      </x:c>
      <x:c r="M177" s="21" t="str">
        <x:f>IFERROR(INDEX('Resultados'!$I$5:$I$108,MATCH($B177,'Resultados'!$A$5:$A$108,0)),"")</x:f>
      </x:c>
      <x:c r="N177" s="21" t="str">
        <x:f>IFERROR(INDEX('Resultados'!$L$5:$L$108,MATCH($B177,'Resultados'!$A$5:$A$108,0)),"")</x:f>
      </x:c>
      <x:c r="O177" s="59" t="str">
        <x:f>IF(OR($I177="",$J177="",$L177="",$M177=""),"",IF(AND($H177="Sim",$L177=$M177),IF($I177&lt;&gt;$J177,0,IF(AND($I177=$L177,$J177=$M177),2,1)),IF(AND($I177=$L177,$J177=$M177),3,IF(AND($I177&lt;&gt;$J177,$I177=$M177,$J177=$L177),-2,IF(SIGN($I177-$J177)=SIGN($L177-$M177),1,0)))))</x:f>
      </x:c>
      <x:c r="P177" s="59" t="str">
        <x:f>IF(OR($H177&lt;&gt;"Sim",$I177="",$J177="",$L177="",$M177=""),"",IF(AND(IF($I177&gt;$J177,$F177,IF($I177&lt;$J177,$G177,$K177))&lt;&gt;"",IF($L177&gt;$M177,$F177,IF($L177&lt;$M177,$G177,$N177))&lt;&gt;"",IF($I177&gt;$J177,$F177,IF($I177&lt;$J177,$G177,$K177))=IF($L177&gt;$M177,$F177,IF($L177&lt;$M177,$G177,$N177))),1,0))</x:f>
      </x:c>
      <x:c r="Q177" s="59" t="str">
        <x:f>IF($O177="","",$O177+$P177)</x:f>
      </x:c>
      <x:c r="R177" s="59" t="str">
        <x:f>IF($Q177="","",IF($O177=3,"Cravada",IF(AND($H177="Sim",$L177=$M177,$I177=$J177,$O177=2),"Empate cravado",IF($O177=1,"Resultado certo",IF($O177=-2,"Invertida",IF($P177=1,"Acertou quem passa","Erro"))))))</x:f>
      </x:c>
      <x:c r="S177" s="59" t="str">
        <x:f>IF($O177="","",--(OR($O177=3,AND($H177="Sim",$L177=$M177,$I177=$J177,$O177=2))))</x:f>
      </x:c>
      <x:c r="T177" s="59" t="str">
        <x:f>IF($O177="","",--($O177=-2))</x:f>
      </x:c>
      <x:c r="U177" s="59" t="str">
        <x:f>IF($O177="","",--($O177=1))</x:f>
      </x:c>
      <x:c r="V177" s="59" t="n">
        <x:f>--(AND($I177&lt;&gt;"",$J177&lt;&gt;""))</x:f>
        <x:v>0</x:v>
      </x:c>
    </x:row>
    <x:row r="178">
      <x:c r="A178" s="21" t="str">
        <x:f>INDEX(Config!$B$10:$B$16,INT((ROW()-5)/104)+1)</x:f>
        <x:v>Leo C.</x:v>
      </x:c>
      <x:c r="B178" s="21" t="str">
        <x:v>GL4</x:v>
      </x:c>
      <x:c r="C178" s="21" t="n">
        <x:v>70</x:v>
      </x:c>
      <x:c r="D178" s="21" t="str">
        <x:v>Grupo L</x:v>
      </x:c>
      <x:c r="E178" s="21" t="str">
        <x:v>2026-06-23</x:v>
      </x:c>
      <x:c r="F178" s="21" t="str">
        <x:f>IFERROR(INDEX('Resultados'!$G$5:$G$108,MATCH($B178,'Resultados'!$A$5:$A$108,0)),"")</x:f>
        <x:v>Croácia</x:v>
      </x:c>
      <x:c r="G178" s="21" t="str">
        <x:f>IFERROR(INDEX('Resultados'!$J$5:$J$108,MATCH($B178,'Resultados'!$A$5:$A$108,0)),"")</x:f>
        <x:v>Panamá</x:v>
      </x:c>
      <x:c r="H178" s="21" t="str">
        <x:v>Não</x:v>
      </x:c>
      <x:c r="I178" s="22"/>
      <x:c r="J178" s="22"/>
      <x:c r="K178" s="23"/>
      <x:c r="L178" s="21" t="str">
        <x:f>IFERROR(INDEX('Resultados'!$H$5:$H$108,MATCH($B178,'Resultados'!$A$5:$A$108,0)),"")</x:f>
      </x:c>
      <x:c r="M178" s="21" t="str">
        <x:f>IFERROR(INDEX('Resultados'!$I$5:$I$108,MATCH($B178,'Resultados'!$A$5:$A$108,0)),"")</x:f>
      </x:c>
      <x:c r="N178" s="21" t="str">
        <x:f>IFERROR(INDEX('Resultados'!$L$5:$L$108,MATCH($B178,'Resultados'!$A$5:$A$108,0)),"")</x:f>
      </x:c>
      <x:c r="O178" s="59" t="str">
        <x:f>IF(OR($I178="",$J178="",$L178="",$M178=""),"",IF(AND($H178="Sim",$L178=$M178),IF($I178&lt;&gt;$J178,0,IF(AND($I178=$L178,$J178=$M178),2,1)),IF(AND($I178=$L178,$J178=$M178),3,IF(AND($I178&lt;&gt;$J178,$I178=$M178,$J178=$L178),-2,IF(SIGN($I178-$J178)=SIGN($L178-$M178),1,0)))))</x:f>
      </x:c>
      <x:c r="P178" s="59" t="str">
        <x:f>IF(OR($H178&lt;&gt;"Sim",$I178="",$J178="",$L178="",$M178=""),"",IF(AND(IF($I178&gt;$J178,$F178,IF($I178&lt;$J178,$G178,$K178))&lt;&gt;"",IF($L178&gt;$M178,$F178,IF($L178&lt;$M178,$G178,$N178))&lt;&gt;"",IF($I178&gt;$J178,$F178,IF($I178&lt;$J178,$G178,$K178))=IF($L178&gt;$M178,$F178,IF($L178&lt;$M178,$G178,$N178))),1,0))</x:f>
      </x:c>
      <x:c r="Q178" s="59" t="str">
        <x:f>IF($O178="","",$O178+$P178)</x:f>
      </x:c>
      <x:c r="R178" s="59" t="str">
        <x:f>IF($Q178="","",IF($O178=3,"Cravada",IF(AND($H178="Sim",$L178=$M178,$I178=$J178,$O178=2),"Empate cravado",IF($O178=1,"Resultado certo",IF($O178=-2,"Invertida",IF($P178=1,"Acertou quem passa","Erro"))))))</x:f>
      </x:c>
      <x:c r="S178" s="59" t="str">
        <x:f>IF($O178="","",--(OR($O178=3,AND($H178="Sim",$L178=$M178,$I178=$J178,$O178=2))))</x:f>
      </x:c>
      <x:c r="T178" s="59" t="str">
        <x:f>IF($O178="","",--($O178=-2))</x:f>
      </x:c>
      <x:c r="U178" s="59" t="str">
        <x:f>IF($O178="","",--($O178=1))</x:f>
      </x:c>
      <x:c r="V178" s="59" t="n">
        <x:f>--(AND($I178&lt;&gt;"",$J178&lt;&gt;""))</x:f>
        <x:v>0</x:v>
      </x:c>
    </x:row>
    <x:row r="179">
      <x:c r="A179" s="21" t="str">
        <x:f>INDEX(Config!$B$10:$B$16,INT((ROW()-5)/104)+1)</x:f>
        <x:v>Leo C.</x:v>
      </x:c>
      <x:c r="B179" s="21" t="str">
        <x:v>GL5</x:v>
      </x:c>
      <x:c r="C179" s="21" t="n">
        <x:v>71</x:v>
      </x:c>
      <x:c r="D179" s="21" t="str">
        <x:v>Grupo L</x:v>
      </x:c>
      <x:c r="E179" s="21" t="str">
        <x:v>2026-06-27</x:v>
      </x:c>
      <x:c r="F179" s="21" t="str">
        <x:f>IFERROR(INDEX('Resultados'!$G$5:$G$108,MATCH($B179,'Resultados'!$A$5:$A$108,0)),"")</x:f>
        <x:v>Inglaterra</x:v>
      </x:c>
      <x:c r="G179" s="21" t="str">
        <x:f>IFERROR(INDEX('Resultados'!$J$5:$J$108,MATCH($B179,'Resultados'!$A$5:$A$108,0)),"")</x:f>
        <x:v>Panamá</x:v>
      </x:c>
      <x:c r="H179" s="21" t="str">
        <x:v>Não</x:v>
      </x:c>
      <x:c r="I179" s="22"/>
      <x:c r="J179" s="22"/>
      <x:c r="K179" s="23"/>
      <x:c r="L179" s="21" t="str">
        <x:f>IFERROR(INDEX('Resultados'!$H$5:$H$108,MATCH($B179,'Resultados'!$A$5:$A$108,0)),"")</x:f>
      </x:c>
      <x:c r="M179" s="21" t="str">
        <x:f>IFERROR(INDEX('Resultados'!$I$5:$I$108,MATCH($B179,'Resultados'!$A$5:$A$108,0)),"")</x:f>
      </x:c>
      <x:c r="N179" s="21" t="str">
        <x:f>IFERROR(INDEX('Resultados'!$L$5:$L$108,MATCH($B179,'Resultados'!$A$5:$A$108,0)),"")</x:f>
      </x:c>
      <x:c r="O179" s="59" t="str">
        <x:f>IF(OR($I179="",$J179="",$L179="",$M179=""),"",IF(AND($H179="Sim",$L179=$M179),IF($I179&lt;&gt;$J179,0,IF(AND($I179=$L179,$J179=$M179),2,1)),IF(AND($I179=$L179,$J179=$M179),3,IF(AND($I179&lt;&gt;$J179,$I179=$M179,$J179=$L179),-2,IF(SIGN($I179-$J179)=SIGN($L179-$M179),1,0)))))</x:f>
      </x:c>
      <x:c r="P179" s="59" t="str">
        <x:f>IF(OR($H179&lt;&gt;"Sim",$I179="",$J179="",$L179="",$M179=""),"",IF(AND(IF($I179&gt;$J179,$F179,IF($I179&lt;$J179,$G179,$K179))&lt;&gt;"",IF($L179&gt;$M179,$F179,IF($L179&lt;$M179,$G179,$N179))&lt;&gt;"",IF($I179&gt;$J179,$F179,IF($I179&lt;$J179,$G179,$K179))=IF($L179&gt;$M179,$F179,IF($L179&lt;$M179,$G179,$N179))),1,0))</x:f>
      </x:c>
      <x:c r="Q179" s="59" t="str">
        <x:f>IF($O179="","",$O179+$P179)</x:f>
      </x:c>
      <x:c r="R179" s="59" t="str">
        <x:f>IF($Q179="","",IF($O179=3,"Cravada",IF(AND($H179="Sim",$L179=$M179,$I179=$J179,$O179=2),"Empate cravado",IF($O179=1,"Resultado certo",IF($O179=-2,"Invertida",IF($P179=1,"Acertou quem passa","Erro"))))))</x:f>
      </x:c>
      <x:c r="S179" s="59" t="str">
        <x:f>IF($O179="","",--(OR($O179=3,AND($H179="Sim",$L179=$M179,$I179=$J179,$O179=2))))</x:f>
      </x:c>
      <x:c r="T179" s="59" t="str">
        <x:f>IF($O179="","",--($O179=-2))</x:f>
      </x:c>
      <x:c r="U179" s="59" t="str">
        <x:f>IF($O179="","",--($O179=1))</x:f>
      </x:c>
      <x:c r="V179" s="59" t="n">
        <x:f>--(AND($I179&lt;&gt;"",$J179&lt;&gt;""))</x:f>
        <x:v>0</x:v>
      </x:c>
    </x:row>
    <x:row r="180">
      <x:c r="A180" s="21" t="str">
        <x:f>INDEX(Config!$B$10:$B$16,INT((ROW()-5)/104)+1)</x:f>
        <x:v>Leo C.</x:v>
      </x:c>
      <x:c r="B180" s="21" t="str">
        <x:v>GL6</x:v>
      </x:c>
      <x:c r="C180" s="21" t="n">
        <x:v>72</x:v>
      </x:c>
      <x:c r="D180" s="21" t="str">
        <x:v>Grupo L</x:v>
      </x:c>
      <x:c r="E180" s="21" t="str">
        <x:v>2026-06-27</x:v>
      </x:c>
      <x:c r="F180" s="21" t="str">
        <x:f>IFERROR(INDEX('Resultados'!$G$5:$G$108,MATCH($B180,'Resultados'!$A$5:$A$108,0)),"")</x:f>
        <x:v>Croácia</x:v>
      </x:c>
      <x:c r="G180" s="21" t="str">
        <x:f>IFERROR(INDEX('Resultados'!$J$5:$J$108,MATCH($B180,'Resultados'!$A$5:$A$108,0)),"")</x:f>
        <x:v>Gana</x:v>
      </x:c>
      <x:c r="H180" s="21" t="str">
        <x:v>Não</x:v>
      </x:c>
      <x:c r="I180" s="22"/>
      <x:c r="J180" s="22"/>
      <x:c r="K180" s="23"/>
      <x:c r="L180" s="21" t="str">
        <x:f>IFERROR(INDEX('Resultados'!$H$5:$H$108,MATCH($B180,'Resultados'!$A$5:$A$108,0)),"")</x:f>
      </x:c>
      <x:c r="M180" s="21" t="str">
        <x:f>IFERROR(INDEX('Resultados'!$I$5:$I$108,MATCH($B180,'Resultados'!$A$5:$A$108,0)),"")</x:f>
      </x:c>
      <x:c r="N180" s="21" t="str">
        <x:f>IFERROR(INDEX('Resultados'!$L$5:$L$108,MATCH($B180,'Resultados'!$A$5:$A$108,0)),"")</x:f>
      </x:c>
      <x:c r="O180" s="59" t="str">
        <x:f>IF(OR($I180="",$J180="",$L180="",$M180=""),"",IF(AND($H180="Sim",$L180=$M180),IF($I180&lt;&gt;$J180,0,IF(AND($I180=$L180,$J180=$M180),2,1)),IF(AND($I180=$L180,$J180=$M180),3,IF(AND($I180&lt;&gt;$J180,$I180=$M180,$J180=$L180),-2,IF(SIGN($I180-$J180)=SIGN($L180-$M180),1,0)))))</x:f>
      </x:c>
      <x:c r="P180" s="59" t="str">
        <x:f>IF(OR($H180&lt;&gt;"Sim",$I180="",$J180="",$L180="",$M180=""),"",IF(AND(IF($I180&gt;$J180,$F180,IF($I180&lt;$J180,$G180,$K180))&lt;&gt;"",IF($L180&gt;$M180,$F180,IF($L180&lt;$M180,$G180,$N180))&lt;&gt;"",IF($I180&gt;$J180,$F180,IF($I180&lt;$J180,$G180,$K180))=IF($L180&gt;$M180,$F180,IF($L180&lt;$M180,$G180,$N180))),1,0))</x:f>
      </x:c>
      <x:c r="Q180" s="59" t="str">
        <x:f>IF($O180="","",$O180+$P180)</x:f>
      </x:c>
      <x:c r="R180" s="59" t="str">
        <x:f>IF($Q180="","",IF($O180=3,"Cravada",IF(AND($H180="Sim",$L180=$M180,$I180=$J180,$O180=2),"Empate cravado",IF($O180=1,"Resultado certo",IF($O180=-2,"Invertida",IF($P180=1,"Acertou quem passa","Erro"))))))</x:f>
      </x:c>
      <x:c r="S180" s="59" t="str">
        <x:f>IF($O180="","",--(OR($O180=3,AND($H180="Sim",$L180=$M180,$I180=$J180,$O180=2))))</x:f>
      </x:c>
      <x:c r="T180" s="59" t="str">
        <x:f>IF($O180="","",--($O180=-2))</x:f>
      </x:c>
      <x:c r="U180" s="59" t="str">
        <x:f>IF($O180="","",--($O180=1))</x:f>
      </x:c>
      <x:c r="V180" s="59" t="n">
        <x:f>--(AND($I180&lt;&gt;"",$J180&lt;&gt;""))</x:f>
        <x:v>0</x:v>
      </x:c>
    </x:row>
    <x:row r="181">
      <x:c r="A181" s="21" t="str">
        <x:f>INDEX(Config!$B$10:$B$16,INT((ROW()-5)/104)+1)</x:f>
        <x:v>Leo C.</x:v>
      </x:c>
      <x:c r="B181" s="21" t="str">
        <x:v>R32_01</x:v>
      </x:c>
      <x:c r="C181" s="21" t="n">
        <x:v>73</x:v>
      </x:c>
      <x:c r="D181" s="21" t="str">
        <x:v>16-avos de final</x:v>
      </x:c>
      <x:c r="E181" s="21" t="str">
        <x:v>2026-06-28</x:v>
      </x:c>
      <x:c r="F181" s="21" t="str">
        <x:f>IFERROR(INDEX('Resultados'!$G$5:$G$108,MATCH($B181,'Resultados'!$A$5:$A$108,0)),"")</x:f>
        <x:v>2º Grupo A</x:v>
      </x:c>
      <x:c r="G181" s="21" t="str">
        <x:f>IFERROR(INDEX('Resultados'!$J$5:$J$108,MATCH($B181,'Resultados'!$A$5:$A$108,0)),"")</x:f>
        <x:v>2º Grupo B</x:v>
      </x:c>
      <x:c r="H181" s="21" t="str">
        <x:v>Sim</x:v>
      </x:c>
      <x:c r="I181" s="22"/>
      <x:c r="J181" s="22"/>
      <x:c r="K181" s="23"/>
      <x:c r="L181" s="21" t="str">
        <x:f>IFERROR(INDEX('Resultados'!$H$5:$H$108,MATCH($B181,'Resultados'!$A$5:$A$108,0)),"")</x:f>
      </x:c>
      <x:c r="M181" s="21" t="str">
        <x:f>IFERROR(INDEX('Resultados'!$I$5:$I$108,MATCH($B181,'Resultados'!$A$5:$A$108,0)),"")</x:f>
      </x:c>
      <x:c r="N181" s="21" t="str">
        <x:f>IFERROR(INDEX('Resultados'!$L$5:$L$108,MATCH($B181,'Resultados'!$A$5:$A$108,0)),"")</x:f>
      </x:c>
      <x:c r="O181" s="59" t="str">
        <x:f>IF(OR($I181="",$J181="",$L181="",$M181=""),"",IF(AND($H181="Sim",$L181=$M181),IF($I181&lt;&gt;$J181,0,IF(AND($I181=$L181,$J181=$M181),2,1)),IF(AND($I181=$L181,$J181=$M181),3,IF(AND($I181&lt;&gt;$J181,$I181=$M181,$J181=$L181),-2,IF(SIGN($I181-$J181)=SIGN($L181-$M181),1,0)))))</x:f>
      </x:c>
      <x:c r="P181" s="59" t="str">
        <x:f>IF(OR($H181&lt;&gt;"Sim",$I181="",$J181="",$L181="",$M181=""),"",IF(AND(IF($I181&gt;$J181,$F181,IF($I181&lt;$J181,$G181,$K181))&lt;&gt;"",IF($L181&gt;$M181,$F181,IF($L181&lt;$M181,$G181,$N181))&lt;&gt;"",IF($I181&gt;$J181,$F181,IF($I181&lt;$J181,$G181,$K181))=IF($L181&gt;$M181,$F181,IF($L181&lt;$M181,$G181,$N181))),1,0))</x:f>
      </x:c>
      <x:c r="Q181" s="59" t="str">
        <x:f>IF($O181="","",$O181+$P181)</x:f>
      </x:c>
      <x:c r="R181" s="59" t="str">
        <x:f>IF($Q181="","",IF($O181=3,"Cravada",IF(AND($H181="Sim",$L181=$M181,$I181=$J181,$O181=2),"Empate cravado",IF($O181=1,"Resultado certo",IF($O181=-2,"Invertida",IF($P181=1,"Acertou quem passa","Erro"))))))</x:f>
      </x:c>
      <x:c r="S181" s="59" t="str">
        <x:f>IF($O181="","",--(OR($O181=3,AND($H181="Sim",$L181=$M181,$I181=$J181,$O181=2))))</x:f>
      </x:c>
      <x:c r="T181" s="59" t="str">
        <x:f>IF($O181="","",--($O181=-2))</x:f>
      </x:c>
      <x:c r="U181" s="59" t="str">
        <x:f>IF($O181="","",--($O181=1))</x:f>
      </x:c>
      <x:c r="V181" s="59" t="n">
        <x:f>--(AND($I181&lt;&gt;"",$J181&lt;&gt;""))</x:f>
        <x:v>0</x:v>
      </x:c>
    </x:row>
    <x:row r="182">
      <x:c r="A182" s="21" t="str">
        <x:f>INDEX(Config!$B$10:$B$16,INT((ROW()-5)/104)+1)</x:f>
        <x:v>Leo C.</x:v>
      </x:c>
      <x:c r="B182" s="21" t="str">
        <x:v>R32_02</x:v>
      </x:c>
      <x:c r="C182" s="21" t="n">
        <x:v>74</x:v>
      </x:c>
      <x:c r="D182" s="21" t="str">
        <x:v>16-avos de final</x:v>
      </x:c>
      <x:c r="E182" s="21" t="str">
        <x:v>2026-06-29</x:v>
      </x:c>
      <x:c r="F182" s="21" t="str">
        <x:f>IFERROR(INDEX('Resultados'!$G$5:$G$108,MATCH($B182,'Resultados'!$A$5:$A$108,0)),"")</x:f>
        <x:v>1º Grupo E</x:v>
      </x:c>
      <x:c r="G182" s="21" t="str">
        <x:f>IFERROR(INDEX('Resultados'!$J$5:$J$108,MATCH($B182,'Resultados'!$A$5:$A$108,0)),"")</x:f>
        <x:v>3º A/B/C/D/F</x:v>
      </x:c>
      <x:c r="H182" s="21" t="str">
        <x:v>Sim</x:v>
      </x:c>
      <x:c r="I182" s="22"/>
      <x:c r="J182" s="22"/>
      <x:c r="K182" s="23"/>
      <x:c r="L182" s="21" t="str">
        <x:f>IFERROR(INDEX('Resultados'!$H$5:$H$108,MATCH($B182,'Resultados'!$A$5:$A$108,0)),"")</x:f>
      </x:c>
      <x:c r="M182" s="21" t="str">
        <x:f>IFERROR(INDEX('Resultados'!$I$5:$I$108,MATCH($B182,'Resultados'!$A$5:$A$108,0)),"")</x:f>
      </x:c>
      <x:c r="N182" s="21" t="str">
        <x:f>IFERROR(INDEX('Resultados'!$L$5:$L$108,MATCH($B182,'Resultados'!$A$5:$A$108,0)),"")</x:f>
      </x:c>
      <x:c r="O182" s="59" t="str">
        <x:f>IF(OR($I182="",$J182="",$L182="",$M182=""),"",IF(AND($H182="Sim",$L182=$M182),IF($I182&lt;&gt;$J182,0,IF(AND($I182=$L182,$J182=$M182),2,1)),IF(AND($I182=$L182,$J182=$M182),3,IF(AND($I182&lt;&gt;$J182,$I182=$M182,$J182=$L182),-2,IF(SIGN($I182-$J182)=SIGN($L182-$M182),1,0)))))</x:f>
      </x:c>
      <x:c r="P182" s="59" t="str">
        <x:f>IF(OR($H182&lt;&gt;"Sim",$I182="",$J182="",$L182="",$M182=""),"",IF(AND(IF($I182&gt;$J182,$F182,IF($I182&lt;$J182,$G182,$K182))&lt;&gt;"",IF($L182&gt;$M182,$F182,IF($L182&lt;$M182,$G182,$N182))&lt;&gt;"",IF($I182&gt;$J182,$F182,IF($I182&lt;$J182,$G182,$K182))=IF($L182&gt;$M182,$F182,IF($L182&lt;$M182,$G182,$N182))),1,0))</x:f>
      </x:c>
      <x:c r="Q182" s="59" t="str">
        <x:f>IF($O182="","",$O182+$P182)</x:f>
      </x:c>
      <x:c r="R182" s="59" t="str">
        <x:f>IF($Q182="","",IF($O182=3,"Cravada",IF(AND($H182="Sim",$L182=$M182,$I182=$J182,$O182=2),"Empate cravado",IF($O182=1,"Resultado certo",IF($O182=-2,"Invertida",IF($P182=1,"Acertou quem passa","Erro"))))))</x:f>
      </x:c>
      <x:c r="S182" s="59" t="str">
        <x:f>IF($O182="","",--(OR($O182=3,AND($H182="Sim",$L182=$M182,$I182=$J182,$O182=2))))</x:f>
      </x:c>
      <x:c r="T182" s="59" t="str">
        <x:f>IF($O182="","",--($O182=-2))</x:f>
      </x:c>
      <x:c r="U182" s="59" t="str">
        <x:f>IF($O182="","",--($O182=1))</x:f>
      </x:c>
      <x:c r="V182" s="59" t="n">
        <x:f>--(AND($I182&lt;&gt;"",$J182&lt;&gt;""))</x:f>
        <x:v>0</x:v>
      </x:c>
    </x:row>
    <x:row r="183">
      <x:c r="A183" s="21" t="str">
        <x:f>INDEX(Config!$B$10:$B$16,INT((ROW()-5)/104)+1)</x:f>
        <x:v>Leo C.</x:v>
      </x:c>
      <x:c r="B183" s="21" t="str">
        <x:v>R32_03</x:v>
      </x:c>
      <x:c r="C183" s="21" t="n">
        <x:v>75</x:v>
      </x:c>
      <x:c r="D183" s="21" t="str">
        <x:v>16-avos de final</x:v>
      </x:c>
      <x:c r="E183" s="21" t="str">
        <x:v>2026-06-29</x:v>
      </x:c>
      <x:c r="F183" s="21" t="str">
        <x:f>IFERROR(INDEX('Resultados'!$G$5:$G$108,MATCH($B183,'Resultados'!$A$5:$A$108,0)),"")</x:f>
        <x:v>1º Grupo F</x:v>
      </x:c>
      <x:c r="G183" s="21" t="str">
        <x:f>IFERROR(INDEX('Resultados'!$J$5:$J$108,MATCH($B183,'Resultados'!$A$5:$A$108,0)),"")</x:f>
        <x:v>2º Grupo C</x:v>
      </x:c>
      <x:c r="H183" s="21" t="str">
        <x:v>Sim</x:v>
      </x:c>
      <x:c r="I183" s="22"/>
      <x:c r="J183" s="22"/>
      <x:c r="K183" s="23"/>
      <x:c r="L183" s="21" t="str">
        <x:f>IFERROR(INDEX('Resultados'!$H$5:$H$108,MATCH($B183,'Resultados'!$A$5:$A$108,0)),"")</x:f>
      </x:c>
      <x:c r="M183" s="21" t="str">
        <x:f>IFERROR(INDEX('Resultados'!$I$5:$I$108,MATCH($B183,'Resultados'!$A$5:$A$108,0)),"")</x:f>
      </x:c>
      <x:c r="N183" s="21" t="str">
        <x:f>IFERROR(INDEX('Resultados'!$L$5:$L$108,MATCH($B183,'Resultados'!$A$5:$A$108,0)),"")</x:f>
      </x:c>
      <x:c r="O183" s="59" t="str">
        <x:f>IF(OR($I183="",$J183="",$L183="",$M183=""),"",IF(AND($H183="Sim",$L183=$M183),IF($I183&lt;&gt;$J183,0,IF(AND($I183=$L183,$J183=$M183),2,1)),IF(AND($I183=$L183,$J183=$M183),3,IF(AND($I183&lt;&gt;$J183,$I183=$M183,$J183=$L183),-2,IF(SIGN($I183-$J183)=SIGN($L183-$M183),1,0)))))</x:f>
      </x:c>
      <x:c r="P183" s="59" t="str">
        <x:f>IF(OR($H183&lt;&gt;"Sim",$I183="",$J183="",$L183="",$M183=""),"",IF(AND(IF($I183&gt;$J183,$F183,IF($I183&lt;$J183,$G183,$K183))&lt;&gt;"",IF($L183&gt;$M183,$F183,IF($L183&lt;$M183,$G183,$N183))&lt;&gt;"",IF($I183&gt;$J183,$F183,IF($I183&lt;$J183,$G183,$K183))=IF($L183&gt;$M183,$F183,IF($L183&lt;$M183,$G183,$N183))),1,0))</x:f>
      </x:c>
      <x:c r="Q183" s="59" t="str">
        <x:f>IF($O183="","",$O183+$P183)</x:f>
      </x:c>
      <x:c r="R183" s="59" t="str">
        <x:f>IF($Q183="","",IF($O183=3,"Cravada",IF(AND($H183="Sim",$L183=$M183,$I183=$J183,$O183=2),"Empate cravado",IF($O183=1,"Resultado certo",IF($O183=-2,"Invertida",IF($P183=1,"Acertou quem passa","Erro"))))))</x:f>
      </x:c>
      <x:c r="S183" s="59" t="str">
        <x:f>IF($O183="","",--(OR($O183=3,AND($H183="Sim",$L183=$M183,$I183=$J183,$O183=2))))</x:f>
      </x:c>
      <x:c r="T183" s="59" t="str">
        <x:f>IF($O183="","",--($O183=-2))</x:f>
      </x:c>
      <x:c r="U183" s="59" t="str">
        <x:f>IF($O183="","",--($O183=1))</x:f>
      </x:c>
      <x:c r="V183" s="59" t="n">
        <x:f>--(AND($I183&lt;&gt;"",$J183&lt;&gt;""))</x:f>
        <x:v>0</x:v>
      </x:c>
    </x:row>
    <x:row r="184">
      <x:c r="A184" s="21" t="str">
        <x:f>INDEX(Config!$B$10:$B$16,INT((ROW()-5)/104)+1)</x:f>
        <x:v>Leo C.</x:v>
      </x:c>
      <x:c r="B184" s="21" t="str">
        <x:v>R32_04</x:v>
      </x:c>
      <x:c r="C184" s="21" t="n">
        <x:v>76</x:v>
      </x:c>
      <x:c r="D184" s="21" t="str">
        <x:v>16-avos de final</x:v>
      </x:c>
      <x:c r="E184" s="21" t="str">
        <x:v>2026-06-29</x:v>
      </x:c>
      <x:c r="F184" s="21" t="str">
        <x:f>IFERROR(INDEX('Resultados'!$G$5:$G$108,MATCH($B184,'Resultados'!$A$5:$A$108,0)),"")</x:f>
        <x:v>1º Grupo C</x:v>
      </x:c>
      <x:c r="G184" s="21" t="str">
        <x:f>IFERROR(INDEX('Resultados'!$J$5:$J$108,MATCH($B184,'Resultados'!$A$5:$A$108,0)),"")</x:f>
        <x:v>2º Grupo F</x:v>
      </x:c>
      <x:c r="H184" s="21" t="str">
        <x:v>Sim</x:v>
      </x:c>
      <x:c r="I184" s="22"/>
      <x:c r="J184" s="22"/>
      <x:c r="K184" s="23"/>
      <x:c r="L184" s="21" t="str">
        <x:f>IFERROR(INDEX('Resultados'!$H$5:$H$108,MATCH($B184,'Resultados'!$A$5:$A$108,0)),"")</x:f>
      </x:c>
      <x:c r="M184" s="21" t="str">
        <x:f>IFERROR(INDEX('Resultados'!$I$5:$I$108,MATCH($B184,'Resultados'!$A$5:$A$108,0)),"")</x:f>
      </x:c>
      <x:c r="N184" s="21" t="str">
        <x:f>IFERROR(INDEX('Resultados'!$L$5:$L$108,MATCH($B184,'Resultados'!$A$5:$A$108,0)),"")</x:f>
      </x:c>
      <x:c r="O184" s="59" t="str">
        <x:f>IF(OR($I184="",$J184="",$L184="",$M184=""),"",IF(AND($H184="Sim",$L184=$M184),IF($I184&lt;&gt;$J184,0,IF(AND($I184=$L184,$J184=$M184),2,1)),IF(AND($I184=$L184,$J184=$M184),3,IF(AND($I184&lt;&gt;$J184,$I184=$M184,$J184=$L184),-2,IF(SIGN($I184-$J184)=SIGN($L184-$M184),1,0)))))</x:f>
      </x:c>
      <x:c r="P184" s="59" t="str">
        <x:f>IF(OR($H184&lt;&gt;"Sim",$I184="",$J184="",$L184="",$M184=""),"",IF(AND(IF($I184&gt;$J184,$F184,IF($I184&lt;$J184,$G184,$K184))&lt;&gt;"",IF($L184&gt;$M184,$F184,IF($L184&lt;$M184,$G184,$N184))&lt;&gt;"",IF($I184&gt;$J184,$F184,IF($I184&lt;$J184,$G184,$K184))=IF($L184&gt;$M184,$F184,IF($L184&lt;$M184,$G184,$N184))),1,0))</x:f>
      </x:c>
      <x:c r="Q184" s="59" t="str">
        <x:f>IF($O184="","",$O184+$P184)</x:f>
      </x:c>
      <x:c r="R184" s="59" t="str">
        <x:f>IF($Q184="","",IF($O184=3,"Cravada",IF(AND($H184="Sim",$L184=$M184,$I184=$J184,$O184=2),"Empate cravado",IF($O184=1,"Resultado certo",IF($O184=-2,"Invertida",IF($P184=1,"Acertou quem passa","Erro"))))))</x:f>
      </x:c>
      <x:c r="S184" s="59" t="str">
        <x:f>IF($O184="","",--(OR($O184=3,AND($H184="Sim",$L184=$M184,$I184=$J184,$O184=2))))</x:f>
      </x:c>
      <x:c r="T184" s="59" t="str">
        <x:f>IF($O184="","",--($O184=-2))</x:f>
      </x:c>
      <x:c r="U184" s="59" t="str">
        <x:f>IF($O184="","",--($O184=1))</x:f>
      </x:c>
      <x:c r="V184" s="59" t="n">
        <x:f>--(AND($I184&lt;&gt;"",$J184&lt;&gt;""))</x:f>
        <x:v>0</x:v>
      </x:c>
    </x:row>
    <x:row r="185">
      <x:c r="A185" s="21" t="str">
        <x:f>INDEX(Config!$B$10:$B$16,INT((ROW()-5)/104)+1)</x:f>
        <x:v>Leo C.</x:v>
      </x:c>
      <x:c r="B185" s="21" t="str">
        <x:v>R32_05</x:v>
      </x:c>
      <x:c r="C185" s="21" t="n">
        <x:v>77</x:v>
      </x:c>
      <x:c r="D185" s="21" t="str">
        <x:v>16-avos de final</x:v>
      </x:c>
      <x:c r="E185" s="21" t="str">
        <x:v>2026-06-30</x:v>
      </x:c>
      <x:c r="F185" s="21" t="str">
        <x:f>IFERROR(INDEX('Resultados'!$G$5:$G$108,MATCH($B185,'Resultados'!$A$5:$A$108,0)),"")</x:f>
        <x:v>1º Grupo I</x:v>
      </x:c>
      <x:c r="G185" s="21" t="str">
        <x:f>IFERROR(INDEX('Resultados'!$J$5:$J$108,MATCH($B185,'Resultados'!$A$5:$A$108,0)),"")</x:f>
        <x:v>3º C/D/F/G/H</x:v>
      </x:c>
      <x:c r="H185" s="21" t="str">
        <x:v>Sim</x:v>
      </x:c>
      <x:c r="I185" s="22"/>
      <x:c r="J185" s="22"/>
      <x:c r="K185" s="23"/>
      <x:c r="L185" s="21" t="str">
        <x:f>IFERROR(INDEX('Resultados'!$H$5:$H$108,MATCH($B185,'Resultados'!$A$5:$A$108,0)),"")</x:f>
      </x:c>
      <x:c r="M185" s="21" t="str">
        <x:f>IFERROR(INDEX('Resultados'!$I$5:$I$108,MATCH($B185,'Resultados'!$A$5:$A$108,0)),"")</x:f>
      </x:c>
      <x:c r="N185" s="21" t="str">
        <x:f>IFERROR(INDEX('Resultados'!$L$5:$L$108,MATCH($B185,'Resultados'!$A$5:$A$108,0)),"")</x:f>
      </x:c>
      <x:c r="O185" s="59" t="str">
        <x:f>IF(OR($I185="",$J185="",$L185="",$M185=""),"",IF(AND($H185="Sim",$L185=$M185),IF($I185&lt;&gt;$J185,0,IF(AND($I185=$L185,$J185=$M185),2,1)),IF(AND($I185=$L185,$J185=$M185),3,IF(AND($I185&lt;&gt;$J185,$I185=$M185,$J185=$L185),-2,IF(SIGN($I185-$J185)=SIGN($L185-$M185),1,0)))))</x:f>
      </x:c>
      <x:c r="P185" s="59" t="str">
        <x:f>IF(OR($H185&lt;&gt;"Sim",$I185="",$J185="",$L185="",$M185=""),"",IF(AND(IF($I185&gt;$J185,$F185,IF($I185&lt;$J185,$G185,$K185))&lt;&gt;"",IF($L185&gt;$M185,$F185,IF($L185&lt;$M185,$G185,$N185))&lt;&gt;"",IF($I185&gt;$J185,$F185,IF($I185&lt;$J185,$G185,$K185))=IF($L185&gt;$M185,$F185,IF($L185&lt;$M185,$G185,$N185))),1,0))</x:f>
      </x:c>
      <x:c r="Q185" s="59" t="str">
        <x:f>IF($O185="","",$O185+$P185)</x:f>
      </x:c>
      <x:c r="R185" s="59" t="str">
        <x:f>IF($Q185="","",IF($O185=3,"Cravada",IF(AND($H185="Sim",$L185=$M185,$I185=$J185,$O185=2),"Empate cravado",IF($O185=1,"Resultado certo",IF($O185=-2,"Invertida",IF($P185=1,"Acertou quem passa","Erro"))))))</x:f>
      </x:c>
      <x:c r="S185" s="59" t="str">
        <x:f>IF($O185="","",--(OR($O185=3,AND($H185="Sim",$L185=$M185,$I185=$J185,$O185=2))))</x:f>
      </x:c>
      <x:c r="T185" s="59" t="str">
        <x:f>IF($O185="","",--($O185=-2))</x:f>
      </x:c>
      <x:c r="U185" s="59" t="str">
        <x:f>IF($O185="","",--($O185=1))</x:f>
      </x:c>
      <x:c r="V185" s="59" t="n">
        <x:f>--(AND($I185&lt;&gt;"",$J185&lt;&gt;""))</x:f>
        <x:v>0</x:v>
      </x:c>
    </x:row>
    <x:row r="186">
      <x:c r="A186" s="21" t="str">
        <x:f>INDEX(Config!$B$10:$B$16,INT((ROW()-5)/104)+1)</x:f>
        <x:v>Leo C.</x:v>
      </x:c>
      <x:c r="B186" s="21" t="str">
        <x:v>R32_06</x:v>
      </x:c>
      <x:c r="C186" s="21" t="n">
        <x:v>78</x:v>
      </x:c>
      <x:c r="D186" s="21" t="str">
        <x:v>16-avos de final</x:v>
      </x:c>
      <x:c r="E186" s="21" t="str">
        <x:v>2026-06-30</x:v>
      </x:c>
      <x:c r="F186" s="21" t="str">
        <x:f>IFERROR(INDEX('Resultados'!$G$5:$G$108,MATCH($B186,'Resultados'!$A$5:$A$108,0)),"")</x:f>
        <x:v>2º Grupo E</x:v>
      </x:c>
      <x:c r="G186" s="21" t="str">
        <x:f>IFERROR(INDEX('Resultados'!$J$5:$J$108,MATCH($B186,'Resultados'!$A$5:$A$108,0)),"")</x:f>
        <x:v>2º Grupo I</x:v>
      </x:c>
      <x:c r="H186" s="21" t="str">
        <x:v>Sim</x:v>
      </x:c>
      <x:c r="I186" s="22"/>
      <x:c r="J186" s="22"/>
      <x:c r="K186" s="23"/>
      <x:c r="L186" s="21" t="str">
        <x:f>IFERROR(INDEX('Resultados'!$H$5:$H$108,MATCH($B186,'Resultados'!$A$5:$A$108,0)),"")</x:f>
      </x:c>
      <x:c r="M186" s="21" t="str">
        <x:f>IFERROR(INDEX('Resultados'!$I$5:$I$108,MATCH($B186,'Resultados'!$A$5:$A$108,0)),"")</x:f>
      </x:c>
      <x:c r="N186" s="21" t="str">
        <x:f>IFERROR(INDEX('Resultados'!$L$5:$L$108,MATCH($B186,'Resultados'!$A$5:$A$108,0)),"")</x:f>
      </x:c>
      <x:c r="O186" s="59" t="str">
        <x:f>IF(OR($I186="",$J186="",$L186="",$M186=""),"",IF(AND($H186="Sim",$L186=$M186),IF($I186&lt;&gt;$J186,0,IF(AND($I186=$L186,$J186=$M186),2,1)),IF(AND($I186=$L186,$J186=$M186),3,IF(AND($I186&lt;&gt;$J186,$I186=$M186,$J186=$L186),-2,IF(SIGN($I186-$J186)=SIGN($L186-$M186),1,0)))))</x:f>
      </x:c>
      <x:c r="P186" s="59" t="str">
        <x:f>IF(OR($H186&lt;&gt;"Sim",$I186="",$J186="",$L186="",$M186=""),"",IF(AND(IF($I186&gt;$J186,$F186,IF($I186&lt;$J186,$G186,$K186))&lt;&gt;"",IF($L186&gt;$M186,$F186,IF($L186&lt;$M186,$G186,$N186))&lt;&gt;"",IF($I186&gt;$J186,$F186,IF($I186&lt;$J186,$G186,$K186))=IF($L186&gt;$M186,$F186,IF($L186&lt;$M186,$G186,$N186))),1,0))</x:f>
      </x:c>
      <x:c r="Q186" s="59" t="str">
        <x:f>IF($O186="","",$O186+$P186)</x:f>
      </x:c>
      <x:c r="R186" s="59" t="str">
        <x:f>IF($Q186="","",IF($O186=3,"Cravada",IF(AND($H186="Sim",$L186=$M186,$I186=$J186,$O186=2),"Empate cravado",IF($O186=1,"Resultado certo",IF($O186=-2,"Invertida",IF($P186=1,"Acertou quem passa","Erro"))))))</x:f>
      </x:c>
      <x:c r="S186" s="59" t="str">
        <x:f>IF($O186="","",--(OR($O186=3,AND($H186="Sim",$L186=$M186,$I186=$J186,$O186=2))))</x:f>
      </x:c>
      <x:c r="T186" s="59" t="str">
        <x:f>IF($O186="","",--($O186=-2))</x:f>
      </x:c>
      <x:c r="U186" s="59" t="str">
        <x:f>IF($O186="","",--($O186=1))</x:f>
      </x:c>
      <x:c r="V186" s="59" t="n">
        <x:f>--(AND($I186&lt;&gt;"",$J186&lt;&gt;""))</x:f>
        <x:v>0</x:v>
      </x:c>
    </x:row>
    <x:row r="187">
      <x:c r="A187" s="21" t="str">
        <x:f>INDEX(Config!$B$10:$B$16,INT((ROW()-5)/104)+1)</x:f>
        <x:v>Leo C.</x:v>
      </x:c>
      <x:c r="B187" s="21" t="str">
        <x:v>R32_07</x:v>
      </x:c>
      <x:c r="C187" s="21" t="n">
        <x:v>79</x:v>
      </x:c>
      <x:c r="D187" s="21" t="str">
        <x:v>16-avos de final</x:v>
      </x:c>
      <x:c r="E187" s="21" t="str">
        <x:v>2026-06-30</x:v>
      </x:c>
      <x:c r="F187" s="21" t="str">
        <x:f>IFERROR(INDEX('Resultados'!$G$5:$G$108,MATCH($B187,'Resultados'!$A$5:$A$108,0)),"")</x:f>
        <x:v>1º Grupo A</x:v>
      </x:c>
      <x:c r="G187" s="21" t="str">
        <x:f>IFERROR(INDEX('Resultados'!$J$5:$J$108,MATCH($B187,'Resultados'!$A$5:$A$108,0)),"")</x:f>
        <x:v>3º C/E/F/H/I</x:v>
      </x:c>
      <x:c r="H187" s="21" t="str">
        <x:v>Sim</x:v>
      </x:c>
      <x:c r="I187" s="22"/>
      <x:c r="J187" s="22"/>
      <x:c r="K187" s="23"/>
      <x:c r="L187" s="21" t="str">
        <x:f>IFERROR(INDEX('Resultados'!$H$5:$H$108,MATCH($B187,'Resultados'!$A$5:$A$108,0)),"")</x:f>
      </x:c>
      <x:c r="M187" s="21" t="str">
        <x:f>IFERROR(INDEX('Resultados'!$I$5:$I$108,MATCH($B187,'Resultados'!$A$5:$A$108,0)),"")</x:f>
      </x:c>
      <x:c r="N187" s="21" t="str">
        <x:f>IFERROR(INDEX('Resultados'!$L$5:$L$108,MATCH($B187,'Resultados'!$A$5:$A$108,0)),"")</x:f>
      </x:c>
      <x:c r="O187" s="59" t="str">
        <x:f>IF(OR($I187="",$J187="",$L187="",$M187=""),"",IF(AND($H187="Sim",$L187=$M187),IF($I187&lt;&gt;$J187,0,IF(AND($I187=$L187,$J187=$M187),2,1)),IF(AND($I187=$L187,$J187=$M187),3,IF(AND($I187&lt;&gt;$J187,$I187=$M187,$J187=$L187),-2,IF(SIGN($I187-$J187)=SIGN($L187-$M187),1,0)))))</x:f>
      </x:c>
      <x:c r="P187" s="59" t="str">
        <x:f>IF(OR($H187&lt;&gt;"Sim",$I187="",$J187="",$L187="",$M187=""),"",IF(AND(IF($I187&gt;$J187,$F187,IF($I187&lt;$J187,$G187,$K187))&lt;&gt;"",IF($L187&gt;$M187,$F187,IF($L187&lt;$M187,$G187,$N187))&lt;&gt;"",IF($I187&gt;$J187,$F187,IF($I187&lt;$J187,$G187,$K187))=IF($L187&gt;$M187,$F187,IF($L187&lt;$M187,$G187,$N187))),1,0))</x:f>
      </x:c>
      <x:c r="Q187" s="59" t="str">
        <x:f>IF($O187="","",$O187+$P187)</x:f>
      </x:c>
      <x:c r="R187" s="59" t="str">
        <x:f>IF($Q187="","",IF($O187=3,"Cravada",IF(AND($H187="Sim",$L187=$M187,$I187=$J187,$O187=2),"Empate cravado",IF($O187=1,"Resultado certo",IF($O187=-2,"Invertida",IF($P187=1,"Acertou quem passa","Erro"))))))</x:f>
      </x:c>
      <x:c r="S187" s="59" t="str">
        <x:f>IF($O187="","",--(OR($O187=3,AND($H187="Sim",$L187=$M187,$I187=$J187,$O187=2))))</x:f>
      </x:c>
      <x:c r="T187" s="59" t="str">
        <x:f>IF($O187="","",--($O187=-2))</x:f>
      </x:c>
      <x:c r="U187" s="59" t="str">
        <x:f>IF($O187="","",--($O187=1))</x:f>
      </x:c>
      <x:c r="V187" s="59" t="n">
        <x:f>--(AND($I187&lt;&gt;"",$J187&lt;&gt;""))</x:f>
        <x:v>0</x:v>
      </x:c>
    </x:row>
    <x:row r="188">
      <x:c r="A188" s="21" t="str">
        <x:f>INDEX(Config!$B$10:$B$16,INT((ROW()-5)/104)+1)</x:f>
        <x:v>Leo C.</x:v>
      </x:c>
      <x:c r="B188" s="21" t="str">
        <x:v>R32_08</x:v>
      </x:c>
      <x:c r="C188" s="21" t="n">
        <x:v>80</x:v>
      </x:c>
      <x:c r="D188" s="21" t="str">
        <x:v>16-avos de final</x:v>
      </x:c>
      <x:c r="E188" s="21" t="str">
        <x:v>2026-07-01</x:v>
      </x:c>
      <x:c r="F188" s="21" t="str">
        <x:f>IFERROR(INDEX('Resultados'!$G$5:$G$108,MATCH($B188,'Resultados'!$A$5:$A$108,0)),"")</x:f>
        <x:v>1º Grupo L</x:v>
      </x:c>
      <x:c r="G188" s="21" t="str">
        <x:f>IFERROR(INDEX('Resultados'!$J$5:$J$108,MATCH($B188,'Resultados'!$A$5:$A$108,0)),"")</x:f>
        <x:v>3º E/H/I/J/K</x:v>
      </x:c>
      <x:c r="H188" s="21" t="str">
        <x:v>Sim</x:v>
      </x:c>
      <x:c r="I188" s="22"/>
      <x:c r="J188" s="22"/>
      <x:c r="K188" s="23"/>
      <x:c r="L188" s="21" t="str">
        <x:f>IFERROR(INDEX('Resultados'!$H$5:$H$108,MATCH($B188,'Resultados'!$A$5:$A$108,0)),"")</x:f>
      </x:c>
      <x:c r="M188" s="21" t="str">
        <x:f>IFERROR(INDEX('Resultados'!$I$5:$I$108,MATCH($B188,'Resultados'!$A$5:$A$108,0)),"")</x:f>
      </x:c>
      <x:c r="N188" s="21" t="str">
        <x:f>IFERROR(INDEX('Resultados'!$L$5:$L$108,MATCH($B188,'Resultados'!$A$5:$A$108,0)),"")</x:f>
      </x:c>
      <x:c r="O188" s="59" t="str">
        <x:f>IF(OR($I188="",$J188="",$L188="",$M188=""),"",IF(AND($H188="Sim",$L188=$M188),IF($I188&lt;&gt;$J188,0,IF(AND($I188=$L188,$J188=$M188),2,1)),IF(AND($I188=$L188,$J188=$M188),3,IF(AND($I188&lt;&gt;$J188,$I188=$M188,$J188=$L188),-2,IF(SIGN($I188-$J188)=SIGN($L188-$M188),1,0)))))</x:f>
      </x:c>
      <x:c r="P188" s="59" t="str">
        <x:f>IF(OR($H188&lt;&gt;"Sim",$I188="",$J188="",$L188="",$M188=""),"",IF(AND(IF($I188&gt;$J188,$F188,IF($I188&lt;$J188,$G188,$K188))&lt;&gt;"",IF($L188&gt;$M188,$F188,IF($L188&lt;$M188,$G188,$N188))&lt;&gt;"",IF($I188&gt;$J188,$F188,IF($I188&lt;$J188,$G188,$K188))=IF($L188&gt;$M188,$F188,IF($L188&lt;$M188,$G188,$N188))),1,0))</x:f>
      </x:c>
      <x:c r="Q188" s="59" t="str">
        <x:f>IF($O188="","",$O188+$P188)</x:f>
      </x:c>
      <x:c r="R188" s="59" t="str">
        <x:f>IF($Q188="","",IF($O188=3,"Cravada",IF(AND($H188="Sim",$L188=$M188,$I188=$J188,$O188=2),"Empate cravado",IF($O188=1,"Resultado certo",IF($O188=-2,"Invertida",IF($P188=1,"Acertou quem passa","Erro"))))))</x:f>
      </x:c>
      <x:c r="S188" s="59" t="str">
        <x:f>IF($O188="","",--(OR($O188=3,AND($H188="Sim",$L188=$M188,$I188=$J188,$O188=2))))</x:f>
      </x:c>
      <x:c r="T188" s="59" t="str">
        <x:f>IF($O188="","",--($O188=-2))</x:f>
      </x:c>
      <x:c r="U188" s="59" t="str">
        <x:f>IF($O188="","",--($O188=1))</x:f>
      </x:c>
      <x:c r="V188" s="59" t="n">
        <x:f>--(AND($I188&lt;&gt;"",$J188&lt;&gt;""))</x:f>
        <x:v>0</x:v>
      </x:c>
    </x:row>
    <x:row r="189">
      <x:c r="A189" s="21" t="str">
        <x:f>INDEX(Config!$B$10:$B$16,INT((ROW()-5)/104)+1)</x:f>
        <x:v>Leo C.</x:v>
      </x:c>
      <x:c r="B189" s="21" t="str">
        <x:v>R32_09</x:v>
      </x:c>
      <x:c r="C189" s="21" t="n">
        <x:v>81</x:v>
      </x:c>
      <x:c r="D189" s="21" t="str">
        <x:v>16-avos de final</x:v>
      </x:c>
      <x:c r="E189" s="21" t="str">
        <x:v>2026-07-01</x:v>
      </x:c>
      <x:c r="F189" s="21" t="str">
        <x:f>IFERROR(INDEX('Resultados'!$G$5:$G$108,MATCH($B189,'Resultados'!$A$5:$A$108,0)),"")</x:f>
        <x:v>1º Grupo D</x:v>
      </x:c>
      <x:c r="G189" s="21" t="str">
        <x:f>IFERROR(INDEX('Resultados'!$J$5:$J$108,MATCH($B189,'Resultados'!$A$5:$A$108,0)),"")</x:f>
        <x:v>3º B/E/F/I/J</x:v>
      </x:c>
      <x:c r="H189" s="21" t="str">
        <x:v>Sim</x:v>
      </x:c>
      <x:c r="I189" s="22"/>
      <x:c r="J189" s="22"/>
      <x:c r="K189" s="23"/>
      <x:c r="L189" s="21" t="str">
        <x:f>IFERROR(INDEX('Resultados'!$H$5:$H$108,MATCH($B189,'Resultados'!$A$5:$A$108,0)),"")</x:f>
      </x:c>
      <x:c r="M189" s="21" t="str">
        <x:f>IFERROR(INDEX('Resultados'!$I$5:$I$108,MATCH($B189,'Resultados'!$A$5:$A$108,0)),"")</x:f>
      </x:c>
      <x:c r="N189" s="21" t="str">
        <x:f>IFERROR(INDEX('Resultados'!$L$5:$L$108,MATCH($B189,'Resultados'!$A$5:$A$108,0)),"")</x:f>
      </x:c>
      <x:c r="O189" s="59" t="str">
        <x:f>IF(OR($I189="",$J189="",$L189="",$M189=""),"",IF(AND($H189="Sim",$L189=$M189),IF($I189&lt;&gt;$J189,0,IF(AND($I189=$L189,$J189=$M189),2,1)),IF(AND($I189=$L189,$J189=$M189),3,IF(AND($I189&lt;&gt;$J189,$I189=$M189,$J189=$L189),-2,IF(SIGN($I189-$J189)=SIGN($L189-$M189),1,0)))))</x:f>
      </x:c>
      <x:c r="P189" s="59" t="str">
        <x:f>IF(OR($H189&lt;&gt;"Sim",$I189="",$J189="",$L189="",$M189=""),"",IF(AND(IF($I189&gt;$J189,$F189,IF($I189&lt;$J189,$G189,$K189))&lt;&gt;"",IF($L189&gt;$M189,$F189,IF($L189&lt;$M189,$G189,$N189))&lt;&gt;"",IF($I189&gt;$J189,$F189,IF($I189&lt;$J189,$G189,$K189))=IF($L189&gt;$M189,$F189,IF($L189&lt;$M189,$G189,$N189))),1,0))</x:f>
      </x:c>
      <x:c r="Q189" s="59" t="str">
        <x:f>IF($O189="","",$O189+$P189)</x:f>
      </x:c>
      <x:c r="R189" s="59" t="str">
        <x:f>IF($Q189="","",IF($O189=3,"Cravada",IF(AND($H189="Sim",$L189=$M189,$I189=$J189,$O189=2),"Empate cravado",IF($O189=1,"Resultado certo",IF($O189=-2,"Invertida",IF($P189=1,"Acertou quem passa","Erro"))))))</x:f>
      </x:c>
      <x:c r="S189" s="59" t="str">
        <x:f>IF($O189="","",--(OR($O189=3,AND($H189="Sim",$L189=$M189,$I189=$J189,$O189=2))))</x:f>
      </x:c>
      <x:c r="T189" s="59" t="str">
        <x:f>IF($O189="","",--($O189=-2))</x:f>
      </x:c>
      <x:c r="U189" s="59" t="str">
        <x:f>IF($O189="","",--($O189=1))</x:f>
      </x:c>
      <x:c r="V189" s="59" t="n">
        <x:f>--(AND($I189&lt;&gt;"",$J189&lt;&gt;""))</x:f>
        <x:v>0</x:v>
      </x:c>
    </x:row>
    <x:row r="190">
      <x:c r="A190" s="21" t="str">
        <x:f>INDEX(Config!$B$10:$B$16,INT((ROW()-5)/104)+1)</x:f>
        <x:v>Leo C.</x:v>
      </x:c>
      <x:c r="B190" s="21" t="str">
        <x:v>R32_10</x:v>
      </x:c>
      <x:c r="C190" s="21" t="n">
        <x:v>82</x:v>
      </x:c>
      <x:c r="D190" s="21" t="str">
        <x:v>16-avos de final</x:v>
      </x:c>
      <x:c r="E190" s="21" t="str">
        <x:v>2026-07-01</x:v>
      </x:c>
      <x:c r="F190" s="21" t="str">
        <x:f>IFERROR(INDEX('Resultados'!$G$5:$G$108,MATCH($B190,'Resultados'!$A$5:$A$108,0)),"")</x:f>
        <x:v>1º Grupo G</x:v>
      </x:c>
      <x:c r="G190" s="21" t="str">
        <x:f>IFERROR(INDEX('Resultados'!$J$5:$J$108,MATCH($B190,'Resultados'!$A$5:$A$108,0)),"")</x:f>
        <x:v>3º A/E/H/I/J</x:v>
      </x:c>
      <x:c r="H190" s="21" t="str">
        <x:v>Sim</x:v>
      </x:c>
      <x:c r="I190" s="22"/>
      <x:c r="J190" s="22"/>
      <x:c r="K190" s="23"/>
      <x:c r="L190" s="21" t="str">
        <x:f>IFERROR(INDEX('Resultados'!$H$5:$H$108,MATCH($B190,'Resultados'!$A$5:$A$108,0)),"")</x:f>
      </x:c>
      <x:c r="M190" s="21" t="str">
        <x:f>IFERROR(INDEX('Resultados'!$I$5:$I$108,MATCH($B190,'Resultados'!$A$5:$A$108,0)),"")</x:f>
      </x:c>
      <x:c r="N190" s="21" t="str">
        <x:f>IFERROR(INDEX('Resultados'!$L$5:$L$108,MATCH($B190,'Resultados'!$A$5:$A$108,0)),"")</x:f>
      </x:c>
      <x:c r="O190" s="59" t="str">
        <x:f>IF(OR($I190="",$J190="",$L190="",$M190=""),"",IF(AND($H190="Sim",$L190=$M190),IF($I190&lt;&gt;$J190,0,IF(AND($I190=$L190,$J190=$M190),2,1)),IF(AND($I190=$L190,$J190=$M190),3,IF(AND($I190&lt;&gt;$J190,$I190=$M190,$J190=$L190),-2,IF(SIGN($I190-$J190)=SIGN($L190-$M190),1,0)))))</x:f>
      </x:c>
      <x:c r="P190" s="59" t="str">
        <x:f>IF(OR($H190&lt;&gt;"Sim",$I190="",$J190="",$L190="",$M190=""),"",IF(AND(IF($I190&gt;$J190,$F190,IF($I190&lt;$J190,$G190,$K190))&lt;&gt;"",IF($L190&gt;$M190,$F190,IF($L190&lt;$M190,$G190,$N190))&lt;&gt;"",IF($I190&gt;$J190,$F190,IF($I190&lt;$J190,$G190,$K190))=IF($L190&gt;$M190,$F190,IF($L190&lt;$M190,$G190,$N190))),1,0))</x:f>
      </x:c>
      <x:c r="Q190" s="59" t="str">
        <x:f>IF($O190="","",$O190+$P190)</x:f>
      </x:c>
      <x:c r="R190" s="59" t="str">
        <x:f>IF($Q190="","",IF($O190=3,"Cravada",IF(AND($H190="Sim",$L190=$M190,$I190=$J190,$O190=2),"Empate cravado",IF($O190=1,"Resultado certo",IF($O190=-2,"Invertida",IF($P190=1,"Acertou quem passa","Erro"))))))</x:f>
      </x:c>
      <x:c r="S190" s="59" t="str">
        <x:f>IF($O190="","",--(OR($O190=3,AND($H190="Sim",$L190=$M190,$I190=$J190,$O190=2))))</x:f>
      </x:c>
      <x:c r="T190" s="59" t="str">
        <x:f>IF($O190="","",--($O190=-2))</x:f>
      </x:c>
      <x:c r="U190" s="59" t="str">
        <x:f>IF($O190="","",--($O190=1))</x:f>
      </x:c>
      <x:c r="V190" s="59" t="n">
        <x:f>--(AND($I190&lt;&gt;"",$J190&lt;&gt;""))</x:f>
        <x:v>0</x:v>
      </x:c>
    </x:row>
    <x:row r="191">
      <x:c r="A191" s="21" t="str">
        <x:f>INDEX(Config!$B$10:$B$16,INT((ROW()-5)/104)+1)</x:f>
        <x:v>Leo C.</x:v>
      </x:c>
      <x:c r="B191" s="21" t="str">
        <x:v>R32_11</x:v>
      </x:c>
      <x:c r="C191" s="21" t="n">
        <x:v>83</x:v>
      </x:c>
      <x:c r="D191" s="21" t="str">
        <x:v>16-avos de final</x:v>
      </x:c>
      <x:c r="E191" s="21" t="str">
        <x:v>2026-07-02</x:v>
      </x:c>
      <x:c r="F191" s="21" t="str">
        <x:f>IFERROR(INDEX('Resultados'!$G$5:$G$108,MATCH($B191,'Resultados'!$A$5:$A$108,0)),"")</x:f>
        <x:v>2º Grupo K</x:v>
      </x:c>
      <x:c r="G191" s="21" t="str">
        <x:f>IFERROR(INDEX('Resultados'!$J$5:$J$108,MATCH($B191,'Resultados'!$A$5:$A$108,0)),"")</x:f>
        <x:v>2º Grupo L</x:v>
      </x:c>
      <x:c r="H191" s="21" t="str">
        <x:v>Sim</x:v>
      </x:c>
      <x:c r="I191" s="22"/>
      <x:c r="J191" s="22"/>
      <x:c r="K191" s="23"/>
      <x:c r="L191" s="21" t="str">
        <x:f>IFERROR(INDEX('Resultados'!$H$5:$H$108,MATCH($B191,'Resultados'!$A$5:$A$108,0)),"")</x:f>
      </x:c>
      <x:c r="M191" s="21" t="str">
        <x:f>IFERROR(INDEX('Resultados'!$I$5:$I$108,MATCH($B191,'Resultados'!$A$5:$A$108,0)),"")</x:f>
      </x:c>
      <x:c r="N191" s="21" t="str">
        <x:f>IFERROR(INDEX('Resultados'!$L$5:$L$108,MATCH($B191,'Resultados'!$A$5:$A$108,0)),"")</x:f>
      </x:c>
      <x:c r="O191" s="59" t="str">
        <x:f>IF(OR($I191="",$J191="",$L191="",$M191=""),"",IF(AND($H191="Sim",$L191=$M191),IF($I191&lt;&gt;$J191,0,IF(AND($I191=$L191,$J191=$M191),2,1)),IF(AND($I191=$L191,$J191=$M191),3,IF(AND($I191&lt;&gt;$J191,$I191=$M191,$J191=$L191),-2,IF(SIGN($I191-$J191)=SIGN($L191-$M191),1,0)))))</x:f>
      </x:c>
      <x:c r="P191" s="59" t="str">
        <x:f>IF(OR($H191&lt;&gt;"Sim",$I191="",$J191="",$L191="",$M191=""),"",IF(AND(IF($I191&gt;$J191,$F191,IF($I191&lt;$J191,$G191,$K191))&lt;&gt;"",IF($L191&gt;$M191,$F191,IF($L191&lt;$M191,$G191,$N191))&lt;&gt;"",IF($I191&gt;$J191,$F191,IF($I191&lt;$J191,$G191,$K191))=IF($L191&gt;$M191,$F191,IF($L191&lt;$M191,$G191,$N191))),1,0))</x:f>
      </x:c>
      <x:c r="Q191" s="59" t="str">
        <x:f>IF($O191="","",$O191+$P191)</x:f>
      </x:c>
      <x:c r="R191" s="59" t="str">
        <x:f>IF($Q191="","",IF($O191=3,"Cravada",IF(AND($H191="Sim",$L191=$M191,$I191=$J191,$O191=2),"Empate cravado",IF($O191=1,"Resultado certo",IF($O191=-2,"Invertida",IF($P191=1,"Acertou quem passa","Erro"))))))</x:f>
      </x:c>
      <x:c r="S191" s="59" t="str">
        <x:f>IF($O191="","",--(OR($O191=3,AND($H191="Sim",$L191=$M191,$I191=$J191,$O191=2))))</x:f>
      </x:c>
      <x:c r="T191" s="59" t="str">
        <x:f>IF($O191="","",--($O191=-2))</x:f>
      </x:c>
      <x:c r="U191" s="59" t="str">
        <x:f>IF($O191="","",--($O191=1))</x:f>
      </x:c>
      <x:c r="V191" s="59" t="n">
        <x:f>--(AND($I191&lt;&gt;"",$J191&lt;&gt;""))</x:f>
        <x:v>0</x:v>
      </x:c>
    </x:row>
    <x:row r="192">
      <x:c r="A192" s="21" t="str">
        <x:f>INDEX(Config!$B$10:$B$16,INT((ROW()-5)/104)+1)</x:f>
        <x:v>Leo C.</x:v>
      </x:c>
      <x:c r="B192" s="21" t="str">
        <x:v>R32_12</x:v>
      </x:c>
      <x:c r="C192" s="21" t="n">
        <x:v>84</x:v>
      </x:c>
      <x:c r="D192" s="21" t="str">
        <x:v>16-avos de final</x:v>
      </x:c>
      <x:c r="E192" s="21" t="str">
        <x:v>2026-07-02</x:v>
      </x:c>
      <x:c r="F192" s="21" t="str">
        <x:f>IFERROR(INDEX('Resultados'!$G$5:$G$108,MATCH($B192,'Resultados'!$A$5:$A$108,0)),"")</x:f>
        <x:v>1º Grupo H</x:v>
      </x:c>
      <x:c r="G192" s="21" t="str">
        <x:f>IFERROR(INDEX('Resultados'!$J$5:$J$108,MATCH($B192,'Resultados'!$A$5:$A$108,0)),"")</x:f>
        <x:v>2º Grupo J</x:v>
      </x:c>
      <x:c r="H192" s="21" t="str">
        <x:v>Sim</x:v>
      </x:c>
      <x:c r="I192" s="22"/>
      <x:c r="J192" s="22"/>
      <x:c r="K192" s="23"/>
      <x:c r="L192" s="21" t="str">
        <x:f>IFERROR(INDEX('Resultados'!$H$5:$H$108,MATCH($B192,'Resultados'!$A$5:$A$108,0)),"")</x:f>
      </x:c>
      <x:c r="M192" s="21" t="str">
        <x:f>IFERROR(INDEX('Resultados'!$I$5:$I$108,MATCH($B192,'Resultados'!$A$5:$A$108,0)),"")</x:f>
      </x:c>
      <x:c r="N192" s="21" t="str">
        <x:f>IFERROR(INDEX('Resultados'!$L$5:$L$108,MATCH($B192,'Resultados'!$A$5:$A$108,0)),"")</x:f>
      </x:c>
      <x:c r="O192" s="59" t="str">
        <x:f>IF(OR($I192="",$J192="",$L192="",$M192=""),"",IF(AND($H192="Sim",$L192=$M192),IF($I192&lt;&gt;$J192,0,IF(AND($I192=$L192,$J192=$M192),2,1)),IF(AND($I192=$L192,$J192=$M192),3,IF(AND($I192&lt;&gt;$J192,$I192=$M192,$J192=$L192),-2,IF(SIGN($I192-$J192)=SIGN($L192-$M192),1,0)))))</x:f>
      </x:c>
      <x:c r="P192" s="59" t="str">
        <x:f>IF(OR($H192&lt;&gt;"Sim",$I192="",$J192="",$L192="",$M192=""),"",IF(AND(IF($I192&gt;$J192,$F192,IF($I192&lt;$J192,$G192,$K192))&lt;&gt;"",IF($L192&gt;$M192,$F192,IF($L192&lt;$M192,$G192,$N192))&lt;&gt;"",IF($I192&gt;$J192,$F192,IF($I192&lt;$J192,$G192,$K192))=IF($L192&gt;$M192,$F192,IF($L192&lt;$M192,$G192,$N192))),1,0))</x:f>
      </x:c>
      <x:c r="Q192" s="59" t="str">
        <x:f>IF($O192="","",$O192+$P192)</x:f>
      </x:c>
      <x:c r="R192" s="59" t="str">
        <x:f>IF($Q192="","",IF($O192=3,"Cravada",IF(AND($H192="Sim",$L192=$M192,$I192=$J192,$O192=2),"Empate cravado",IF($O192=1,"Resultado certo",IF($O192=-2,"Invertida",IF($P192=1,"Acertou quem passa","Erro"))))))</x:f>
      </x:c>
      <x:c r="S192" s="59" t="str">
        <x:f>IF($O192="","",--(OR($O192=3,AND($H192="Sim",$L192=$M192,$I192=$J192,$O192=2))))</x:f>
      </x:c>
      <x:c r="T192" s="59" t="str">
        <x:f>IF($O192="","",--($O192=-2))</x:f>
      </x:c>
      <x:c r="U192" s="59" t="str">
        <x:f>IF($O192="","",--($O192=1))</x:f>
      </x:c>
      <x:c r="V192" s="59" t="n">
        <x:f>--(AND($I192&lt;&gt;"",$J192&lt;&gt;""))</x:f>
        <x:v>0</x:v>
      </x:c>
    </x:row>
    <x:row r="193">
      <x:c r="A193" s="21" t="str">
        <x:f>INDEX(Config!$B$10:$B$16,INT((ROW()-5)/104)+1)</x:f>
        <x:v>Leo C.</x:v>
      </x:c>
      <x:c r="B193" s="21" t="str">
        <x:v>R32_13</x:v>
      </x:c>
      <x:c r="C193" s="21" t="n">
        <x:v>85</x:v>
      </x:c>
      <x:c r="D193" s="21" t="str">
        <x:v>16-avos de final</x:v>
      </x:c>
      <x:c r="E193" s="21" t="str">
        <x:v>2026-07-03</x:v>
      </x:c>
      <x:c r="F193" s="21" t="str">
        <x:f>IFERROR(INDEX('Resultados'!$G$5:$G$108,MATCH($B193,'Resultados'!$A$5:$A$108,0)),"")</x:f>
        <x:v>1º Grupo B</x:v>
      </x:c>
      <x:c r="G193" s="21" t="str">
        <x:f>IFERROR(INDEX('Resultados'!$J$5:$J$108,MATCH($B193,'Resultados'!$A$5:$A$108,0)),"")</x:f>
        <x:v>3º E/F/G/I/J</x:v>
      </x:c>
      <x:c r="H193" s="21" t="str">
        <x:v>Sim</x:v>
      </x:c>
      <x:c r="I193" s="22"/>
      <x:c r="J193" s="22"/>
      <x:c r="K193" s="23"/>
      <x:c r="L193" s="21" t="str">
        <x:f>IFERROR(INDEX('Resultados'!$H$5:$H$108,MATCH($B193,'Resultados'!$A$5:$A$108,0)),"")</x:f>
      </x:c>
      <x:c r="M193" s="21" t="str">
        <x:f>IFERROR(INDEX('Resultados'!$I$5:$I$108,MATCH($B193,'Resultados'!$A$5:$A$108,0)),"")</x:f>
      </x:c>
      <x:c r="N193" s="21" t="str">
        <x:f>IFERROR(INDEX('Resultados'!$L$5:$L$108,MATCH($B193,'Resultados'!$A$5:$A$108,0)),"")</x:f>
      </x:c>
      <x:c r="O193" s="59" t="str">
        <x:f>IF(OR($I193="",$J193="",$L193="",$M193=""),"",IF(AND($H193="Sim",$L193=$M193),IF($I193&lt;&gt;$J193,0,IF(AND($I193=$L193,$J193=$M193),2,1)),IF(AND($I193=$L193,$J193=$M193),3,IF(AND($I193&lt;&gt;$J193,$I193=$M193,$J193=$L193),-2,IF(SIGN($I193-$J193)=SIGN($L193-$M193),1,0)))))</x:f>
      </x:c>
      <x:c r="P193" s="59" t="str">
        <x:f>IF(OR($H193&lt;&gt;"Sim",$I193="",$J193="",$L193="",$M193=""),"",IF(AND(IF($I193&gt;$J193,$F193,IF($I193&lt;$J193,$G193,$K193))&lt;&gt;"",IF($L193&gt;$M193,$F193,IF($L193&lt;$M193,$G193,$N193))&lt;&gt;"",IF($I193&gt;$J193,$F193,IF($I193&lt;$J193,$G193,$K193))=IF($L193&gt;$M193,$F193,IF($L193&lt;$M193,$G193,$N193))),1,0))</x:f>
      </x:c>
      <x:c r="Q193" s="59" t="str">
        <x:f>IF($O193="","",$O193+$P193)</x:f>
      </x:c>
      <x:c r="R193" s="59" t="str">
        <x:f>IF($Q193="","",IF($O193=3,"Cravada",IF(AND($H193="Sim",$L193=$M193,$I193=$J193,$O193=2),"Empate cravado",IF($O193=1,"Resultado certo",IF($O193=-2,"Invertida",IF($P193=1,"Acertou quem passa","Erro"))))))</x:f>
      </x:c>
      <x:c r="S193" s="59" t="str">
        <x:f>IF($O193="","",--(OR($O193=3,AND($H193="Sim",$L193=$M193,$I193=$J193,$O193=2))))</x:f>
      </x:c>
      <x:c r="T193" s="59" t="str">
        <x:f>IF($O193="","",--($O193=-2))</x:f>
      </x:c>
      <x:c r="U193" s="59" t="str">
        <x:f>IF($O193="","",--($O193=1))</x:f>
      </x:c>
      <x:c r="V193" s="59" t="n">
        <x:f>--(AND($I193&lt;&gt;"",$J193&lt;&gt;""))</x:f>
        <x:v>0</x:v>
      </x:c>
    </x:row>
    <x:row r="194">
      <x:c r="A194" s="21" t="str">
        <x:f>INDEX(Config!$B$10:$B$16,INT((ROW()-5)/104)+1)</x:f>
        <x:v>Leo C.</x:v>
      </x:c>
      <x:c r="B194" s="21" t="str">
        <x:v>R32_14</x:v>
      </x:c>
      <x:c r="C194" s="21" t="n">
        <x:v>86</x:v>
      </x:c>
      <x:c r="D194" s="21" t="str">
        <x:v>16-avos de final</x:v>
      </x:c>
      <x:c r="E194" s="21" t="str">
        <x:v>2026-07-03</x:v>
      </x:c>
      <x:c r="F194" s="21" t="str">
        <x:f>IFERROR(INDEX('Resultados'!$G$5:$G$108,MATCH($B194,'Resultados'!$A$5:$A$108,0)),"")</x:f>
        <x:v>1º Grupo J</x:v>
      </x:c>
      <x:c r="G194" s="21" t="str">
        <x:f>IFERROR(INDEX('Resultados'!$J$5:$J$108,MATCH($B194,'Resultados'!$A$5:$A$108,0)),"")</x:f>
        <x:v>2º Grupo H</x:v>
      </x:c>
      <x:c r="H194" s="21" t="str">
        <x:v>Sim</x:v>
      </x:c>
      <x:c r="I194" s="22"/>
      <x:c r="J194" s="22"/>
      <x:c r="K194" s="23"/>
      <x:c r="L194" s="21" t="str">
        <x:f>IFERROR(INDEX('Resultados'!$H$5:$H$108,MATCH($B194,'Resultados'!$A$5:$A$108,0)),"")</x:f>
      </x:c>
      <x:c r="M194" s="21" t="str">
        <x:f>IFERROR(INDEX('Resultados'!$I$5:$I$108,MATCH($B194,'Resultados'!$A$5:$A$108,0)),"")</x:f>
      </x:c>
      <x:c r="N194" s="21" t="str">
        <x:f>IFERROR(INDEX('Resultados'!$L$5:$L$108,MATCH($B194,'Resultados'!$A$5:$A$108,0)),"")</x:f>
      </x:c>
      <x:c r="O194" s="59" t="str">
        <x:f>IF(OR($I194="",$J194="",$L194="",$M194=""),"",IF(AND($H194="Sim",$L194=$M194),IF($I194&lt;&gt;$J194,0,IF(AND($I194=$L194,$J194=$M194),2,1)),IF(AND($I194=$L194,$J194=$M194),3,IF(AND($I194&lt;&gt;$J194,$I194=$M194,$J194=$L194),-2,IF(SIGN($I194-$J194)=SIGN($L194-$M194),1,0)))))</x:f>
      </x:c>
      <x:c r="P194" s="59" t="str">
        <x:f>IF(OR($H194&lt;&gt;"Sim",$I194="",$J194="",$L194="",$M194=""),"",IF(AND(IF($I194&gt;$J194,$F194,IF($I194&lt;$J194,$G194,$K194))&lt;&gt;"",IF($L194&gt;$M194,$F194,IF($L194&lt;$M194,$G194,$N194))&lt;&gt;"",IF($I194&gt;$J194,$F194,IF($I194&lt;$J194,$G194,$K194))=IF($L194&gt;$M194,$F194,IF($L194&lt;$M194,$G194,$N194))),1,0))</x:f>
      </x:c>
      <x:c r="Q194" s="59" t="str">
        <x:f>IF($O194="","",$O194+$P194)</x:f>
      </x:c>
      <x:c r="R194" s="59" t="str">
        <x:f>IF($Q194="","",IF($O194=3,"Cravada",IF(AND($H194="Sim",$L194=$M194,$I194=$J194,$O194=2),"Empate cravado",IF($O194=1,"Resultado certo",IF($O194=-2,"Invertida",IF($P194=1,"Acertou quem passa","Erro"))))))</x:f>
      </x:c>
      <x:c r="S194" s="59" t="str">
        <x:f>IF($O194="","",--(OR($O194=3,AND($H194="Sim",$L194=$M194,$I194=$J194,$O194=2))))</x:f>
      </x:c>
      <x:c r="T194" s="59" t="str">
        <x:f>IF($O194="","",--($O194=-2))</x:f>
      </x:c>
      <x:c r="U194" s="59" t="str">
        <x:f>IF($O194="","",--($O194=1))</x:f>
      </x:c>
      <x:c r="V194" s="59" t="n">
        <x:f>--(AND($I194&lt;&gt;"",$J194&lt;&gt;""))</x:f>
        <x:v>0</x:v>
      </x:c>
    </x:row>
    <x:row r="195">
      <x:c r="A195" s="21" t="str">
        <x:f>INDEX(Config!$B$10:$B$16,INT((ROW()-5)/104)+1)</x:f>
        <x:v>Leo C.</x:v>
      </x:c>
      <x:c r="B195" s="21" t="str">
        <x:v>R32_15</x:v>
      </x:c>
      <x:c r="C195" s="21" t="n">
        <x:v>87</x:v>
      </x:c>
      <x:c r="D195" s="21" t="str">
        <x:v>16-avos de final</x:v>
      </x:c>
      <x:c r="E195" s="21" t="str">
        <x:v>2026-07-03</x:v>
      </x:c>
      <x:c r="F195" s="21" t="str">
        <x:f>IFERROR(INDEX('Resultados'!$G$5:$G$108,MATCH($B195,'Resultados'!$A$5:$A$108,0)),"")</x:f>
        <x:v>1º Grupo K</x:v>
      </x:c>
      <x:c r="G195" s="21" t="str">
        <x:f>IFERROR(INDEX('Resultados'!$J$5:$J$108,MATCH($B195,'Resultados'!$A$5:$A$108,0)),"")</x:f>
        <x:v>3º D/E/I/J/L</x:v>
      </x:c>
      <x:c r="H195" s="21" t="str">
        <x:v>Sim</x:v>
      </x:c>
      <x:c r="I195" s="22"/>
      <x:c r="J195" s="22"/>
      <x:c r="K195" s="23"/>
      <x:c r="L195" s="21" t="str">
        <x:f>IFERROR(INDEX('Resultados'!$H$5:$H$108,MATCH($B195,'Resultados'!$A$5:$A$108,0)),"")</x:f>
      </x:c>
      <x:c r="M195" s="21" t="str">
        <x:f>IFERROR(INDEX('Resultados'!$I$5:$I$108,MATCH($B195,'Resultados'!$A$5:$A$108,0)),"")</x:f>
      </x:c>
      <x:c r="N195" s="21" t="str">
        <x:f>IFERROR(INDEX('Resultados'!$L$5:$L$108,MATCH($B195,'Resultados'!$A$5:$A$108,0)),"")</x:f>
      </x:c>
      <x:c r="O195" s="59" t="str">
        <x:f>IF(OR($I195="",$J195="",$L195="",$M195=""),"",IF(AND($H195="Sim",$L195=$M195),IF($I195&lt;&gt;$J195,0,IF(AND($I195=$L195,$J195=$M195),2,1)),IF(AND($I195=$L195,$J195=$M195),3,IF(AND($I195&lt;&gt;$J195,$I195=$M195,$J195=$L195),-2,IF(SIGN($I195-$J195)=SIGN($L195-$M195),1,0)))))</x:f>
      </x:c>
      <x:c r="P195" s="59" t="str">
        <x:f>IF(OR($H195&lt;&gt;"Sim",$I195="",$J195="",$L195="",$M195=""),"",IF(AND(IF($I195&gt;$J195,$F195,IF($I195&lt;$J195,$G195,$K195))&lt;&gt;"",IF($L195&gt;$M195,$F195,IF($L195&lt;$M195,$G195,$N195))&lt;&gt;"",IF($I195&gt;$J195,$F195,IF($I195&lt;$J195,$G195,$K195))=IF($L195&gt;$M195,$F195,IF($L195&lt;$M195,$G195,$N195))),1,0))</x:f>
      </x:c>
      <x:c r="Q195" s="59" t="str">
        <x:f>IF($O195="","",$O195+$P195)</x:f>
      </x:c>
      <x:c r="R195" s="59" t="str">
        <x:f>IF($Q195="","",IF($O195=3,"Cravada",IF(AND($H195="Sim",$L195=$M195,$I195=$J195,$O195=2),"Empate cravado",IF($O195=1,"Resultado certo",IF($O195=-2,"Invertida",IF($P195=1,"Acertou quem passa","Erro"))))))</x:f>
      </x:c>
      <x:c r="S195" s="59" t="str">
        <x:f>IF($O195="","",--(OR($O195=3,AND($H195="Sim",$L195=$M195,$I195=$J195,$O195=2))))</x:f>
      </x:c>
      <x:c r="T195" s="59" t="str">
        <x:f>IF($O195="","",--($O195=-2))</x:f>
      </x:c>
      <x:c r="U195" s="59" t="str">
        <x:f>IF($O195="","",--($O195=1))</x:f>
      </x:c>
      <x:c r="V195" s="59" t="n">
        <x:f>--(AND($I195&lt;&gt;"",$J195&lt;&gt;""))</x:f>
        <x:v>0</x:v>
      </x:c>
    </x:row>
    <x:row r="196">
      <x:c r="A196" s="21" t="str">
        <x:f>INDEX(Config!$B$10:$B$16,INT((ROW()-5)/104)+1)</x:f>
        <x:v>Leo C.</x:v>
      </x:c>
      <x:c r="B196" s="21" t="str">
        <x:v>R32_16</x:v>
      </x:c>
      <x:c r="C196" s="21" t="n">
        <x:v>88</x:v>
      </x:c>
      <x:c r="D196" s="21" t="str">
        <x:v>16-avos de final</x:v>
      </x:c>
      <x:c r="E196" s="21" t="str">
        <x:v>2026-07-03</x:v>
      </x:c>
      <x:c r="F196" s="21" t="str">
        <x:f>IFERROR(INDEX('Resultados'!$G$5:$G$108,MATCH($B196,'Resultados'!$A$5:$A$108,0)),"")</x:f>
        <x:v>2º Grupo D</x:v>
      </x:c>
      <x:c r="G196" s="21" t="str">
        <x:f>IFERROR(INDEX('Resultados'!$J$5:$J$108,MATCH($B196,'Resultados'!$A$5:$A$108,0)),"")</x:f>
        <x:v>2º Grupo G</x:v>
      </x:c>
      <x:c r="H196" s="21" t="str">
        <x:v>Sim</x:v>
      </x:c>
      <x:c r="I196" s="22"/>
      <x:c r="J196" s="22"/>
      <x:c r="K196" s="23"/>
      <x:c r="L196" s="21" t="str">
        <x:f>IFERROR(INDEX('Resultados'!$H$5:$H$108,MATCH($B196,'Resultados'!$A$5:$A$108,0)),"")</x:f>
      </x:c>
      <x:c r="M196" s="21" t="str">
        <x:f>IFERROR(INDEX('Resultados'!$I$5:$I$108,MATCH($B196,'Resultados'!$A$5:$A$108,0)),"")</x:f>
      </x:c>
      <x:c r="N196" s="21" t="str">
        <x:f>IFERROR(INDEX('Resultados'!$L$5:$L$108,MATCH($B196,'Resultados'!$A$5:$A$108,0)),"")</x:f>
      </x:c>
      <x:c r="O196" s="59" t="str">
        <x:f>IF(OR($I196="",$J196="",$L196="",$M196=""),"",IF(AND($H196="Sim",$L196=$M196),IF($I196&lt;&gt;$J196,0,IF(AND($I196=$L196,$J196=$M196),2,1)),IF(AND($I196=$L196,$J196=$M196),3,IF(AND($I196&lt;&gt;$J196,$I196=$M196,$J196=$L196),-2,IF(SIGN($I196-$J196)=SIGN($L196-$M196),1,0)))))</x:f>
      </x:c>
      <x:c r="P196" s="59" t="str">
        <x:f>IF(OR($H196&lt;&gt;"Sim",$I196="",$J196="",$L196="",$M196=""),"",IF(AND(IF($I196&gt;$J196,$F196,IF($I196&lt;$J196,$G196,$K196))&lt;&gt;"",IF($L196&gt;$M196,$F196,IF($L196&lt;$M196,$G196,$N196))&lt;&gt;"",IF($I196&gt;$J196,$F196,IF($I196&lt;$J196,$G196,$K196))=IF($L196&gt;$M196,$F196,IF($L196&lt;$M196,$G196,$N196))),1,0))</x:f>
      </x:c>
      <x:c r="Q196" s="59" t="str">
        <x:f>IF($O196="","",$O196+$P196)</x:f>
      </x:c>
      <x:c r="R196" s="59" t="str">
        <x:f>IF($Q196="","",IF($O196=3,"Cravada",IF(AND($H196="Sim",$L196=$M196,$I196=$J196,$O196=2),"Empate cravado",IF($O196=1,"Resultado certo",IF($O196=-2,"Invertida",IF($P196=1,"Acertou quem passa","Erro"))))))</x:f>
      </x:c>
      <x:c r="S196" s="59" t="str">
        <x:f>IF($O196="","",--(OR($O196=3,AND($H196="Sim",$L196=$M196,$I196=$J196,$O196=2))))</x:f>
      </x:c>
      <x:c r="T196" s="59" t="str">
        <x:f>IF($O196="","",--($O196=-2))</x:f>
      </x:c>
      <x:c r="U196" s="59" t="str">
        <x:f>IF($O196="","",--($O196=1))</x:f>
      </x:c>
      <x:c r="V196" s="59" t="n">
        <x:f>--(AND($I196&lt;&gt;"",$J196&lt;&gt;""))</x:f>
        <x:v>0</x:v>
      </x:c>
    </x:row>
    <x:row r="197">
      <x:c r="A197" s="21" t="str">
        <x:f>INDEX(Config!$B$10:$B$16,INT((ROW()-5)/104)+1)</x:f>
        <x:v>Leo C.</x:v>
      </x:c>
      <x:c r="B197" s="21" t="str">
        <x:v>R16_01</x:v>
      </x:c>
      <x:c r="C197" s="21" t="n">
        <x:v>89</x:v>
      </x:c>
      <x:c r="D197" s="21" t="str">
        <x:v>Oitavas de final</x:v>
      </x:c>
      <x:c r="E197" s="21" t="str">
        <x:v>2026-07-04</x:v>
      </x:c>
      <x:c r="F197" s="21" t="str">
        <x:f>IFERROR(INDEX('Resultados'!$G$5:$G$108,MATCH($B197,'Resultados'!$A$5:$A$108,0)),"")</x:f>
        <x:v>Vencedor M74</x:v>
      </x:c>
      <x:c r="G197" s="21" t="str">
        <x:f>IFERROR(INDEX('Resultados'!$J$5:$J$108,MATCH($B197,'Resultados'!$A$5:$A$108,0)),"")</x:f>
        <x:v>Vencedor M77</x:v>
      </x:c>
      <x:c r="H197" s="21" t="str">
        <x:v>Sim</x:v>
      </x:c>
      <x:c r="I197" s="22"/>
      <x:c r="J197" s="22"/>
      <x:c r="K197" s="23"/>
      <x:c r="L197" s="21" t="str">
        <x:f>IFERROR(INDEX('Resultados'!$H$5:$H$108,MATCH($B197,'Resultados'!$A$5:$A$108,0)),"")</x:f>
      </x:c>
      <x:c r="M197" s="21" t="str">
        <x:f>IFERROR(INDEX('Resultados'!$I$5:$I$108,MATCH($B197,'Resultados'!$A$5:$A$108,0)),"")</x:f>
      </x:c>
      <x:c r="N197" s="21" t="str">
        <x:f>IFERROR(INDEX('Resultados'!$L$5:$L$108,MATCH($B197,'Resultados'!$A$5:$A$108,0)),"")</x:f>
      </x:c>
      <x:c r="O197" s="59" t="str">
        <x:f>IF(OR($I197="",$J197="",$L197="",$M197=""),"",IF(AND($H197="Sim",$L197=$M197),IF($I197&lt;&gt;$J197,0,IF(AND($I197=$L197,$J197=$M197),2,1)),IF(AND($I197=$L197,$J197=$M197),3,IF(AND($I197&lt;&gt;$J197,$I197=$M197,$J197=$L197),-2,IF(SIGN($I197-$J197)=SIGN($L197-$M197),1,0)))))</x:f>
      </x:c>
      <x:c r="P197" s="59" t="str">
        <x:f>IF(OR($H197&lt;&gt;"Sim",$I197="",$J197="",$L197="",$M197=""),"",IF(AND(IF($I197&gt;$J197,$F197,IF($I197&lt;$J197,$G197,$K197))&lt;&gt;"",IF($L197&gt;$M197,$F197,IF($L197&lt;$M197,$G197,$N197))&lt;&gt;"",IF($I197&gt;$J197,$F197,IF($I197&lt;$J197,$G197,$K197))=IF($L197&gt;$M197,$F197,IF($L197&lt;$M197,$G197,$N197))),1,0))</x:f>
      </x:c>
      <x:c r="Q197" s="59" t="str">
        <x:f>IF($O197="","",$O197+$P197)</x:f>
      </x:c>
      <x:c r="R197" s="59" t="str">
        <x:f>IF($Q197="","",IF($O197=3,"Cravada",IF(AND($H197="Sim",$L197=$M197,$I197=$J197,$O197=2),"Empate cravado",IF($O197=1,"Resultado certo",IF($O197=-2,"Invertida",IF($P197=1,"Acertou quem passa","Erro"))))))</x:f>
      </x:c>
      <x:c r="S197" s="59" t="str">
        <x:f>IF($O197="","",--(OR($O197=3,AND($H197="Sim",$L197=$M197,$I197=$J197,$O197=2))))</x:f>
      </x:c>
      <x:c r="T197" s="59" t="str">
        <x:f>IF($O197="","",--($O197=-2))</x:f>
      </x:c>
      <x:c r="U197" s="59" t="str">
        <x:f>IF($O197="","",--($O197=1))</x:f>
      </x:c>
      <x:c r="V197" s="59" t="n">
        <x:f>--(AND($I197&lt;&gt;"",$J197&lt;&gt;""))</x:f>
        <x:v>0</x:v>
      </x:c>
    </x:row>
    <x:row r="198">
      <x:c r="A198" s="21" t="str">
        <x:f>INDEX(Config!$B$10:$B$16,INT((ROW()-5)/104)+1)</x:f>
        <x:v>Leo C.</x:v>
      </x:c>
      <x:c r="B198" s="21" t="str">
        <x:v>R16_02</x:v>
      </x:c>
      <x:c r="C198" s="21" t="n">
        <x:v>90</x:v>
      </x:c>
      <x:c r="D198" s="21" t="str">
        <x:v>Oitavas de final</x:v>
      </x:c>
      <x:c r="E198" s="21" t="str">
        <x:v>2026-07-04</x:v>
      </x:c>
      <x:c r="F198" s="21" t="str">
        <x:f>IFERROR(INDEX('Resultados'!$G$5:$G$108,MATCH($B198,'Resultados'!$A$5:$A$108,0)),"")</x:f>
        <x:v>Vencedor M73</x:v>
      </x:c>
      <x:c r="G198" s="21" t="str">
        <x:f>IFERROR(INDEX('Resultados'!$J$5:$J$108,MATCH($B198,'Resultados'!$A$5:$A$108,0)),"")</x:f>
        <x:v>Vencedor M75</x:v>
      </x:c>
      <x:c r="H198" s="21" t="str">
        <x:v>Sim</x:v>
      </x:c>
      <x:c r="I198" s="22"/>
      <x:c r="J198" s="22"/>
      <x:c r="K198" s="23"/>
      <x:c r="L198" s="21" t="str">
        <x:f>IFERROR(INDEX('Resultados'!$H$5:$H$108,MATCH($B198,'Resultados'!$A$5:$A$108,0)),"")</x:f>
      </x:c>
      <x:c r="M198" s="21" t="str">
        <x:f>IFERROR(INDEX('Resultados'!$I$5:$I$108,MATCH($B198,'Resultados'!$A$5:$A$108,0)),"")</x:f>
      </x:c>
      <x:c r="N198" s="21" t="str">
        <x:f>IFERROR(INDEX('Resultados'!$L$5:$L$108,MATCH($B198,'Resultados'!$A$5:$A$108,0)),"")</x:f>
      </x:c>
      <x:c r="O198" s="59" t="str">
        <x:f>IF(OR($I198="",$J198="",$L198="",$M198=""),"",IF(AND($H198="Sim",$L198=$M198),IF($I198&lt;&gt;$J198,0,IF(AND($I198=$L198,$J198=$M198),2,1)),IF(AND($I198=$L198,$J198=$M198),3,IF(AND($I198&lt;&gt;$J198,$I198=$M198,$J198=$L198),-2,IF(SIGN($I198-$J198)=SIGN($L198-$M198),1,0)))))</x:f>
      </x:c>
      <x:c r="P198" s="59" t="str">
        <x:f>IF(OR($H198&lt;&gt;"Sim",$I198="",$J198="",$L198="",$M198=""),"",IF(AND(IF($I198&gt;$J198,$F198,IF($I198&lt;$J198,$G198,$K198))&lt;&gt;"",IF($L198&gt;$M198,$F198,IF($L198&lt;$M198,$G198,$N198))&lt;&gt;"",IF($I198&gt;$J198,$F198,IF($I198&lt;$J198,$G198,$K198))=IF($L198&gt;$M198,$F198,IF($L198&lt;$M198,$G198,$N198))),1,0))</x:f>
      </x:c>
      <x:c r="Q198" s="59" t="str">
        <x:f>IF($O198="","",$O198+$P198)</x:f>
      </x:c>
      <x:c r="R198" s="59" t="str">
        <x:f>IF($Q198="","",IF($O198=3,"Cravada",IF(AND($H198="Sim",$L198=$M198,$I198=$J198,$O198=2),"Empate cravado",IF($O198=1,"Resultado certo",IF($O198=-2,"Invertida",IF($P198=1,"Acertou quem passa","Erro"))))))</x:f>
      </x:c>
      <x:c r="S198" s="59" t="str">
        <x:f>IF($O198="","",--(OR($O198=3,AND($H198="Sim",$L198=$M198,$I198=$J198,$O198=2))))</x:f>
      </x:c>
      <x:c r="T198" s="59" t="str">
        <x:f>IF($O198="","",--($O198=-2))</x:f>
      </x:c>
      <x:c r="U198" s="59" t="str">
        <x:f>IF($O198="","",--($O198=1))</x:f>
      </x:c>
      <x:c r="V198" s="59" t="n">
        <x:f>--(AND($I198&lt;&gt;"",$J198&lt;&gt;""))</x:f>
        <x:v>0</x:v>
      </x:c>
    </x:row>
    <x:row r="199">
      <x:c r="A199" s="21" t="str">
        <x:f>INDEX(Config!$B$10:$B$16,INT((ROW()-5)/104)+1)</x:f>
        <x:v>Leo C.</x:v>
      </x:c>
      <x:c r="B199" s="21" t="str">
        <x:v>R16_03</x:v>
      </x:c>
      <x:c r="C199" s="21" t="n">
        <x:v>91</x:v>
      </x:c>
      <x:c r="D199" s="21" t="str">
        <x:v>Oitavas de final</x:v>
      </x:c>
      <x:c r="E199" s="21" t="str">
        <x:v>2026-07-05</x:v>
      </x:c>
      <x:c r="F199" s="21" t="str">
        <x:f>IFERROR(INDEX('Resultados'!$G$5:$G$108,MATCH($B199,'Resultados'!$A$5:$A$108,0)),"")</x:f>
        <x:v>Vencedor M76</x:v>
      </x:c>
      <x:c r="G199" s="21" t="str">
        <x:f>IFERROR(INDEX('Resultados'!$J$5:$J$108,MATCH($B199,'Resultados'!$A$5:$A$108,0)),"")</x:f>
        <x:v>Vencedor M78</x:v>
      </x:c>
      <x:c r="H199" s="21" t="str">
        <x:v>Sim</x:v>
      </x:c>
      <x:c r="I199" s="22"/>
      <x:c r="J199" s="22"/>
      <x:c r="K199" s="23"/>
      <x:c r="L199" s="21" t="str">
        <x:f>IFERROR(INDEX('Resultados'!$H$5:$H$108,MATCH($B199,'Resultados'!$A$5:$A$108,0)),"")</x:f>
      </x:c>
      <x:c r="M199" s="21" t="str">
        <x:f>IFERROR(INDEX('Resultados'!$I$5:$I$108,MATCH($B199,'Resultados'!$A$5:$A$108,0)),"")</x:f>
      </x:c>
      <x:c r="N199" s="21" t="str">
        <x:f>IFERROR(INDEX('Resultados'!$L$5:$L$108,MATCH($B199,'Resultados'!$A$5:$A$108,0)),"")</x:f>
      </x:c>
      <x:c r="O199" s="59" t="str">
        <x:f>IF(OR($I199="",$J199="",$L199="",$M199=""),"",IF(AND($H199="Sim",$L199=$M199),IF($I199&lt;&gt;$J199,0,IF(AND($I199=$L199,$J199=$M199),2,1)),IF(AND($I199=$L199,$J199=$M199),3,IF(AND($I199&lt;&gt;$J199,$I199=$M199,$J199=$L199),-2,IF(SIGN($I199-$J199)=SIGN($L199-$M199),1,0)))))</x:f>
      </x:c>
      <x:c r="P199" s="59" t="str">
        <x:f>IF(OR($H199&lt;&gt;"Sim",$I199="",$J199="",$L199="",$M199=""),"",IF(AND(IF($I199&gt;$J199,$F199,IF($I199&lt;$J199,$G199,$K199))&lt;&gt;"",IF($L199&gt;$M199,$F199,IF($L199&lt;$M199,$G199,$N199))&lt;&gt;"",IF($I199&gt;$J199,$F199,IF($I199&lt;$J199,$G199,$K199))=IF($L199&gt;$M199,$F199,IF($L199&lt;$M199,$G199,$N199))),1,0))</x:f>
      </x:c>
      <x:c r="Q199" s="59" t="str">
        <x:f>IF($O199="","",$O199+$P199)</x:f>
      </x:c>
      <x:c r="R199" s="59" t="str">
        <x:f>IF($Q199="","",IF($O199=3,"Cravada",IF(AND($H199="Sim",$L199=$M199,$I199=$J199,$O199=2),"Empate cravado",IF($O199=1,"Resultado certo",IF($O199=-2,"Invertida",IF($P199=1,"Acertou quem passa","Erro"))))))</x:f>
      </x:c>
      <x:c r="S199" s="59" t="str">
        <x:f>IF($O199="","",--(OR($O199=3,AND($H199="Sim",$L199=$M199,$I199=$J199,$O199=2))))</x:f>
      </x:c>
      <x:c r="T199" s="59" t="str">
        <x:f>IF($O199="","",--($O199=-2))</x:f>
      </x:c>
      <x:c r="U199" s="59" t="str">
        <x:f>IF($O199="","",--($O199=1))</x:f>
      </x:c>
      <x:c r="V199" s="59" t="n">
        <x:f>--(AND($I199&lt;&gt;"",$J199&lt;&gt;""))</x:f>
        <x:v>0</x:v>
      </x:c>
    </x:row>
    <x:row r="200">
      <x:c r="A200" s="21" t="str">
        <x:f>INDEX(Config!$B$10:$B$16,INT((ROW()-5)/104)+1)</x:f>
        <x:v>Leo C.</x:v>
      </x:c>
      <x:c r="B200" s="21" t="str">
        <x:v>R16_04</x:v>
      </x:c>
      <x:c r="C200" s="21" t="n">
        <x:v>92</x:v>
      </x:c>
      <x:c r="D200" s="21" t="str">
        <x:v>Oitavas de final</x:v>
      </x:c>
      <x:c r="E200" s="21" t="str">
        <x:v>2026-07-05</x:v>
      </x:c>
      <x:c r="F200" s="21" t="str">
        <x:f>IFERROR(INDEX('Resultados'!$G$5:$G$108,MATCH($B200,'Resultados'!$A$5:$A$108,0)),"")</x:f>
        <x:v>Vencedor M79</x:v>
      </x:c>
      <x:c r="G200" s="21" t="str">
        <x:f>IFERROR(INDEX('Resultados'!$J$5:$J$108,MATCH($B200,'Resultados'!$A$5:$A$108,0)),"")</x:f>
        <x:v>Vencedor M80</x:v>
      </x:c>
      <x:c r="H200" s="21" t="str">
        <x:v>Sim</x:v>
      </x:c>
      <x:c r="I200" s="22"/>
      <x:c r="J200" s="22"/>
      <x:c r="K200" s="23"/>
      <x:c r="L200" s="21" t="str">
        <x:f>IFERROR(INDEX('Resultados'!$H$5:$H$108,MATCH($B200,'Resultados'!$A$5:$A$108,0)),"")</x:f>
      </x:c>
      <x:c r="M200" s="21" t="str">
        <x:f>IFERROR(INDEX('Resultados'!$I$5:$I$108,MATCH($B200,'Resultados'!$A$5:$A$108,0)),"")</x:f>
      </x:c>
      <x:c r="N200" s="21" t="str">
        <x:f>IFERROR(INDEX('Resultados'!$L$5:$L$108,MATCH($B200,'Resultados'!$A$5:$A$108,0)),"")</x:f>
      </x:c>
      <x:c r="O200" s="59" t="str">
        <x:f>IF(OR($I200="",$J200="",$L200="",$M200=""),"",IF(AND($H200="Sim",$L200=$M200),IF($I200&lt;&gt;$J200,0,IF(AND($I200=$L200,$J200=$M200),2,1)),IF(AND($I200=$L200,$J200=$M200),3,IF(AND($I200&lt;&gt;$J200,$I200=$M200,$J200=$L200),-2,IF(SIGN($I200-$J200)=SIGN($L200-$M200),1,0)))))</x:f>
      </x:c>
      <x:c r="P200" s="59" t="str">
        <x:f>IF(OR($H200&lt;&gt;"Sim",$I200="",$J200="",$L200="",$M200=""),"",IF(AND(IF($I200&gt;$J200,$F200,IF($I200&lt;$J200,$G200,$K200))&lt;&gt;"",IF($L200&gt;$M200,$F200,IF($L200&lt;$M200,$G200,$N200))&lt;&gt;"",IF($I200&gt;$J200,$F200,IF($I200&lt;$J200,$G200,$K200))=IF($L200&gt;$M200,$F200,IF($L200&lt;$M200,$G200,$N200))),1,0))</x:f>
      </x:c>
      <x:c r="Q200" s="59" t="str">
        <x:f>IF($O200="","",$O200+$P200)</x:f>
      </x:c>
      <x:c r="R200" s="59" t="str">
        <x:f>IF($Q200="","",IF($O200=3,"Cravada",IF(AND($H200="Sim",$L200=$M200,$I200=$J200,$O200=2),"Empate cravado",IF($O200=1,"Resultado certo",IF($O200=-2,"Invertida",IF($P200=1,"Acertou quem passa","Erro"))))))</x:f>
      </x:c>
      <x:c r="S200" s="59" t="str">
        <x:f>IF($O200="","",--(OR($O200=3,AND($H200="Sim",$L200=$M200,$I200=$J200,$O200=2))))</x:f>
      </x:c>
      <x:c r="T200" s="59" t="str">
        <x:f>IF($O200="","",--($O200=-2))</x:f>
      </x:c>
      <x:c r="U200" s="59" t="str">
        <x:f>IF($O200="","",--($O200=1))</x:f>
      </x:c>
      <x:c r="V200" s="59" t="n">
        <x:f>--(AND($I200&lt;&gt;"",$J200&lt;&gt;""))</x:f>
        <x:v>0</x:v>
      </x:c>
    </x:row>
    <x:row r="201">
      <x:c r="A201" s="21" t="str">
        <x:f>INDEX(Config!$B$10:$B$16,INT((ROW()-5)/104)+1)</x:f>
        <x:v>Leo C.</x:v>
      </x:c>
      <x:c r="B201" s="21" t="str">
        <x:v>R16_05</x:v>
      </x:c>
      <x:c r="C201" s="21" t="n">
        <x:v>93</x:v>
      </x:c>
      <x:c r="D201" s="21" t="str">
        <x:v>Oitavas de final</x:v>
      </x:c>
      <x:c r="E201" s="21" t="str">
        <x:v>2026-07-06</x:v>
      </x:c>
      <x:c r="F201" s="21" t="str">
        <x:f>IFERROR(INDEX('Resultados'!$G$5:$G$108,MATCH($B201,'Resultados'!$A$5:$A$108,0)),"")</x:f>
        <x:v>Vencedor M83</x:v>
      </x:c>
      <x:c r="G201" s="21" t="str">
        <x:f>IFERROR(INDEX('Resultados'!$J$5:$J$108,MATCH($B201,'Resultados'!$A$5:$A$108,0)),"")</x:f>
        <x:v>Vencedor M84</x:v>
      </x:c>
      <x:c r="H201" s="21" t="str">
        <x:v>Sim</x:v>
      </x:c>
      <x:c r="I201" s="22"/>
      <x:c r="J201" s="22"/>
      <x:c r="K201" s="23"/>
      <x:c r="L201" s="21" t="str">
        <x:f>IFERROR(INDEX('Resultados'!$H$5:$H$108,MATCH($B201,'Resultados'!$A$5:$A$108,0)),"")</x:f>
      </x:c>
      <x:c r="M201" s="21" t="str">
        <x:f>IFERROR(INDEX('Resultados'!$I$5:$I$108,MATCH($B201,'Resultados'!$A$5:$A$108,0)),"")</x:f>
      </x:c>
      <x:c r="N201" s="21" t="str">
        <x:f>IFERROR(INDEX('Resultados'!$L$5:$L$108,MATCH($B201,'Resultados'!$A$5:$A$108,0)),"")</x:f>
      </x:c>
      <x:c r="O201" s="59" t="str">
        <x:f>IF(OR($I201="",$J201="",$L201="",$M201=""),"",IF(AND($H201="Sim",$L201=$M201),IF($I201&lt;&gt;$J201,0,IF(AND($I201=$L201,$J201=$M201),2,1)),IF(AND($I201=$L201,$J201=$M201),3,IF(AND($I201&lt;&gt;$J201,$I201=$M201,$J201=$L201),-2,IF(SIGN($I201-$J201)=SIGN($L201-$M201),1,0)))))</x:f>
      </x:c>
      <x:c r="P201" s="59" t="str">
        <x:f>IF(OR($H201&lt;&gt;"Sim",$I201="",$J201="",$L201="",$M201=""),"",IF(AND(IF($I201&gt;$J201,$F201,IF($I201&lt;$J201,$G201,$K201))&lt;&gt;"",IF($L201&gt;$M201,$F201,IF($L201&lt;$M201,$G201,$N201))&lt;&gt;"",IF($I201&gt;$J201,$F201,IF($I201&lt;$J201,$G201,$K201))=IF($L201&gt;$M201,$F201,IF($L201&lt;$M201,$G201,$N201))),1,0))</x:f>
      </x:c>
      <x:c r="Q201" s="59" t="str">
        <x:f>IF($O201="","",$O201+$P201)</x:f>
      </x:c>
      <x:c r="R201" s="59" t="str">
        <x:f>IF($Q201="","",IF($O201=3,"Cravada",IF(AND($H201="Sim",$L201=$M201,$I201=$J201,$O201=2),"Empate cravado",IF($O201=1,"Resultado certo",IF($O201=-2,"Invertida",IF($P201=1,"Acertou quem passa","Erro"))))))</x:f>
      </x:c>
      <x:c r="S201" s="59" t="str">
        <x:f>IF($O201="","",--(OR($O201=3,AND($H201="Sim",$L201=$M201,$I201=$J201,$O201=2))))</x:f>
      </x:c>
      <x:c r="T201" s="59" t="str">
        <x:f>IF($O201="","",--($O201=-2))</x:f>
      </x:c>
      <x:c r="U201" s="59" t="str">
        <x:f>IF($O201="","",--($O201=1))</x:f>
      </x:c>
      <x:c r="V201" s="59" t="n">
        <x:f>--(AND($I201&lt;&gt;"",$J201&lt;&gt;""))</x:f>
        <x:v>0</x:v>
      </x:c>
    </x:row>
    <x:row r="202">
      <x:c r="A202" s="21" t="str">
        <x:f>INDEX(Config!$B$10:$B$16,INT((ROW()-5)/104)+1)</x:f>
        <x:v>Leo C.</x:v>
      </x:c>
      <x:c r="B202" s="21" t="str">
        <x:v>R16_06</x:v>
      </x:c>
      <x:c r="C202" s="21" t="n">
        <x:v>94</x:v>
      </x:c>
      <x:c r="D202" s="21" t="str">
        <x:v>Oitavas de final</x:v>
      </x:c>
      <x:c r="E202" s="21" t="str">
        <x:v>2026-07-06</x:v>
      </x:c>
      <x:c r="F202" s="21" t="str">
        <x:f>IFERROR(INDEX('Resultados'!$G$5:$G$108,MATCH($B202,'Resultados'!$A$5:$A$108,0)),"")</x:f>
        <x:v>Vencedor M81</x:v>
      </x:c>
      <x:c r="G202" s="21" t="str">
        <x:f>IFERROR(INDEX('Resultados'!$J$5:$J$108,MATCH($B202,'Resultados'!$A$5:$A$108,0)),"")</x:f>
        <x:v>Vencedor M82</x:v>
      </x:c>
      <x:c r="H202" s="21" t="str">
        <x:v>Sim</x:v>
      </x:c>
      <x:c r="I202" s="22"/>
      <x:c r="J202" s="22"/>
      <x:c r="K202" s="23"/>
      <x:c r="L202" s="21" t="str">
        <x:f>IFERROR(INDEX('Resultados'!$H$5:$H$108,MATCH($B202,'Resultados'!$A$5:$A$108,0)),"")</x:f>
      </x:c>
      <x:c r="M202" s="21" t="str">
        <x:f>IFERROR(INDEX('Resultados'!$I$5:$I$108,MATCH($B202,'Resultados'!$A$5:$A$108,0)),"")</x:f>
      </x:c>
      <x:c r="N202" s="21" t="str">
        <x:f>IFERROR(INDEX('Resultados'!$L$5:$L$108,MATCH($B202,'Resultados'!$A$5:$A$108,0)),"")</x:f>
      </x:c>
      <x:c r="O202" s="59" t="str">
        <x:f>IF(OR($I202="",$J202="",$L202="",$M202=""),"",IF(AND($H202="Sim",$L202=$M202),IF($I202&lt;&gt;$J202,0,IF(AND($I202=$L202,$J202=$M202),2,1)),IF(AND($I202=$L202,$J202=$M202),3,IF(AND($I202&lt;&gt;$J202,$I202=$M202,$J202=$L202),-2,IF(SIGN($I202-$J202)=SIGN($L202-$M202),1,0)))))</x:f>
      </x:c>
      <x:c r="P202" s="59" t="str">
        <x:f>IF(OR($H202&lt;&gt;"Sim",$I202="",$J202="",$L202="",$M202=""),"",IF(AND(IF($I202&gt;$J202,$F202,IF($I202&lt;$J202,$G202,$K202))&lt;&gt;"",IF($L202&gt;$M202,$F202,IF($L202&lt;$M202,$G202,$N202))&lt;&gt;"",IF($I202&gt;$J202,$F202,IF($I202&lt;$J202,$G202,$K202))=IF($L202&gt;$M202,$F202,IF($L202&lt;$M202,$G202,$N202))),1,0))</x:f>
      </x:c>
      <x:c r="Q202" s="59" t="str">
        <x:f>IF($O202="","",$O202+$P202)</x:f>
      </x:c>
      <x:c r="R202" s="59" t="str">
        <x:f>IF($Q202="","",IF($O202=3,"Cravada",IF(AND($H202="Sim",$L202=$M202,$I202=$J202,$O202=2),"Empate cravado",IF($O202=1,"Resultado certo",IF($O202=-2,"Invertida",IF($P202=1,"Acertou quem passa","Erro"))))))</x:f>
      </x:c>
      <x:c r="S202" s="59" t="str">
        <x:f>IF($O202="","",--(OR($O202=3,AND($H202="Sim",$L202=$M202,$I202=$J202,$O202=2))))</x:f>
      </x:c>
      <x:c r="T202" s="59" t="str">
        <x:f>IF($O202="","",--($O202=-2))</x:f>
      </x:c>
      <x:c r="U202" s="59" t="str">
        <x:f>IF($O202="","",--($O202=1))</x:f>
      </x:c>
      <x:c r="V202" s="59" t="n">
        <x:f>--(AND($I202&lt;&gt;"",$J202&lt;&gt;""))</x:f>
        <x:v>0</x:v>
      </x:c>
    </x:row>
    <x:row r="203">
      <x:c r="A203" s="21" t="str">
        <x:f>INDEX(Config!$B$10:$B$16,INT((ROW()-5)/104)+1)</x:f>
        <x:v>Leo C.</x:v>
      </x:c>
      <x:c r="B203" s="21" t="str">
        <x:v>R16_07</x:v>
      </x:c>
      <x:c r="C203" s="21" t="n">
        <x:v>95</x:v>
      </x:c>
      <x:c r="D203" s="21" t="str">
        <x:v>Oitavas de final</x:v>
      </x:c>
      <x:c r="E203" s="21" t="str">
        <x:v>2026-07-07</x:v>
      </x:c>
      <x:c r="F203" s="21" t="str">
        <x:f>IFERROR(INDEX('Resultados'!$G$5:$G$108,MATCH($B203,'Resultados'!$A$5:$A$108,0)),"")</x:f>
        <x:v>Vencedor M86</x:v>
      </x:c>
      <x:c r="G203" s="21" t="str">
        <x:f>IFERROR(INDEX('Resultados'!$J$5:$J$108,MATCH($B203,'Resultados'!$A$5:$A$108,0)),"")</x:f>
        <x:v>Vencedor M88</x:v>
      </x:c>
      <x:c r="H203" s="21" t="str">
        <x:v>Sim</x:v>
      </x:c>
      <x:c r="I203" s="22"/>
      <x:c r="J203" s="22"/>
      <x:c r="K203" s="23"/>
      <x:c r="L203" s="21" t="str">
        <x:f>IFERROR(INDEX('Resultados'!$H$5:$H$108,MATCH($B203,'Resultados'!$A$5:$A$108,0)),"")</x:f>
      </x:c>
      <x:c r="M203" s="21" t="str">
        <x:f>IFERROR(INDEX('Resultados'!$I$5:$I$108,MATCH($B203,'Resultados'!$A$5:$A$108,0)),"")</x:f>
      </x:c>
      <x:c r="N203" s="21" t="str">
        <x:f>IFERROR(INDEX('Resultados'!$L$5:$L$108,MATCH($B203,'Resultados'!$A$5:$A$108,0)),"")</x:f>
      </x:c>
      <x:c r="O203" s="59" t="str">
        <x:f>IF(OR($I203="",$J203="",$L203="",$M203=""),"",IF(AND($H203="Sim",$L203=$M203),IF($I203&lt;&gt;$J203,0,IF(AND($I203=$L203,$J203=$M203),2,1)),IF(AND($I203=$L203,$J203=$M203),3,IF(AND($I203&lt;&gt;$J203,$I203=$M203,$J203=$L203),-2,IF(SIGN($I203-$J203)=SIGN($L203-$M203),1,0)))))</x:f>
      </x:c>
      <x:c r="P203" s="59" t="str">
        <x:f>IF(OR($H203&lt;&gt;"Sim",$I203="",$J203="",$L203="",$M203=""),"",IF(AND(IF($I203&gt;$J203,$F203,IF($I203&lt;$J203,$G203,$K203))&lt;&gt;"",IF($L203&gt;$M203,$F203,IF($L203&lt;$M203,$G203,$N203))&lt;&gt;"",IF($I203&gt;$J203,$F203,IF($I203&lt;$J203,$G203,$K203))=IF($L203&gt;$M203,$F203,IF($L203&lt;$M203,$G203,$N203))),1,0))</x:f>
      </x:c>
      <x:c r="Q203" s="59" t="str">
        <x:f>IF($O203="","",$O203+$P203)</x:f>
      </x:c>
      <x:c r="R203" s="59" t="str">
        <x:f>IF($Q203="","",IF($O203=3,"Cravada",IF(AND($H203="Sim",$L203=$M203,$I203=$J203,$O203=2),"Empate cravado",IF($O203=1,"Resultado certo",IF($O203=-2,"Invertida",IF($P203=1,"Acertou quem passa","Erro"))))))</x:f>
      </x:c>
      <x:c r="S203" s="59" t="str">
        <x:f>IF($O203="","",--(OR($O203=3,AND($H203="Sim",$L203=$M203,$I203=$J203,$O203=2))))</x:f>
      </x:c>
      <x:c r="T203" s="59" t="str">
        <x:f>IF($O203="","",--($O203=-2))</x:f>
      </x:c>
      <x:c r="U203" s="59" t="str">
        <x:f>IF($O203="","",--($O203=1))</x:f>
      </x:c>
      <x:c r="V203" s="59" t="n">
        <x:f>--(AND($I203&lt;&gt;"",$J203&lt;&gt;""))</x:f>
        <x:v>0</x:v>
      </x:c>
    </x:row>
    <x:row r="204">
      <x:c r="A204" s="21" t="str">
        <x:f>INDEX(Config!$B$10:$B$16,INT((ROW()-5)/104)+1)</x:f>
        <x:v>Leo C.</x:v>
      </x:c>
      <x:c r="B204" s="21" t="str">
        <x:v>R16_08</x:v>
      </x:c>
      <x:c r="C204" s="21" t="n">
        <x:v>96</x:v>
      </x:c>
      <x:c r="D204" s="21" t="str">
        <x:v>Oitavas de final</x:v>
      </x:c>
      <x:c r="E204" s="21" t="str">
        <x:v>2026-07-07</x:v>
      </x:c>
      <x:c r="F204" s="21" t="str">
        <x:f>IFERROR(INDEX('Resultados'!$G$5:$G$108,MATCH($B204,'Resultados'!$A$5:$A$108,0)),"")</x:f>
        <x:v>Vencedor M85</x:v>
      </x:c>
      <x:c r="G204" s="21" t="str">
        <x:f>IFERROR(INDEX('Resultados'!$J$5:$J$108,MATCH($B204,'Resultados'!$A$5:$A$108,0)),"")</x:f>
        <x:v>Vencedor M87</x:v>
      </x:c>
      <x:c r="H204" s="21" t="str">
        <x:v>Sim</x:v>
      </x:c>
      <x:c r="I204" s="22"/>
      <x:c r="J204" s="22"/>
      <x:c r="K204" s="23"/>
      <x:c r="L204" s="21" t="str">
        <x:f>IFERROR(INDEX('Resultados'!$H$5:$H$108,MATCH($B204,'Resultados'!$A$5:$A$108,0)),"")</x:f>
      </x:c>
      <x:c r="M204" s="21" t="str">
        <x:f>IFERROR(INDEX('Resultados'!$I$5:$I$108,MATCH($B204,'Resultados'!$A$5:$A$108,0)),"")</x:f>
      </x:c>
      <x:c r="N204" s="21" t="str">
        <x:f>IFERROR(INDEX('Resultados'!$L$5:$L$108,MATCH($B204,'Resultados'!$A$5:$A$108,0)),"")</x:f>
      </x:c>
      <x:c r="O204" s="59" t="str">
        <x:f>IF(OR($I204="",$J204="",$L204="",$M204=""),"",IF(AND($H204="Sim",$L204=$M204),IF($I204&lt;&gt;$J204,0,IF(AND($I204=$L204,$J204=$M204),2,1)),IF(AND($I204=$L204,$J204=$M204),3,IF(AND($I204&lt;&gt;$J204,$I204=$M204,$J204=$L204),-2,IF(SIGN($I204-$J204)=SIGN($L204-$M204),1,0)))))</x:f>
      </x:c>
      <x:c r="P204" s="59" t="str">
        <x:f>IF(OR($H204&lt;&gt;"Sim",$I204="",$J204="",$L204="",$M204=""),"",IF(AND(IF($I204&gt;$J204,$F204,IF($I204&lt;$J204,$G204,$K204))&lt;&gt;"",IF($L204&gt;$M204,$F204,IF($L204&lt;$M204,$G204,$N204))&lt;&gt;"",IF($I204&gt;$J204,$F204,IF($I204&lt;$J204,$G204,$K204))=IF($L204&gt;$M204,$F204,IF($L204&lt;$M204,$G204,$N204))),1,0))</x:f>
      </x:c>
      <x:c r="Q204" s="59" t="str">
        <x:f>IF($O204="","",$O204+$P204)</x:f>
      </x:c>
      <x:c r="R204" s="59" t="str">
        <x:f>IF($Q204="","",IF($O204=3,"Cravada",IF(AND($H204="Sim",$L204=$M204,$I204=$J204,$O204=2),"Empate cravado",IF($O204=1,"Resultado certo",IF($O204=-2,"Invertida",IF($P204=1,"Acertou quem passa","Erro"))))))</x:f>
      </x:c>
      <x:c r="S204" s="59" t="str">
        <x:f>IF($O204="","",--(OR($O204=3,AND($H204="Sim",$L204=$M204,$I204=$J204,$O204=2))))</x:f>
      </x:c>
      <x:c r="T204" s="59" t="str">
        <x:f>IF($O204="","",--($O204=-2))</x:f>
      </x:c>
      <x:c r="U204" s="59" t="str">
        <x:f>IF($O204="","",--($O204=1))</x:f>
      </x:c>
      <x:c r="V204" s="59" t="n">
        <x:f>--(AND($I204&lt;&gt;"",$J204&lt;&gt;""))</x:f>
        <x:v>0</x:v>
      </x:c>
    </x:row>
    <x:row r="205">
      <x:c r="A205" s="21" t="str">
        <x:f>INDEX(Config!$B$10:$B$16,INT((ROW()-5)/104)+1)</x:f>
        <x:v>Leo C.</x:v>
      </x:c>
      <x:c r="B205" s="21" t="str">
        <x:v>QF_01</x:v>
      </x:c>
      <x:c r="C205" s="21" t="n">
        <x:v>97</x:v>
      </x:c>
      <x:c r="D205" s="21" t="str">
        <x:v>Quartas de final</x:v>
      </x:c>
      <x:c r="E205" s="21" t="str">
        <x:v>2026-07-09</x:v>
      </x:c>
      <x:c r="F205" s="21" t="str">
        <x:f>IFERROR(INDEX('Resultados'!$G$5:$G$108,MATCH($B205,'Resultados'!$A$5:$A$108,0)),"")</x:f>
        <x:v>Vencedor M89</x:v>
      </x:c>
      <x:c r="G205" s="21" t="str">
        <x:f>IFERROR(INDEX('Resultados'!$J$5:$J$108,MATCH($B205,'Resultados'!$A$5:$A$108,0)),"")</x:f>
        <x:v>Vencedor M90</x:v>
      </x:c>
      <x:c r="H205" s="21" t="str">
        <x:v>Sim</x:v>
      </x:c>
      <x:c r="I205" s="22"/>
      <x:c r="J205" s="22"/>
      <x:c r="K205" s="23"/>
      <x:c r="L205" s="21" t="str">
        <x:f>IFERROR(INDEX('Resultados'!$H$5:$H$108,MATCH($B205,'Resultados'!$A$5:$A$108,0)),"")</x:f>
      </x:c>
      <x:c r="M205" s="21" t="str">
        <x:f>IFERROR(INDEX('Resultados'!$I$5:$I$108,MATCH($B205,'Resultados'!$A$5:$A$108,0)),"")</x:f>
      </x:c>
      <x:c r="N205" s="21" t="str">
        <x:f>IFERROR(INDEX('Resultados'!$L$5:$L$108,MATCH($B205,'Resultados'!$A$5:$A$108,0)),"")</x:f>
      </x:c>
      <x:c r="O205" s="59" t="str">
        <x:f>IF(OR($I205="",$J205="",$L205="",$M205=""),"",IF(AND($H205="Sim",$L205=$M205),IF($I205&lt;&gt;$J205,0,IF(AND($I205=$L205,$J205=$M205),2,1)),IF(AND($I205=$L205,$J205=$M205),3,IF(AND($I205&lt;&gt;$J205,$I205=$M205,$J205=$L205),-2,IF(SIGN($I205-$J205)=SIGN($L205-$M205),1,0)))))</x:f>
      </x:c>
      <x:c r="P205" s="59" t="str">
        <x:f>IF(OR($H205&lt;&gt;"Sim",$I205="",$J205="",$L205="",$M205=""),"",IF(AND(IF($I205&gt;$J205,$F205,IF($I205&lt;$J205,$G205,$K205))&lt;&gt;"",IF($L205&gt;$M205,$F205,IF($L205&lt;$M205,$G205,$N205))&lt;&gt;"",IF($I205&gt;$J205,$F205,IF($I205&lt;$J205,$G205,$K205))=IF($L205&gt;$M205,$F205,IF($L205&lt;$M205,$G205,$N205))),1,0))</x:f>
      </x:c>
      <x:c r="Q205" s="59" t="str">
        <x:f>IF($O205="","",$O205+$P205)</x:f>
      </x:c>
      <x:c r="R205" s="59" t="str">
        <x:f>IF($Q205="","",IF($O205=3,"Cravada",IF(AND($H205="Sim",$L205=$M205,$I205=$J205,$O205=2),"Empate cravado",IF($O205=1,"Resultado certo",IF($O205=-2,"Invertida",IF($P205=1,"Acertou quem passa","Erro"))))))</x:f>
      </x:c>
      <x:c r="S205" s="59" t="str">
        <x:f>IF($O205="","",--(OR($O205=3,AND($H205="Sim",$L205=$M205,$I205=$J205,$O205=2))))</x:f>
      </x:c>
      <x:c r="T205" s="59" t="str">
        <x:f>IF($O205="","",--($O205=-2))</x:f>
      </x:c>
      <x:c r="U205" s="59" t="str">
        <x:f>IF($O205="","",--($O205=1))</x:f>
      </x:c>
      <x:c r="V205" s="59" t="n">
        <x:f>--(AND($I205&lt;&gt;"",$J205&lt;&gt;""))</x:f>
        <x:v>0</x:v>
      </x:c>
    </x:row>
    <x:row r="206">
      <x:c r="A206" s="21" t="str">
        <x:f>INDEX(Config!$B$10:$B$16,INT((ROW()-5)/104)+1)</x:f>
        <x:v>Leo C.</x:v>
      </x:c>
      <x:c r="B206" s="21" t="str">
        <x:v>QF_02</x:v>
      </x:c>
      <x:c r="C206" s="21" t="n">
        <x:v>98</x:v>
      </x:c>
      <x:c r="D206" s="21" t="str">
        <x:v>Quartas de final</x:v>
      </x:c>
      <x:c r="E206" s="21" t="str">
        <x:v>2026-07-10</x:v>
      </x:c>
      <x:c r="F206" s="21" t="str">
        <x:f>IFERROR(INDEX('Resultados'!$G$5:$G$108,MATCH($B206,'Resultados'!$A$5:$A$108,0)),"")</x:f>
        <x:v>Vencedor M93</x:v>
      </x:c>
      <x:c r="G206" s="21" t="str">
        <x:f>IFERROR(INDEX('Resultados'!$J$5:$J$108,MATCH($B206,'Resultados'!$A$5:$A$108,0)),"")</x:f>
        <x:v>Vencedor M94</x:v>
      </x:c>
      <x:c r="H206" s="21" t="str">
        <x:v>Sim</x:v>
      </x:c>
      <x:c r="I206" s="22"/>
      <x:c r="J206" s="22"/>
      <x:c r="K206" s="23"/>
      <x:c r="L206" s="21" t="str">
        <x:f>IFERROR(INDEX('Resultados'!$H$5:$H$108,MATCH($B206,'Resultados'!$A$5:$A$108,0)),"")</x:f>
      </x:c>
      <x:c r="M206" s="21" t="str">
        <x:f>IFERROR(INDEX('Resultados'!$I$5:$I$108,MATCH($B206,'Resultados'!$A$5:$A$108,0)),"")</x:f>
      </x:c>
      <x:c r="N206" s="21" t="str">
        <x:f>IFERROR(INDEX('Resultados'!$L$5:$L$108,MATCH($B206,'Resultados'!$A$5:$A$108,0)),"")</x:f>
      </x:c>
      <x:c r="O206" s="59" t="str">
        <x:f>IF(OR($I206="",$J206="",$L206="",$M206=""),"",IF(AND($H206="Sim",$L206=$M206),IF($I206&lt;&gt;$J206,0,IF(AND($I206=$L206,$J206=$M206),2,1)),IF(AND($I206=$L206,$J206=$M206),3,IF(AND($I206&lt;&gt;$J206,$I206=$M206,$J206=$L206),-2,IF(SIGN($I206-$J206)=SIGN($L206-$M206),1,0)))))</x:f>
      </x:c>
      <x:c r="P206" s="59" t="str">
        <x:f>IF(OR($H206&lt;&gt;"Sim",$I206="",$J206="",$L206="",$M206=""),"",IF(AND(IF($I206&gt;$J206,$F206,IF($I206&lt;$J206,$G206,$K206))&lt;&gt;"",IF($L206&gt;$M206,$F206,IF($L206&lt;$M206,$G206,$N206))&lt;&gt;"",IF($I206&gt;$J206,$F206,IF($I206&lt;$J206,$G206,$K206))=IF($L206&gt;$M206,$F206,IF($L206&lt;$M206,$G206,$N206))),1,0))</x:f>
      </x:c>
      <x:c r="Q206" s="59" t="str">
        <x:f>IF($O206="","",$O206+$P206)</x:f>
      </x:c>
      <x:c r="R206" s="59" t="str">
        <x:f>IF($Q206="","",IF($O206=3,"Cravada",IF(AND($H206="Sim",$L206=$M206,$I206=$J206,$O206=2),"Empate cravado",IF($O206=1,"Resultado certo",IF($O206=-2,"Invertida",IF($P206=1,"Acertou quem passa","Erro"))))))</x:f>
      </x:c>
      <x:c r="S206" s="59" t="str">
        <x:f>IF($O206="","",--(OR($O206=3,AND($H206="Sim",$L206=$M206,$I206=$J206,$O206=2))))</x:f>
      </x:c>
      <x:c r="T206" s="59" t="str">
        <x:f>IF($O206="","",--($O206=-2))</x:f>
      </x:c>
      <x:c r="U206" s="59" t="str">
        <x:f>IF($O206="","",--($O206=1))</x:f>
      </x:c>
      <x:c r="V206" s="59" t="n">
        <x:f>--(AND($I206&lt;&gt;"",$J206&lt;&gt;""))</x:f>
        <x:v>0</x:v>
      </x:c>
    </x:row>
    <x:row r="207">
      <x:c r="A207" s="21" t="str">
        <x:f>INDEX(Config!$B$10:$B$16,INT((ROW()-5)/104)+1)</x:f>
        <x:v>Leo C.</x:v>
      </x:c>
      <x:c r="B207" s="21" t="str">
        <x:v>QF_03</x:v>
      </x:c>
      <x:c r="C207" s="21" t="n">
        <x:v>99</x:v>
      </x:c>
      <x:c r="D207" s="21" t="str">
        <x:v>Quartas de final</x:v>
      </x:c>
      <x:c r="E207" s="21" t="str">
        <x:v>2026-07-11</x:v>
      </x:c>
      <x:c r="F207" s="21" t="str">
        <x:f>IFERROR(INDEX('Resultados'!$G$5:$G$108,MATCH($B207,'Resultados'!$A$5:$A$108,0)),"")</x:f>
        <x:v>Vencedor M91</x:v>
      </x:c>
      <x:c r="G207" s="21" t="str">
        <x:f>IFERROR(INDEX('Resultados'!$J$5:$J$108,MATCH($B207,'Resultados'!$A$5:$A$108,0)),"")</x:f>
        <x:v>Vencedor M92</x:v>
      </x:c>
      <x:c r="H207" s="21" t="str">
        <x:v>Sim</x:v>
      </x:c>
      <x:c r="I207" s="22"/>
      <x:c r="J207" s="22"/>
      <x:c r="K207" s="23"/>
      <x:c r="L207" s="21" t="str">
        <x:f>IFERROR(INDEX('Resultados'!$H$5:$H$108,MATCH($B207,'Resultados'!$A$5:$A$108,0)),"")</x:f>
      </x:c>
      <x:c r="M207" s="21" t="str">
        <x:f>IFERROR(INDEX('Resultados'!$I$5:$I$108,MATCH($B207,'Resultados'!$A$5:$A$108,0)),"")</x:f>
      </x:c>
      <x:c r="N207" s="21" t="str">
        <x:f>IFERROR(INDEX('Resultados'!$L$5:$L$108,MATCH($B207,'Resultados'!$A$5:$A$108,0)),"")</x:f>
      </x:c>
      <x:c r="O207" s="59" t="str">
        <x:f>IF(OR($I207="",$J207="",$L207="",$M207=""),"",IF(AND($H207="Sim",$L207=$M207),IF($I207&lt;&gt;$J207,0,IF(AND($I207=$L207,$J207=$M207),2,1)),IF(AND($I207=$L207,$J207=$M207),3,IF(AND($I207&lt;&gt;$J207,$I207=$M207,$J207=$L207),-2,IF(SIGN($I207-$J207)=SIGN($L207-$M207),1,0)))))</x:f>
      </x:c>
      <x:c r="P207" s="59" t="str">
        <x:f>IF(OR($H207&lt;&gt;"Sim",$I207="",$J207="",$L207="",$M207=""),"",IF(AND(IF($I207&gt;$J207,$F207,IF($I207&lt;$J207,$G207,$K207))&lt;&gt;"",IF($L207&gt;$M207,$F207,IF($L207&lt;$M207,$G207,$N207))&lt;&gt;"",IF($I207&gt;$J207,$F207,IF($I207&lt;$J207,$G207,$K207))=IF($L207&gt;$M207,$F207,IF($L207&lt;$M207,$G207,$N207))),1,0))</x:f>
      </x:c>
      <x:c r="Q207" s="59" t="str">
        <x:f>IF($O207="","",$O207+$P207)</x:f>
      </x:c>
      <x:c r="R207" s="59" t="str">
        <x:f>IF($Q207="","",IF($O207=3,"Cravada",IF(AND($H207="Sim",$L207=$M207,$I207=$J207,$O207=2),"Empate cravado",IF($O207=1,"Resultado certo",IF($O207=-2,"Invertida",IF($P207=1,"Acertou quem passa","Erro"))))))</x:f>
      </x:c>
      <x:c r="S207" s="59" t="str">
        <x:f>IF($O207="","",--(OR($O207=3,AND($H207="Sim",$L207=$M207,$I207=$J207,$O207=2))))</x:f>
      </x:c>
      <x:c r="T207" s="59" t="str">
        <x:f>IF($O207="","",--($O207=-2))</x:f>
      </x:c>
      <x:c r="U207" s="59" t="str">
        <x:f>IF($O207="","",--($O207=1))</x:f>
      </x:c>
      <x:c r="V207" s="59" t="n">
        <x:f>--(AND($I207&lt;&gt;"",$J207&lt;&gt;""))</x:f>
        <x:v>0</x:v>
      </x:c>
    </x:row>
    <x:row r="208">
      <x:c r="A208" s="21" t="str">
        <x:f>INDEX(Config!$B$10:$B$16,INT((ROW()-5)/104)+1)</x:f>
        <x:v>Leo C.</x:v>
      </x:c>
      <x:c r="B208" s="21" t="str">
        <x:v>QF_04</x:v>
      </x:c>
      <x:c r="C208" s="21" t="n">
        <x:v>100</x:v>
      </x:c>
      <x:c r="D208" s="21" t="str">
        <x:v>Quartas de final</x:v>
      </x:c>
      <x:c r="E208" s="21" t="str">
        <x:v>2026-07-11</x:v>
      </x:c>
      <x:c r="F208" s="21" t="str">
        <x:f>IFERROR(INDEX('Resultados'!$G$5:$G$108,MATCH($B208,'Resultados'!$A$5:$A$108,0)),"")</x:f>
        <x:v>Vencedor M95</x:v>
      </x:c>
      <x:c r="G208" s="21" t="str">
        <x:f>IFERROR(INDEX('Resultados'!$J$5:$J$108,MATCH($B208,'Resultados'!$A$5:$A$108,0)),"")</x:f>
        <x:v>Vencedor M96</x:v>
      </x:c>
      <x:c r="H208" s="21" t="str">
        <x:v>Sim</x:v>
      </x:c>
      <x:c r="I208" s="22"/>
      <x:c r="J208" s="22"/>
      <x:c r="K208" s="23"/>
      <x:c r="L208" s="21" t="str">
        <x:f>IFERROR(INDEX('Resultados'!$H$5:$H$108,MATCH($B208,'Resultados'!$A$5:$A$108,0)),"")</x:f>
      </x:c>
      <x:c r="M208" s="21" t="str">
        <x:f>IFERROR(INDEX('Resultados'!$I$5:$I$108,MATCH($B208,'Resultados'!$A$5:$A$108,0)),"")</x:f>
      </x:c>
      <x:c r="N208" s="21" t="str">
        <x:f>IFERROR(INDEX('Resultados'!$L$5:$L$108,MATCH($B208,'Resultados'!$A$5:$A$108,0)),"")</x:f>
      </x:c>
      <x:c r="O208" s="59" t="str">
        <x:f>IF(OR($I208="",$J208="",$L208="",$M208=""),"",IF(AND($H208="Sim",$L208=$M208),IF($I208&lt;&gt;$J208,0,IF(AND($I208=$L208,$J208=$M208),2,1)),IF(AND($I208=$L208,$J208=$M208),3,IF(AND($I208&lt;&gt;$J208,$I208=$M208,$J208=$L208),-2,IF(SIGN($I208-$J208)=SIGN($L208-$M208),1,0)))))</x:f>
      </x:c>
      <x:c r="P208" s="59" t="str">
        <x:f>IF(OR($H208&lt;&gt;"Sim",$I208="",$J208="",$L208="",$M208=""),"",IF(AND(IF($I208&gt;$J208,$F208,IF($I208&lt;$J208,$G208,$K208))&lt;&gt;"",IF($L208&gt;$M208,$F208,IF($L208&lt;$M208,$G208,$N208))&lt;&gt;"",IF($I208&gt;$J208,$F208,IF($I208&lt;$J208,$G208,$K208))=IF($L208&gt;$M208,$F208,IF($L208&lt;$M208,$G208,$N208))),1,0))</x:f>
      </x:c>
      <x:c r="Q208" s="59" t="str">
        <x:f>IF($O208="","",$O208+$P208)</x:f>
      </x:c>
      <x:c r="R208" s="59" t="str">
        <x:f>IF($Q208="","",IF($O208=3,"Cravada",IF(AND($H208="Sim",$L208=$M208,$I208=$J208,$O208=2),"Empate cravado",IF($O208=1,"Resultado certo",IF($O208=-2,"Invertida",IF($P208=1,"Acertou quem passa","Erro"))))))</x:f>
      </x:c>
      <x:c r="S208" s="59" t="str">
        <x:f>IF($O208="","",--(OR($O208=3,AND($H208="Sim",$L208=$M208,$I208=$J208,$O208=2))))</x:f>
      </x:c>
      <x:c r="T208" s="59" t="str">
        <x:f>IF($O208="","",--($O208=-2))</x:f>
      </x:c>
      <x:c r="U208" s="59" t="str">
        <x:f>IF($O208="","",--($O208=1))</x:f>
      </x:c>
      <x:c r="V208" s="59" t="n">
        <x:f>--(AND($I208&lt;&gt;"",$J208&lt;&gt;""))</x:f>
        <x:v>0</x:v>
      </x:c>
    </x:row>
    <x:row r="209">
      <x:c r="A209" s="21" t="str">
        <x:f>INDEX(Config!$B$10:$B$16,INT((ROW()-5)/104)+1)</x:f>
        <x:v>Leo C.</x:v>
      </x:c>
      <x:c r="B209" s="21" t="str">
        <x:v>SF_01</x:v>
      </x:c>
      <x:c r="C209" s="21" t="n">
        <x:v>101</x:v>
      </x:c>
      <x:c r="D209" s="21" t="str">
        <x:v>Semifinais</x:v>
      </x:c>
      <x:c r="E209" s="21" t="str">
        <x:v>2026-07-14</x:v>
      </x:c>
      <x:c r="F209" s="21" t="str">
        <x:f>IFERROR(INDEX('Resultados'!$G$5:$G$108,MATCH($B209,'Resultados'!$A$5:$A$108,0)),"")</x:f>
        <x:v>Vencedor M97</x:v>
      </x:c>
      <x:c r="G209" s="21" t="str">
        <x:f>IFERROR(INDEX('Resultados'!$J$5:$J$108,MATCH($B209,'Resultados'!$A$5:$A$108,0)),"")</x:f>
        <x:v>Vencedor M98</x:v>
      </x:c>
      <x:c r="H209" s="21" t="str">
        <x:v>Sim</x:v>
      </x:c>
      <x:c r="I209" s="22"/>
      <x:c r="J209" s="22"/>
      <x:c r="K209" s="23"/>
      <x:c r="L209" s="21" t="str">
        <x:f>IFERROR(INDEX('Resultados'!$H$5:$H$108,MATCH($B209,'Resultados'!$A$5:$A$108,0)),"")</x:f>
      </x:c>
      <x:c r="M209" s="21" t="str">
        <x:f>IFERROR(INDEX('Resultados'!$I$5:$I$108,MATCH($B209,'Resultados'!$A$5:$A$108,0)),"")</x:f>
      </x:c>
      <x:c r="N209" s="21" t="str">
        <x:f>IFERROR(INDEX('Resultados'!$L$5:$L$108,MATCH($B209,'Resultados'!$A$5:$A$108,0)),"")</x:f>
      </x:c>
      <x:c r="O209" s="59" t="str">
        <x:f>IF(OR($I209="",$J209="",$L209="",$M209=""),"",IF(AND($H209="Sim",$L209=$M209),IF($I209&lt;&gt;$J209,0,IF(AND($I209=$L209,$J209=$M209),2,1)),IF(AND($I209=$L209,$J209=$M209),3,IF(AND($I209&lt;&gt;$J209,$I209=$M209,$J209=$L209),-2,IF(SIGN($I209-$J209)=SIGN($L209-$M209),1,0)))))</x:f>
      </x:c>
      <x:c r="P209" s="59" t="str">
        <x:f>IF(OR($H209&lt;&gt;"Sim",$I209="",$J209="",$L209="",$M209=""),"",IF(AND(IF($I209&gt;$J209,$F209,IF($I209&lt;$J209,$G209,$K209))&lt;&gt;"",IF($L209&gt;$M209,$F209,IF($L209&lt;$M209,$G209,$N209))&lt;&gt;"",IF($I209&gt;$J209,$F209,IF($I209&lt;$J209,$G209,$K209))=IF($L209&gt;$M209,$F209,IF($L209&lt;$M209,$G209,$N209))),1,0))</x:f>
      </x:c>
      <x:c r="Q209" s="59" t="str">
        <x:f>IF($O209="","",$O209+$P209)</x:f>
      </x:c>
      <x:c r="R209" s="59" t="str">
        <x:f>IF($Q209="","",IF($O209=3,"Cravada",IF(AND($H209="Sim",$L209=$M209,$I209=$J209,$O209=2),"Empate cravado",IF($O209=1,"Resultado certo",IF($O209=-2,"Invertida",IF($P209=1,"Acertou quem passa","Erro"))))))</x:f>
      </x:c>
      <x:c r="S209" s="59" t="str">
        <x:f>IF($O209="","",--(OR($O209=3,AND($H209="Sim",$L209=$M209,$I209=$J209,$O209=2))))</x:f>
      </x:c>
      <x:c r="T209" s="59" t="str">
        <x:f>IF($O209="","",--($O209=-2))</x:f>
      </x:c>
      <x:c r="U209" s="59" t="str">
        <x:f>IF($O209="","",--($O209=1))</x:f>
      </x:c>
      <x:c r="V209" s="59" t="n">
        <x:f>--(AND($I209&lt;&gt;"",$J209&lt;&gt;""))</x:f>
        <x:v>0</x:v>
      </x:c>
    </x:row>
    <x:row r="210">
      <x:c r="A210" s="21" t="str">
        <x:f>INDEX(Config!$B$10:$B$16,INT((ROW()-5)/104)+1)</x:f>
        <x:v>Leo C.</x:v>
      </x:c>
      <x:c r="B210" s="21" t="str">
        <x:v>SF_02</x:v>
      </x:c>
      <x:c r="C210" s="21" t="n">
        <x:v>102</x:v>
      </x:c>
      <x:c r="D210" s="21" t="str">
        <x:v>Semifinais</x:v>
      </x:c>
      <x:c r="E210" s="21" t="str">
        <x:v>2026-07-15</x:v>
      </x:c>
      <x:c r="F210" s="21" t="str">
        <x:f>IFERROR(INDEX('Resultados'!$G$5:$G$108,MATCH($B210,'Resultados'!$A$5:$A$108,0)),"")</x:f>
        <x:v>Vencedor M99</x:v>
      </x:c>
      <x:c r="G210" s="21" t="str">
        <x:f>IFERROR(INDEX('Resultados'!$J$5:$J$108,MATCH($B210,'Resultados'!$A$5:$A$108,0)),"")</x:f>
        <x:v>Vencedor M100</x:v>
      </x:c>
      <x:c r="H210" s="21" t="str">
        <x:v>Sim</x:v>
      </x:c>
      <x:c r="I210" s="22"/>
      <x:c r="J210" s="22"/>
      <x:c r="K210" s="23"/>
      <x:c r="L210" s="21" t="str">
        <x:f>IFERROR(INDEX('Resultados'!$H$5:$H$108,MATCH($B210,'Resultados'!$A$5:$A$108,0)),"")</x:f>
      </x:c>
      <x:c r="M210" s="21" t="str">
        <x:f>IFERROR(INDEX('Resultados'!$I$5:$I$108,MATCH($B210,'Resultados'!$A$5:$A$108,0)),"")</x:f>
      </x:c>
      <x:c r="N210" s="21" t="str">
        <x:f>IFERROR(INDEX('Resultados'!$L$5:$L$108,MATCH($B210,'Resultados'!$A$5:$A$108,0)),"")</x:f>
      </x:c>
      <x:c r="O210" s="59" t="str">
        <x:f>IF(OR($I210="",$J210="",$L210="",$M210=""),"",IF(AND($H210="Sim",$L210=$M210),IF($I210&lt;&gt;$J210,0,IF(AND($I210=$L210,$J210=$M210),2,1)),IF(AND($I210=$L210,$J210=$M210),3,IF(AND($I210&lt;&gt;$J210,$I210=$M210,$J210=$L210),-2,IF(SIGN($I210-$J210)=SIGN($L210-$M210),1,0)))))</x:f>
      </x:c>
      <x:c r="P210" s="59" t="str">
        <x:f>IF(OR($H210&lt;&gt;"Sim",$I210="",$J210="",$L210="",$M210=""),"",IF(AND(IF($I210&gt;$J210,$F210,IF($I210&lt;$J210,$G210,$K210))&lt;&gt;"",IF($L210&gt;$M210,$F210,IF($L210&lt;$M210,$G210,$N210))&lt;&gt;"",IF($I210&gt;$J210,$F210,IF($I210&lt;$J210,$G210,$K210))=IF($L210&gt;$M210,$F210,IF($L210&lt;$M210,$G210,$N210))),1,0))</x:f>
      </x:c>
      <x:c r="Q210" s="59" t="str">
        <x:f>IF($O210="","",$O210+$P210)</x:f>
      </x:c>
      <x:c r="R210" s="59" t="str">
        <x:f>IF($Q210="","",IF($O210=3,"Cravada",IF(AND($H210="Sim",$L210=$M210,$I210=$J210,$O210=2),"Empate cravado",IF($O210=1,"Resultado certo",IF($O210=-2,"Invertida",IF($P210=1,"Acertou quem passa","Erro"))))))</x:f>
      </x:c>
      <x:c r="S210" s="59" t="str">
        <x:f>IF($O210="","",--(OR($O210=3,AND($H210="Sim",$L210=$M210,$I210=$J210,$O210=2))))</x:f>
      </x:c>
      <x:c r="T210" s="59" t="str">
        <x:f>IF($O210="","",--($O210=-2))</x:f>
      </x:c>
      <x:c r="U210" s="59" t="str">
        <x:f>IF($O210="","",--($O210=1))</x:f>
      </x:c>
      <x:c r="V210" s="59" t="n">
        <x:f>--(AND($I210&lt;&gt;"",$J210&lt;&gt;""))</x:f>
        <x:v>0</x:v>
      </x:c>
    </x:row>
    <x:row r="211">
      <x:c r="A211" s="21" t="str">
        <x:f>INDEX(Config!$B$10:$B$16,INT((ROW()-5)/104)+1)</x:f>
        <x:v>Leo C.</x:v>
      </x:c>
      <x:c r="B211" s="21" t="str">
        <x:v>P3</x:v>
      </x:c>
      <x:c r="C211" s="21" t="n">
        <x:v>103</x:v>
      </x:c>
      <x:c r="D211" s="21" t="str">
        <x:v>Disputa de 3º lugar</x:v>
      </x:c>
      <x:c r="E211" s="21" t="str">
        <x:v>2026-07-18</x:v>
      </x:c>
      <x:c r="F211" s="21" t="str">
        <x:f>IFERROR(INDEX('Resultados'!$G$5:$G$108,MATCH($B211,'Resultados'!$A$5:$A$108,0)),"")</x:f>
        <x:v>Perdedor M101</x:v>
      </x:c>
      <x:c r="G211" s="21" t="str">
        <x:f>IFERROR(INDEX('Resultados'!$J$5:$J$108,MATCH($B211,'Resultados'!$A$5:$A$108,0)),"")</x:f>
        <x:v>Perdedor M102</x:v>
      </x:c>
      <x:c r="H211" s="21" t="str">
        <x:v>Sim</x:v>
      </x:c>
      <x:c r="I211" s="22"/>
      <x:c r="J211" s="22"/>
      <x:c r="K211" s="23"/>
      <x:c r="L211" s="21" t="str">
        <x:f>IFERROR(INDEX('Resultados'!$H$5:$H$108,MATCH($B211,'Resultados'!$A$5:$A$108,0)),"")</x:f>
      </x:c>
      <x:c r="M211" s="21" t="str">
        <x:f>IFERROR(INDEX('Resultados'!$I$5:$I$108,MATCH($B211,'Resultados'!$A$5:$A$108,0)),"")</x:f>
      </x:c>
      <x:c r="N211" s="21" t="str">
        <x:f>IFERROR(INDEX('Resultados'!$L$5:$L$108,MATCH($B211,'Resultados'!$A$5:$A$108,0)),"")</x:f>
      </x:c>
      <x:c r="O211" s="59" t="str">
        <x:f>IF(OR($I211="",$J211="",$L211="",$M211=""),"",IF(AND($H211="Sim",$L211=$M211),IF($I211&lt;&gt;$J211,0,IF(AND($I211=$L211,$J211=$M211),2,1)),IF(AND($I211=$L211,$J211=$M211),3,IF(AND($I211&lt;&gt;$J211,$I211=$M211,$J211=$L211),-2,IF(SIGN($I211-$J211)=SIGN($L211-$M211),1,0)))))</x:f>
      </x:c>
      <x:c r="P211" s="59" t="str">
        <x:f>IF(OR($H211&lt;&gt;"Sim",$I211="",$J211="",$L211="",$M211=""),"",IF(AND(IF($I211&gt;$J211,$F211,IF($I211&lt;$J211,$G211,$K211))&lt;&gt;"",IF($L211&gt;$M211,$F211,IF($L211&lt;$M211,$G211,$N211))&lt;&gt;"",IF($I211&gt;$J211,$F211,IF($I211&lt;$J211,$G211,$K211))=IF($L211&gt;$M211,$F211,IF($L211&lt;$M211,$G211,$N211))),1,0))</x:f>
      </x:c>
      <x:c r="Q211" s="59" t="str">
        <x:f>IF($O211="","",$O211+$P211)</x:f>
      </x:c>
      <x:c r="R211" s="59" t="str">
        <x:f>IF($Q211="","",IF($O211=3,"Cravada",IF(AND($H211="Sim",$L211=$M211,$I211=$J211,$O211=2),"Empate cravado",IF($O211=1,"Resultado certo",IF($O211=-2,"Invertida",IF($P211=1,"Acertou quem passa","Erro"))))))</x:f>
      </x:c>
      <x:c r="S211" s="59" t="str">
        <x:f>IF($O211="","",--(OR($O211=3,AND($H211="Sim",$L211=$M211,$I211=$J211,$O211=2))))</x:f>
      </x:c>
      <x:c r="T211" s="59" t="str">
        <x:f>IF($O211="","",--($O211=-2))</x:f>
      </x:c>
      <x:c r="U211" s="59" t="str">
        <x:f>IF($O211="","",--($O211=1))</x:f>
      </x:c>
      <x:c r="V211" s="59" t="n">
        <x:f>--(AND($I211&lt;&gt;"",$J211&lt;&gt;""))</x:f>
        <x:v>0</x:v>
      </x:c>
    </x:row>
    <x:row r="212">
      <x:c r="A212" s="21" t="str">
        <x:f>INDEX(Config!$B$10:$B$16,INT((ROW()-5)/104)+1)</x:f>
        <x:v>Leo C.</x:v>
      </x:c>
      <x:c r="B212" s="21" t="str">
        <x:v>FINAL</x:v>
      </x:c>
      <x:c r="C212" s="21" t="n">
        <x:v>104</x:v>
      </x:c>
      <x:c r="D212" s="21" t="str">
        <x:v>Final</x:v>
      </x:c>
      <x:c r="E212" s="21" t="str">
        <x:v>2026-07-19</x:v>
      </x:c>
      <x:c r="F212" s="21" t="str">
        <x:f>IFERROR(INDEX('Resultados'!$G$5:$G$108,MATCH($B212,'Resultados'!$A$5:$A$108,0)),"")</x:f>
        <x:v>Vencedor M101</x:v>
      </x:c>
      <x:c r="G212" s="21" t="str">
        <x:f>IFERROR(INDEX('Resultados'!$J$5:$J$108,MATCH($B212,'Resultados'!$A$5:$A$108,0)),"")</x:f>
        <x:v>Vencedor M102</x:v>
      </x:c>
      <x:c r="H212" s="21" t="str">
        <x:v>Sim</x:v>
      </x:c>
      <x:c r="I212" s="22"/>
      <x:c r="J212" s="22"/>
      <x:c r="K212" s="23"/>
      <x:c r="L212" s="21" t="str">
        <x:f>IFERROR(INDEX('Resultados'!$H$5:$H$108,MATCH($B212,'Resultados'!$A$5:$A$108,0)),"")</x:f>
      </x:c>
      <x:c r="M212" s="21" t="str">
        <x:f>IFERROR(INDEX('Resultados'!$I$5:$I$108,MATCH($B212,'Resultados'!$A$5:$A$108,0)),"")</x:f>
      </x:c>
      <x:c r="N212" s="21" t="str">
        <x:f>IFERROR(INDEX('Resultados'!$L$5:$L$108,MATCH($B212,'Resultados'!$A$5:$A$108,0)),"")</x:f>
      </x:c>
      <x:c r="O212" s="59" t="str">
        <x:f>IF(OR($I212="",$J212="",$L212="",$M212=""),"",IF(AND($H212="Sim",$L212=$M212),IF($I212&lt;&gt;$J212,0,IF(AND($I212=$L212,$J212=$M212),2,1)),IF(AND($I212=$L212,$J212=$M212),3,IF(AND($I212&lt;&gt;$J212,$I212=$M212,$J212=$L212),-2,IF(SIGN($I212-$J212)=SIGN($L212-$M212),1,0)))))</x:f>
      </x:c>
      <x:c r="P212" s="59" t="str">
        <x:f>IF(OR($H212&lt;&gt;"Sim",$I212="",$J212="",$L212="",$M212=""),"",IF(AND(IF($I212&gt;$J212,$F212,IF($I212&lt;$J212,$G212,$K212))&lt;&gt;"",IF($L212&gt;$M212,$F212,IF($L212&lt;$M212,$G212,$N212))&lt;&gt;"",IF($I212&gt;$J212,$F212,IF($I212&lt;$J212,$G212,$K212))=IF($L212&gt;$M212,$F212,IF($L212&lt;$M212,$G212,$N212))),1,0))</x:f>
      </x:c>
      <x:c r="Q212" s="59" t="str">
        <x:f>IF($O212="","",$O212+$P212)</x:f>
      </x:c>
      <x:c r="R212" s="59" t="str">
        <x:f>IF($Q212="","",IF($O212=3,"Cravada",IF(AND($H212="Sim",$L212=$M212,$I212=$J212,$O212=2),"Empate cravado",IF($O212=1,"Resultado certo",IF($O212=-2,"Invertida",IF($P212=1,"Acertou quem passa","Erro"))))))</x:f>
      </x:c>
      <x:c r="S212" s="59" t="str">
        <x:f>IF($O212="","",--(OR($O212=3,AND($H212="Sim",$L212=$M212,$I212=$J212,$O212=2))))</x:f>
      </x:c>
      <x:c r="T212" s="59" t="str">
        <x:f>IF($O212="","",--($O212=-2))</x:f>
      </x:c>
      <x:c r="U212" s="59" t="str">
        <x:f>IF($O212="","",--($O212=1))</x:f>
      </x:c>
      <x:c r="V212" s="59" t="n">
        <x:f>--(AND($I212&lt;&gt;"",$J212&lt;&gt;""))</x:f>
        <x:v>0</x:v>
      </x:c>
    </x:row>
    <x:row r="213">
      <x:c r="A213" s="21" t="str">
        <x:f>INDEX(Config!$B$10:$B$16,INT((ROW()-5)/104)+1)</x:f>
        <x:v>Gabriel</x:v>
      </x:c>
      <x:c r="B213" s="21" t="str">
        <x:v>GA1</x:v>
      </x:c>
      <x:c r="C213" s="21" t="n">
        <x:v>1</x:v>
      </x:c>
      <x:c r="D213" s="21" t="str">
        <x:v>Grupo A</x:v>
      </x:c>
      <x:c r="E213" s="21" t="str">
        <x:v>2026-06-11</x:v>
      </x:c>
      <x:c r="F213" s="21" t="str">
        <x:f>IFERROR(INDEX('Resultados'!$G$5:$G$108,MATCH($B213,'Resultados'!$A$5:$A$108,0)),"")</x:f>
        <x:v>México</x:v>
      </x:c>
      <x:c r="G213" s="21" t="str">
        <x:f>IFERROR(INDEX('Resultados'!$J$5:$J$108,MATCH($B213,'Resultados'!$A$5:$A$108,0)),"")</x:f>
        <x:v>África do Sul</x:v>
      </x:c>
      <x:c r="H213" s="21" t="str">
        <x:v>Não</x:v>
      </x:c>
      <x:c r="I213" s="22"/>
      <x:c r="J213" s="22"/>
      <x:c r="K213" s="23"/>
      <x:c r="L213" s="21" t="str">
        <x:f>IFERROR(INDEX('Resultados'!$H$5:$H$108,MATCH($B213,'Resultados'!$A$5:$A$108,0)),"")</x:f>
      </x:c>
      <x:c r="M213" s="21" t="str">
        <x:f>IFERROR(INDEX('Resultados'!$I$5:$I$108,MATCH($B213,'Resultados'!$A$5:$A$108,0)),"")</x:f>
      </x:c>
      <x:c r="N213" s="21" t="str">
        <x:f>IFERROR(INDEX('Resultados'!$L$5:$L$108,MATCH($B213,'Resultados'!$A$5:$A$108,0)),"")</x:f>
      </x:c>
      <x:c r="O213" s="59" t="str">
        <x:f>IF(OR($I213="",$J213="",$L213="",$M213=""),"",IF(AND($H213="Sim",$L213=$M213),IF($I213&lt;&gt;$J213,0,IF(AND($I213=$L213,$J213=$M213),2,1)),IF(AND($I213=$L213,$J213=$M213),3,IF(AND($I213&lt;&gt;$J213,$I213=$M213,$J213=$L213),-2,IF(SIGN($I213-$J213)=SIGN($L213-$M213),1,0)))))</x:f>
      </x:c>
      <x:c r="P213" s="59" t="str">
        <x:f>IF(OR($H213&lt;&gt;"Sim",$I213="",$J213="",$L213="",$M213=""),"",IF(AND(IF($I213&gt;$J213,$F213,IF($I213&lt;$J213,$G213,$K213))&lt;&gt;"",IF($L213&gt;$M213,$F213,IF($L213&lt;$M213,$G213,$N213))&lt;&gt;"",IF($I213&gt;$J213,$F213,IF($I213&lt;$J213,$G213,$K213))=IF($L213&gt;$M213,$F213,IF($L213&lt;$M213,$G213,$N213))),1,0))</x:f>
      </x:c>
      <x:c r="Q213" s="59" t="str">
        <x:f>IF($O213="","",$O213+$P213)</x:f>
      </x:c>
      <x:c r="R213" s="59" t="str">
        <x:f>IF($Q213="","",IF($O213=3,"Cravada",IF(AND($H213="Sim",$L213=$M213,$I213=$J213,$O213=2),"Empate cravado",IF($O213=1,"Resultado certo",IF($O213=-2,"Invertida",IF($P213=1,"Acertou quem passa","Erro"))))))</x:f>
      </x:c>
      <x:c r="S213" s="59" t="str">
        <x:f>IF($O213="","",--(OR($O213=3,AND($H213="Sim",$L213=$M213,$I213=$J213,$O213=2))))</x:f>
      </x:c>
      <x:c r="T213" s="59" t="str">
        <x:f>IF($O213="","",--($O213=-2))</x:f>
      </x:c>
      <x:c r="U213" s="59" t="str">
        <x:f>IF($O213="","",--($O213=1))</x:f>
      </x:c>
      <x:c r="V213" s="59" t="n">
        <x:f>--(AND($I213&lt;&gt;"",$J213&lt;&gt;""))</x:f>
        <x:v>0</x:v>
      </x:c>
    </x:row>
    <x:row r="214">
      <x:c r="A214" s="21" t="str">
        <x:f>INDEX(Config!$B$10:$B$16,INT((ROW()-5)/104)+1)</x:f>
        <x:v>Gabriel</x:v>
      </x:c>
      <x:c r="B214" s="21" t="str">
        <x:v>GA2</x:v>
      </x:c>
      <x:c r="C214" s="21" t="n">
        <x:v>2</x:v>
      </x:c>
      <x:c r="D214" s="21" t="str">
        <x:v>Grupo A</x:v>
      </x:c>
      <x:c r="E214" s="21" t="str">
        <x:v>2026-06-11</x:v>
      </x:c>
      <x:c r="F214" s="21" t="str">
        <x:f>IFERROR(INDEX('Resultados'!$G$5:$G$108,MATCH($B214,'Resultados'!$A$5:$A$108,0)),"")</x:f>
        <x:v>Coreia do Sul</x:v>
      </x:c>
      <x:c r="G214" s="21" t="str">
        <x:f>IFERROR(INDEX('Resultados'!$J$5:$J$108,MATCH($B214,'Resultados'!$A$5:$A$108,0)),"")</x:f>
        <x:v>Rep. Tcheca</x:v>
      </x:c>
      <x:c r="H214" s="21" t="str">
        <x:v>Não</x:v>
      </x:c>
      <x:c r="I214" s="22"/>
      <x:c r="J214" s="22"/>
      <x:c r="K214" s="23"/>
      <x:c r="L214" s="21" t="str">
        <x:f>IFERROR(INDEX('Resultados'!$H$5:$H$108,MATCH($B214,'Resultados'!$A$5:$A$108,0)),"")</x:f>
      </x:c>
      <x:c r="M214" s="21" t="str">
        <x:f>IFERROR(INDEX('Resultados'!$I$5:$I$108,MATCH($B214,'Resultados'!$A$5:$A$108,0)),"")</x:f>
      </x:c>
      <x:c r="N214" s="21" t="str">
        <x:f>IFERROR(INDEX('Resultados'!$L$5:$L$108,MATCH($B214,'Resultados'!$A$5:$A$108,0)),"")</x:f>
      </x:c>
      <x:c r="O214" s="59" t="str">
        <x:f>IF(OR($I214="",$J214="",$L214="",$M214=""),"",IF(AND($H214="Sim",$L214=$M214),IF($I214&lt;&gt;$J214,0,IF(AND($I214=$L214,$J214=$M214),2,1)),IF(AND($I214=$L214,$J214=$M214),3,IF(AND($I214&lt;&gt;$J214,$I214=$M214,$J214=$L214),-2,IF(SIGN($I214-$J214)=SIGN($L214-$M214),1,0)))))</x:f>
      </x:c>
      <x:c r="P214" s="59" t="str">
        <x:f>IF(OR($H214&lt;&gt;"Sim",$I214="",$J214="",$L214="",$M214=""),"",IF(AND(IF($I214&gt;$J214,$F214,IF($I214&lt;$J214,$G214,$K214))&lt;&gt;"",IF($L214&gt;$M214,$F214,IF($L214&lt;$M214,$G214,$N214))&lt;&gt;"",IF($I214&gt;$J214,$F214,IF($I214&lt;$J214,$G214,$K214))=IF($L214&gt;$M214,$F214,IF($L214&lt;$M214,$G214,$N214))),1,0))</x:f>
      </x:c>
      <x:c r="Q214" s="59" t="str">
        <x:f>IF($O214="","",$O214+$P214)</x:f>
      </x:c>
      <x:c r="R214" s="59" t="str">
        <x:f>IF($Q214="","",IF($O214=3,"Cravada",IF(AND($H214="Sim",$L214=$M214,$I214=$J214,$O214=2),"Empate cravado",IF($O214=1,"Resultado certo",IF($O214=-2,"Invertida",IF($P214=1,"Acertou quem passa","Erro"))))))</x:f>
      </x:c>
      <x:c r="S214" s="59" t="str">
        <x:f>IF($O214="","",--(OR($O214=3,AND($H214="Sim",$L214=$M214,$I214=$J214,$O214=2))))</x:f>
      </x:c>
      <x:c r="T214" s="59" t="str">
        <x:f>IF($O214="","",--($O214=-2))</x:f>
      </x:c>
      <x:c r="U214" s="59" t="str">
        <x:f>IF($O214="","",--($O214=1))</x:f>
      </x:c>
      <x:c r="V214" s="59" t="n">
        <x:f>--(AND($I214&lt;&gt;"",$J214&lt;&gt;""))</x:f>
        <x:v>0</x:v>
      </x:c>
    </x:row>
    <x:row r="215">
      <x:c r="A215" s="21" t="str">
        <x:f>INDEX(Config!$B$10:$B$16,INT((ROW()-5)/104)+1)</x:f>
        <x:v>Gabriel</x:v>
      </x:c>
      <x:c r="B215" s="21" t="str">
        <x:v>GA3</x:v>
      </x:c>
      <x:c r="C215" s="21" t="n">
        <x:v>3</x:v>
      </x:c>
      <x:c r="D215" s="21" t="str">
        <x:v>Grupo A</x:v>
      </x:c>
      <x:c r="E215" s="21" t="str">
        <x:v>2026-06-18</x:v>
      </x:c>
      <x:c r="F215" s="21" t="str">
        <x:f>IFERROR(INDEX('Resultados'!$G$5:$G$108,MATCH($B215,'Resultados'!$A$5:$A$108,0)),"")</x:f>
        <x:v>México</x:v>
      </x:c>
      <x:c r="G215" s="21" t="str">
        <x:f>IFERROR(INDEX('Resultados'!$J$5:$J$108,MATCH($B215,'Resultados'!$A$5:$A$108,0)),"")</x:f>
        <x:v>Coreia do Sul</x:v>
      </x:c>
      <x:c r="H215" s="21" t="str">
        <x:v>Não</x:v>
      </x:c>
      <x:c r="I215" s="22"/>
      <x:c r="J215" s="22"/>
      <x:c r="K215" s="23"/>
      <x:c r="L215" s="21" t="str">
        <x:f>IFERROR(INDEX('Resultados'!$H$5:$H$108,MATCH($B215,'Resultados'!$A$5:$A$108,0)),"")</x:f>
      </x:c>
      <x:c r="M215" s="21" t="str">
        <x:f>IFERROR(INDEX('Resultados'!$I$5:$I$108,MATCH($B215,'Resultados'!$A$5:$A$108,0)),"")</x:f>
      </x:c>
      <x:c r="N215" s="21" t="str">
        <x:f>IFERROR(INDEX('Resultados'!$L$5:$L$108,MATCH($B215,'Resultados'!$A$5:$A$108,0)),"")</x:f>
      </x:c>
      <x:c r="O215" s="59" t="str">
        <x:f>IF(OR($I215="",$J215="",$L215="",$M215=""),"",IF(AND($H215="Sim",$L215=$M215),IF($I215&lt;&gt;$J215,0,IF(AND($I215=$L215,$J215=$M215),2,1)),IF(AND($I215=$L215,$J215=$M215),3,IF(AND($I215&lt;&gt;$J215,$I215=$M215,$J215=$L215),-2,IF(SIGN($I215-$J215)=SIGN($L215-$M215),1,0)))))</x:f>
      </x:c>
      <x:c r="P215" s="59" t="str">
        <x:f>IF(OR($H215&lt;&gt;"Sim",$I215="",$J215="",$L215="",$M215=""),"",IF(AND(IF($I215&gt;$J215,$F215,IF($I215&lt;$J215,$G215,$K215))&lt;&gt;"",IF($L215&gt;$M215,$F215,IF($L215&lt;$M215,$G215,$N215))&lt;&gt;"",IF($I215&gt;$J215,$F215,IF($I215&lt;$J215,$G215,$K215))=IF($L215&gt;$M215,$F215,IF($L215&lt;$M215,$G215,$N215))),1,0))</x:f>
      </x:c>
      <x:c r="Q215" s="59" t="str">
        <x:f>IF($O215="","",$O215+$P215)</x:f>
      </x:c>
      <x:c r="R215" s="59" t="str">
        <x:f>IF($Q215="","",IF($O215=3,"Cravada",IF(AND($H215="Sim",$L215=$M215,$I215=$J215,$O215=2),"Empate cravado",IF($O215=1,"Resultado certo",IF($O215=-2,"Invertida",IF($P215=1,"Acertou quem passa","Erro"))))))</x:f>
      </x:c>
      <x:c r="S215" s="59" t="str">
        <x:f>IF($O215="","",--(OR($O215=3,AND($H215="Sim",$L215=$M215,$I215=$J215,$O215=2))))</x:f>
      </x:c>
      <x:c r="T215" s="59" t="str">
        <x:f>IF($O215="","",--($O215=-2))</x:f>
      </x:c>
      <x:c r="U215" s="59" t="str">
        <x:f>IF($O215="","",--($O215=1))</x:f>
      </x:c>
      <x:c r="V215" s="59" t="n">
        <x:f>--(AND($I215&lt;&gt;"",$J215&lt;&gt;""))</x:f>
        <x:v>0</x:v>
      </x:c>
    </x:row>
    <x:row r="216">
      <x:c r="A216" s="21" t="str">
        <x:f>INDEX(Config!$B$10:$B$16,INT((ROW()-5)/104)+1)</x:f>
        <x:v>Gabriel</x:v>
      </x:c>
      <x:c r="B216" s="21" t="str">
        <x:v>GA4</x:v>
      </x:c>
      <x:c r="C216" s="21" t="n">
        <x:v>4</x:v>
      </x:c>
      <x:c r="D216" s="21" t="str">
        <x:v>Grupo A</x:v>
      </x:c>
      <x:c r="E216" s="21" t="str">
        <x:v>2026-06-18</x:v>
      </x:c>
      <x:c r="F216" s="21" t="str">
        <x:f>IFERROR(INDEX('Resultados'!$G$5:$G$108,MATCH($B216,'Resultados'!$A$5:$A$108,0)),"")</x:f>
        <x:v>África do Sul</x:v>
      </x:c>
      <x:c r="G216" s="21" t="str">
        <x:f>IFERROR(INDEX('Resultados'!$J$5:$J$108,MATCH($B216,'Resultados'!$A$5:$A$108,0)),"")</x:f>
        <x:v>Rep. Tcheca</x:v>
      </x:c>
      <x:c r="H216" s="21" t="str">
        <x:v>Não</x:v>
      </x:c>
      <x:c r="I216" s="22"/>
      <x:c r="J216" s="22"/>
      <x:c r="K216" s="23"/>
      <x:c r="L216" s="21" t="str">
        <x:f>IFERROR(INDEX('Resultados'!$H$5:$H$108,MATCH($B216,'Resultados'!$A$5:$A$108,0)),"")</x:f>
      </x:c>
      <x:c r="M216" s="21" t="str">
        <x:f>IFERROR(INDEX('Resultados'!$I$5:$I$108,MATCH($B216,'Resultados'!$A$5:$A$108,0)),"")</x:f>
      </x:c>
      <x:c r="N216" s="21" t="str">
        <x:f>IFERROR(INDEX('Resultados'!$L$5:$L$108,MATCH($B216,'Resultados'!$A$5:$A$108,0)),"")</x:f>
      </x:c>
      <x:c r="O216" s="59" t="str">
        <x:f>IF(OR($I216="",$J216="",$L216="",$M216=""),"",IF(AND($H216="Sim",$L216=$M216),IF($I216&lt;&gt;$J216,0,IF(AND($I216=$L216,$J216=$M216),2,1)),IF(AND($I216=$L216,$J216=$M216),3,IF(AND($I216&lt;&gt;$J216,$I216=$M216,$J216=$L216),-2,IF(SIGN($I216-$J216)=SIGN($L216-$M216),1,0)))))</x:f>
      </x:c>
      <x:c r="P216" s="59" t="str">
        <x:f>IF(OR($H216&lt;&gt;"Sim",$I216="",$J216="",$L216="",$M216=""),"",IF(AND(IF($I216&gt;$J216,$F216,IF($I216&lt;$J216,$G216,$K216))&lt;&gt;"",IF($L216&gt;$M216,$F216,IF($L216&lt;$M216,$G216,$N216))&lt;&gt;"",IF($I216&gt;$J216,$F216,IF($I216&lt;$J216,$G216,$K216))=IF($L216&gt;$M216,$F216,IF($L216&lt;$M216,$G216,$N216))),1,0))</x:f>
      </x:c>
      <x:c r="Q216" s="59" t="str">
        <x:f>IF($O216="","",$O216+$P216)</x:f>
      </x:c>
      <x:c r="R216" s="59" t="str">
        <x:f>IF($Q216="","",IF($O216=3,"Cravada",IF(AND($H216="Sim",$L216=$M216,$I216=$J216,$O216=2),"Empate cravado",IF($O216=1,"Resultado certo",IF($O216=-2,"Invertida",IF($P216=1,"Acertou quem passa","Erro"))))))</x:f>
      </x:c>
      <x:c r="S216" s="59" t="str">
        <x:f>IF($O216="","",--(OR($O216=3,AND($H216="Sim",$L216=$M216,$I216=$J216,$O216=2))))</x:f>
      </x:c>
      <x:c r="T216" s="59" t="str">
        <x:f>IF($O216="","",--($O216=-2))</x:f>
      </x:c>
      <x:c r="U216" s="59" t="str">
        <x:f>IF($O216="","",--($O216=1))</x:f>
      </x:c>
      <x:c r="V216" s="59" t="n">
        <x:f>--(AND($I216&lt;&gt;"",$J216&lt;&gt;""))</x:f>
        <x:v>0</x:v>
      </x:c>
    </x:row>
    <x:row r="217">
      <x:c r="A217" s="21" t="str">
        <x:f>INDEX(Config!$B$10:$B$16,INT((ROW()-5)/104)+1)</x:f>
        <x:v>Gabriel</x:v>
      </x:c>
      <x:c r="B217" s="21" t="str">
        <x:v>GA5</x:v>
      </x:c>
      <x:c r="C217" s="21" t="n">
        <x:v>5</x:v>
      </x:c>
      <x:c r="D217" s="21" t="str">
        <x:v>Grupo A</x:v>
      </x:c>
      <x:c r="E217" s="21" t="str">
        <x:v>2026-06-24</x:v>
      </x:c>
      <x:c r="F217" s="21" t="str">
        <x:f>IFERROR(INDEX('Resultados'!$G$5:$G$108,MATCH($B217,'Resultados'!$A$5:$A$108,0)),"")</x:f>
        <x:v>México</x:v>
      </x:c>
      <x:c r="G217" s="21" t="str">
        <x:f>IFERROR(INDEX('Resultados'!$J$5:$J$108,MATCH($B217,'Resultados'!$A$5:$A$108,0)),"")</x:f>
        <x:v>Rep. Tcheca</x:v>
      </x:c>
      <x:c r="H217" s="21" t="str">
        <x:v>Não</x:v>
      </x:c>
      <x:c r="I217" s="22"/>
      <x:c r="J217" s="22"/>
      <x:c r="K217" s="23"/>
      <x:c r="L217" s="21" t="str">
        <x:f>IFERROR(INDEX('Resultados'!$H$5:$H$108,MATCH($B217,'Resultados'!$A$5:$A$108,0)),"")</x:f>
      </x:c>
      <x:c r="M217" s="21" t="str">
        <x:f>IFERROR(INDEX('Resultados'!$I$5:$I$108,MATCH($B217,'Resultados'!$A$5:$A$108,0)),"")</x:f>
      </x:c>
      <x:c r="N217" s="21" t="str">
        <x:f>IFERROR(INDEX('Resultados'!$L$5:$L$108,MATCH($B217,'Resultados'!$A$5:$A$108,0)),"")</x:f>
      </x:c>
      <x:c r="O217" s="59" t="str">
        <x:f>IF(OR($I217="",$J217="",$L217="",$M217=""),"",IF(AND($H217="Sim",$L217=$M217),IF($I217&lt;&gt;$J217,0,IF(AND($I217=$L217,$J217=$M217),2,1)),IF(AND($I217=$L217,$J217=$M217),3,IF(AND($I217&lt;&gt;$J217,$I217=$M217,$J217=$L217),-2,IF(SIGN($I217-$J217)=SIGN($L217-$M217),1,0)))))</x:f>
      </x:c>
      <x:c r="P217" s="59" t="str">
        <x:f>IF(OR($H217&lt;&gt;"Sim",$I217="",$J217="",$L217="",$M217=""),"",IF(AND(IF($I217&gt;$J217,$F217,IF($I217&lt;$J217,$G217,$K217))&lt;&gt;"",IF($L217&gt;$M217,$F217,IF($L217&lt;$M217,$G217,$N217))&lt;&gt;"",IF($I217&gt;$J217,$F217,IF($I217&lt;$J217,$G217,$K217))=IF($L217&gt;$M217,$F217,IF($L217&lt;$M217,$G217,$N217))),1,0))</x:f>
      </x:c>
      <x:c r="Q217" s="59" t="str">
        <x:f>IF($O217="","",$O217+$P217)</x:f>
      </x:c>
      <x:c r="R217" s="59" t="str">
        <x:f>IF($Q217="","",IF($O217=3,"Cravada",IF(AND($H217="Sim",$L217=$M217,$I217=$J217,$O217=2),"Empate cravado",IF($O217=1,"Resultado certo",IF($O217=-2,"Invertida",IF($P217=1,"Acertou quem passa","Erro"))))))</x:f>
      </x:c>
      <x:c r="S217" s="59" t="str">
        <x:f>IF($O217="","",--(OR($O217=3,AND($H217="Sim",$L217=$M217,$I217=$J217,$O217=2))))</x:f>
      </x:c>
      <x:c r="T217" s="59" t="str">
        <x:f>IF($O217="","",--($O217=-2))</x:f>
      </x:c>
      <x:c r="U217" s="59" t="str">
        <x:f>IF($O217="","",--($O217=1))</x:f>
      </x:c>
      <x:c r="V217" s="59" t="n">
        <x:f>--(AND($I217&lt;&gt;"",$J217&lt;&gt;""))</x:f>
        <x:v>0</x:v>
      </x:c>
    </x:row>
    <x:row r="218">
      <x:c r="A218" s="21" t="str">
        <x:f>INDEX(Config!$B$10:$B$16,INT((ROW()-5)/104)+1)</x:f>
        <x:v>Gabriel</x:v>
      </x:c>
      <x:c r="B218" s="21" t="str">
        <x:v>GA6</x:v>
      </x:c>
      <x:c r="C218" s="21" t="n">
        <x:v>6</x:v>
      </x:c>
      <x:c r="D218" s="21" t="str">
        <x:v>Grupo A</x:v>
      </x:c>
      <x:c r="E218" s="21" t="str">
        <x:v>2026-06-24</x:v>
      </x:c>
      <x:c r="F218" s="21" t="str">
        <x:f>IFERROR(INDEX('Resultados'!$G$5:$G$108,MATCH($B218,'Resultados'!$A$5:$A$108,0)),"")</x:f>
        <x:v>África do Sul</x:v>
      </x:c>
      <x:c r="G218" s="21" t="str">
        <x:f>IFERROR(INDEX('Resultados'!$J$5:$J$108,MATCH($B218,'Resultados'!$A$5:$A$108,0)),"")</x:f>
        <x:v>Coreia do Sul</x:v>
      </x:c>
      <x:c r="H218" s="21" t="str">
        <x:v>Não</x:v>
      </x:c>
      <x:c r="I218" s="22"/>
      <x:c r="J218" s="22"/>
      <x:c r="K218" s="23"/>
      <x:c r="L218" s="21" t="str">
        <x:f>IFERROR(INDEX('Resultados'!$H$5:$H$108,MATCH($B218,'Resultados'!$A$5:$A$108,0)),"")</x:f>
      </x:c>
      <x:c r="M218" s="21" t="str">
        <x:f>IFERROR(INDEX('Resultados'!$I$5:$I$108,MATCH($B218,'Resultados'!$A$5:$A$108,0)),"")</x:f>
      </x:c>
      <x:c r="N218" s="21" t="str">
        <x:f>IFERROR(INDEX('Resultados'!$L$5:$L$108,MATCH($B218,'Resultados'!$A$5:$A$108,0)),"")</x:f>
      </x:c>
      <x:c r="O218" s="59" t="str">
        <x:f>IF(OR($I218="",$J218="",$L218="",$M218=""),"",IF(AND($H218="Sim",$L218=$M218),IF($I218&lt;&gt;$J218,0,IF(AND($I218=$L218,$J218=$M218),2,1)),IF(AND($I218=$L218,$J218=$M218),3,IF(AND($I218&lt;&gt;$J218,$I218=$M218,$J218=$L218),-2,IF(SIGN($I218-$J218)=SIGN($L218-$M218),1,0)))))</x:f>
      </x:c>
      <x:c r="P218" s="59" t="str">
        <x:f>IF(OR($H218&lt;&gt;"Sim",$I218="",$J218="",$L218="",$M218=""),"",IF(AND(IF($I218&gt;$J218,$F218,IF($I218&lt;$J218,$G218,$K218))&lt;&gt;"",IF($L218&gt;$M218,$F218,IF($L218&lt;$M218,$G218,$N218))&lt;&gt;"",IF($I218&gt;$J218,$F218,IF($I218&lt;$J218,$G218,$K218))=IF($L218&gt;$M218,$F218,IF($L218&lt;$M218,$G218,$N218))),1,0))</x:f>
      </x:c>
      <x:c r="Q218" s="59" t="str">
        <x:f>IF($O218="","",$O218+$P218)</x:f>
      </x:c>
      <x:c r="R218" s="59" t="str">
        <x:f>IF($Q218="","",IF($O218=3,"Cravada",IF(AND($H218="Sim",$L218=$M218,$I218=$J218,$O218=2),"Empate cravado",IF($O218=1,"Resultado certo",IF($O218=-2,"Invertida",IF($P218=1,"Acertou quem passa","Erro"))))))</x:f>
      </x:c>
      <x:c r="S218" s="59" t="str">
        <x:f>IF($O218="","",--(OR($O218=3,AND($H218="Sim",$L218=$M218,$I218=$J218,$O218=2))))</x:f>
      </x:c>
      <x:c r="T218" s="59" t="str">
        <x:f>IF($O218="","",--($O218=-2))</x:f>
      </x:c>
      <x:c r="U218" s="59" t="str">
        <x:f>IF($O218="","",--($O218=1))</x:f>
      </x:c>
      <x:c r="V218" s="59" t="n">
        <x:f>--(AND($I218&lt;&gt;"",$J218&lt;&gt;""))</x:f>
        <x:v>0</x:v>
      </x:c>
    </x:row>
    <x:row r="219">
      <x:c r="A219" s="21" t="str">
        <x:f>INDEX(Config!$B$10:$B$16,INT((ROW()-5)/104)+1)</x:f>
        <x:v>Gabriel</x:v>
      </x:c>
      <x:c r="B219" s="21" t="str">
        <x:v>GB1</x:v>
      </x:c>
      <x:c r="C219" s="21" t="n">
        <x:v>7</x:v>
      </x:c>
      <x:c r="D219" s="21" t="str">
        <x:v>Grupo B</x:v>
      </x:c>
      <x:c r="E219" s="21" t="str">
        <x:v>2026-06-12</x:v>
      </x:c>
      <x:c r="F219" s="21" t="str">
        <x:f>IFERROR(INDEX('Resultados'!$G$5:$G$108,MATCH($B219,'Resultados'!$A$5:$A$108,0)),"")</x:f>
        <x:v>Canadá</x:v>
      </x:c>
      <x:c r="G219" s="21" t="str">
        <x:f>IFERROR(INDEX('Resultados'!$J$5:$J$108,MATCH($B219,'Resultados'!$A$5:$A$108,0)),"")</x:f>
        <x:v>Bósnia-Herzegovina</x:v>
      </x:c>
      <x:c r="H219" s="21" t="str">
        <x:v>Não</x:v>
      </x:c>
      <x:c r="I219" s="22"/>
      <x:c r="J219" s="22"/>
      <x:c r="K219" s="23"/>
      <x:c r="L219" s="21" t="str">
        <x:f>IFERROR(INDEX('Resultados'!$H$5:$H$108,MATCH($B219,'Resultados'!$A$5:$A$108,0)),"")</x:f>
      </x:c>
      <x:c r="M219" s="21" t="str">
        <x:f>IFERROR(INDEX('Resultados'!$I$5:$I$108,MATCH($B219,'Resultados'!$A$5:$A$108,0)),"")</x:f>
      </x:c>
      <x:c r="N219" s="21" t="str">
        <x:f>IFERROR(INDEX('Resultados'!$L$5:$L$108,MATCH($B219,'Resultados'!$A$5:$A$108,0)),"")</x:f>
      </x:c>
      <x:c r="O219" s="59" t="str">
        <x:f>IF(OR($I219="",$J219="",$L219="",$M219=""),"",IF(AND($H219="Sim",$L219=$M219),IF($I219&lt;&gt;$J219,0,IF(AND($I219=$L219,$J219=$M219),2,1)),IF(AND($I219=$L219,$J219=$M219),3,IF(AND($I219&lt;&gt;$J219,$I219=$M219,$J219=$L219),-2,IF(SIGN($I219-$J219)=SIGN($L219-$M219),1,0)))))</x:f>
      </x:c>
      <x:c r="P219" s="59" t="str">
        <x:f>IF(OR($H219&lt;&gt;"Sim",$I219="",$J219="",$L219="",$M219=""),"",IF(AND(IF($I219&gt;$J219,$F219,IF($I219&lt;$J219,$G219,$K219))&lt;&gt;"",IF($L219&gt;$M219,$F219,IF($L219&lt;$M219,$G219,$N219))&lt;&gt;"",IF($I219&gt;$J219,$F219,IF($I219&lt;$J219,$G219,$K219))=IF($L219&gt;$M219,$F219,IF($L219&lt;$M219,$G219,$N219))),1,0))</x:f>
      </x:c>
      <x:c r="Q219" s="59" t="str">
        <x:f>IF($O219="","",$O219+$P219)</x:f>
      </x:c>
      <x:c r="R219" s="59" t="str">
        <x:f>IF($Q219="","",IF($O219=3,"Cravada",IF(AND($H219="Sim",$L219=$M219,$I219=$J219,$O219=2),"Empate cravado",IF($O219=1,"Resultado certo",IF($O219=-2,"Invertida",IF($P219=1,"Acertou quem passa","Erro"))))))</x:f>
      </x:c>
      <x:c r="S219" s="59" t="str">
        <x:f>IF($O219="","",--(OR($O219=3,AND($H219="Sim",$L219=$M219,$I219=$J219,$O219=2))))</x:f>
      </x:c>
      <x:c r="T219" s="59" t="str">
        <x:f>IF($O219="","",--($O219=-2))</x:f>
      </x:c>
      <x:c r="U219" s="59" t="str">
        <x:f>IF($O219="","",--($O219=1))</x:f>
      </x:c>
      <x:c r="V219" s="59" t="n">
        <x:f>--(AND($I219&lt;&gt;"",$J219&lt;&gt;""))</x:f>
        <x:v>0</x:v>
      </x:c>
    </x:row>
    <x:row r="220">
      <x:c r="A220" s="21" t="str">
        <x:f>INDEX(Config!$B$10:$B$16,INT((ROW()-5)/104)+1)</x:f>
        <x:v>Gabriel</x:v>
      </x:c>
      <x:c r="B220" s="21" t="str">
        <x:v>GB2</x:v>
      </x:c>
      <x:c r="C220" s="21" t="n">
        <x:v>8</x:v>
      </x:c>
      <x:c r="D220" s="21" t="str">
        <x:v>Grupo B</x:v>
      </x:c>
      <x:c r="E220" s="21" t="str">
        <x:v>2026-06-13</x:v>
      </x:c>
      <x:c r="F220" s="21" t="str">
        <x:f>IFERROR(INDEX('Resultados'!$G$5:$G$108,MATCH($B220,'Resultados'!$A$5:$A$108,0)),"")</x:f>
        <x:v>Catar</x:v>
      </x:c>
      <x:c r="G220" s="21" t="str">
        <x:f>IFERROR(INDEX('Resultados'!$J$5:$J$108,MATCH($B220,'Resultados'!$A$5:$A$108,0)),"")</x:f>
        <x:v>Suíça</x:v>
      </x:c>
      <x:c r="H220" s="21" t="str">
        <x:v>Não</x:v>
      </x:c>
      <x:c r="I220" s="22"/>
      <x:c r="J220" s="22"/>
      <x:c r="K220" s="23"/>
      <x:c r="L220" s="21" t="str">
        <x:f>IFERROR(INDEX('Resultados'!$H$5:$H$108,MATCH($B220,'Resultados'!$A$5:$A$108,0)),"")</x:f>
      </x:c>
      <x:c r="M220" s="21" t="str">
        <x:f>IFERROR(INDEX('Resultados'!$I$5:$I$108,MATCH($B220,'Resultados'!$A$5:$A$108,0)),"")</x:f>
      </x:c>
      <x:c r="N220" s="21" t="str">
        <x:f>IFERROR(INDEX('Resultados'!$L$5:$L$108,MATCH($B220,'Resultados'!$A$5:$A$108,0)),"")</x:f>
      </x:c>
      <x:c r="O220" s="59" t="str">
        <x:f>IF(OR($I220="",$J220="",$L220="",$M220=""),"",IF(AND($H220="Sim",$L220=$M220),IF($I220&lt;&gt;$J220,0,IF(AND($I220=$L220,$J220=$M220),2,1)),IF(AND($I220=$L220,$J220=$M220),3,IF(AND($I220&lt;&gt;$J220,$I220=$M220,$J220=$L220),-2,IF(SIGN($I220-$J220)=SIGN($L220-$M220),1,0)))))</x:f>
      </x:c>
      <x:c r="P220" s="59" t="str">
        <x:f>IF(OR($H220&lt;&gt;"Sim",$I220="",$J220="",$L220="",$M220=""),"",IF(AND(IF($I220&gt;$J220,$F220,IF($I220&lt;$J220,$G220,$K220))&lt;&gt;"",IF($L220&gt;$M220,$F220,IF($L220&lt;$M220,$G220,$N220))&lt;&gt;"",IF($I220&gt;$J220,$F220,IF($I220&lt;$J220,$G220,$K220))=IF($L220&gt;$M220,$F220,IF($L220&lt;$M220,$G220,$N220))),1,0))</x:f>
      </x:c>
      <x:c r="Q220" s="59" t="str">
        <x:f>IF($O220="","",$O220+$P220)</x:f>
      </x:c>
      <x:c r="R220" s="59" t="str">
        <x:f>IF($Q220="","",IF($O220=3,"Cravada",IF(AND($H220="Sim",$L220=$M220,$I220=$J220,$O220=2),"Empate cravado",IF($O220=1,"Resultado certo",IF($O220=-2,"Invertida",IF($P220=1,"Acertou quem passa","Erro"))))))</x:f>
      </x:c>
      <x:c r="S220" s="59" t="str">
        <x:f>IF($O220="","",--(OR($O220=3,AND($H220="Sim",$L220=$M220,$I220=$J220,$O220=2))))</x:f>
      </x:c>
      <x:c r="T220" s="59" t="str">
        <x:f>IF($O220="","",--($O220=-2))</x:f>
      </x:c>
      <x:c r="U220" s="59" t="str">
        <x:f>IF($O220="","",--($O220=1))</x:f>
      </x:c>
      <x:c r="V220" s="59" t="n">
        <x:f>--(AND($I220&lt;&gt;"",$J220&lt;&gt;""))</x:f>
        <x:v>0</x:v>
      </x:c>
    </x:row>
    <x:row r="221">
      <x:c r="A221" s="21" t="str">
        <x:f>INDEX(Config!$B$10:$B$16,INT((ROW()-5)/104)+1)</x:f>
        <x:v>Gabriel</x:v>
      </x:c>
      <x:c r="B221" s="21" t="str">
        <x:v>GB3</x:v>
      </x:c>
      <x:c r="C221" s="21" t="n">
        <x:v>9</x:v>
      </x:c>
      <x:c r="D221" s="21" t="str">
        <x:v>Grupo B</x:v>
      </x:c>
      <x:c r="E221" s="21" t="str">
        <x:v>2026-06-18</x:v>
      </x:c>
      <x:c r="F221" s="21" t="str">
        <x:f>IFERROR(INDEX('Resultados'!$G$5:$G$108,MATCH($B221,'Resultados'!$A$5:$A$108,0)),"")</x:f>
        <x:v>Canadá</x:v>
      </x:c>
      <x:c r="G221" s="21" t="str">
        <x:f>IFERROR(INDEX('Resultados'!$J$5:$J$108,MATCH($B221,'Resultados'!$A$5:$A$108,0)),"")</x:f>
        <x:v>Catar</x:v>
      </x:c>
      <x:c r="H221" s="21" t="str">
        <x:v>Não</x:v>
      </x:c>
      <x:c r="I221" s="22"/>
      <x:c r="J221" s="22"/>
      <x:c r="K221" s="23"/>
      <x:c r="L221" s="21" t="str">
        <x:f>IFERROR(INDEX('Resultados'!$H$5:$H$108,MATCH($B221,'Resultados'!$A$5:$A$108,0)),"")</x:f>
      </x:c>
      <x:c r="M221" s="21" t="str">
        <x:f>IFERROR(INDEX('Resultados'!$I$5:$I$108,MATCH($B221,'Resultados'!$A$5:$A$108,0)),"")</x:f>
      </x:c>
      <x:c r="N221" s="21" t="str">
        <x:f>IFERROR(INDEX('Resultados'!$L$5:$L$108,MATCH($B221,'Resultados'!$A$5:$A$108,0)),"")</x:f>
      </x:c>
      <x:c r="O221" s="59" t="str">
        <x:f>IF(OR($I221="",$J221="",$L221="",$M221=""),"",IF(AND($H221="Sim",$L221=$M221),IF($I221&lt;&gt;$J221,0,IF(AND($I221=$L221,$J221=$M221),2,1)),IF(AND($I221=$L221,$J221=$M221),3,IF(AND($I221&lt;&gt;$J221,$I221=$M221,$J221=$L221),-2,IF(SIGN($I221-$J221)=SIGN($L221-$M221),1,0)))))</x:f>
      </x:c>
      <x:c r="P221" s="59" t="str">
        <x:f>IF(OR($H221&lt;&gt;"Sim",$I221="",$J221="",$L221="",$M221=""),"",IF(AND(IF($I221&gt;$J221,$F221,IF($I221&lt;$J221,$G221,$K221))&lt;&gt;"",IF($L221&gt;$M221,$F221,IF($L221&lt;$M221,$G221,$N221))&lt;&gt;"",IF($I221&gt;$J221,$F221,IF($I221&lt;$J221,$G221,$K221))=IF($L221&gt;$M221,$F221,IF($L221&lt;$M221,$G221,$N221))),1,0))</x:f>
      </x:c>
      <x:c r="Q221" s="59" t="str">
        <x:f>IF($O221="","",$O221+$P221)</x:f>
      </x:c>
      <x:c r="R221" s="59" t="str">
        <x:f>IF($Q221="","",IF($O221=3,"Cravada",IF(AND($H221="Sim",$L221=$M221,$I221=$J221,$O221=2),"Empate cravado",IF($O221=1,"Resultado certo",IF($O221=-2,"Invertida",IF($P221=1,"Acertou quem passa","Erro"))))))</x:f>
      </x:c>
      <x:c r="S221" s="59" t="str">
        <x:f>IF($O221="","",--(OR($O221=3,AND($H221="Sim",$L221=$M221,$I221=$J221,$O221=2))))</x:f>
      </x:c>
      <x:c r="T221" s="59" t="str">
        <x:f>IF($O221="","",--($O221=-2))</x:f>
      </x:c>
      <x:c r="U221" s="59" t="str">
        <x:f>IF($O221="","",--($O221=1))</x:f>
      </x:c>
      <x:c r="V221" s="59" t="n">
        <x:f>--(AND($I221&lt;&gt;"",$J221&lt;&gt;""))</x:f>
        <x:v>0</x:v>
      </x:c>
    </x:row>
    <x:row r="222">
      <x:c r="A222" s="21" t="str">
        <x:f>INDEX(Config!$B$10:$B$16,INT((ROW()-5)/104)+1)</x:f>
        <x:v>Gabriel</x:v>
      </x:c>
      <x:c r="B222" s="21" t="str">
        <x:v>GB4</x:v>
      </x:c>
      <x:c r="C222" s="21" t="n">
        <x:v>10</x:v>
      </x:c>
      <x:c r="D222" s="21" t="str">
        <x:v>Grupo B</x:v>
      </x:c>
      <x:c r="E222" s="21" t="str">
        <x:v>2026-06-18</x:v>
      </x:c>
      <x:c r="F222" s="21" t="str">
        <x:f>IFERROR(INDEX('Resultados'!$G$5:$G$108,MATCH($B222,'Resultados'!$A$5:$A$108,0)),"")</x:f>
        <x:v>Bósnia-Herzegovina</x:v>
      </x:c>
      <x:c r="G222" s="21" t="str">
        <x:f>IFERROR(INDEX('Resultados'!$J$5:$J$108,MATCH($B222,'Resultados'!$A$5:$A$108,0)),"")</x:f>
        <x:v>Suíça</x:v>
      </x:c>
      <x:c r="H222" s="21" t="str">
        <x:v>Não</x:v>
      </x:c>
      <x:c r="I222" s="22"/>
      <x:c r="J222" s="22"/>
      <x:c r="K222" s="23"/>
      <x:c r="L222" s="21" t="str">
        <x:f>IFERROR(INDEX('Resultados'!$H$5:$H$108,MATCH($B222,'Resultados'!$A$5:$A$108,0)),"")</x:f>
      </x:c>
      <x:c r="M222" s="21" t="str">
        <x:f>IFERROR(INDEX('Resultados'!$I$5:$I$108,MATCH($B222,'Resultados'!$A$5:$A$108,0)),"")</x:f>
      </x:c>
      <x:c r="N222" s="21" t="str">
        <x:f>IFERROR(INDEX('Resultados'!$L$5:$L$108,MATCH($B222,'Resultados'!$A$5:$A$108,0)),"")</x:f>
      </x:c>
      <x:c r="O222" s="59" t="str">
        <x:f>IF(OR($I222="",$J222="",$L222="",$M222=""),"",IF(AND($H222="Sim",$L222=$M222),IF($I222&lt;&gt;$J222,0,IF(AND($I222=$L222,$J222=$M222),2,1)),IF(AND($I222=$L222,$J222=$M222),3,IF(AND($I222&lt;&gt;$J222,$I222=$M222,$J222=$L222),-2,IF(SIGN($I222-$J222)=SIGN($L222-$M222),1,0)))))</x:f>
      </x:c>
      <x:c r="P222" s="59" t="str">
        <x:f>IF(OR($H222&lt;&gt;"Sim",$I222="",$J222="",$L222="",$M222=""),"",IF(AND(IF($I222&gt;$J222,$F222,IF($I222&lt;$J222,$G222,$K222))&lt;&gt;"",IF($L222&gt;$M222,$F222,IF($L222&lt;$M222,$G222,$N222))&lt;&gt;"",IF($I222&gt;$J222,$F222,IF($I222&lt;$J222,$G222,$K222))=IF($L222&gt;$M222,$F222,IF($L222&lt;$M222,$G222,$N222))),1,0))</x:f>
      </x:c>
      <x:c r="Q222" s="59" t="str">
        <x:f>IF($O222="","",$O222+$P222)</x:f>
      </x:c>
      <x:c r="R222" s="59" t="str">
        <x:f>IF($Q222="","",IF($O222=3,"Cravada",IF(AND($H222="Sim",$L222=$M222,$I222=$J222,$O222=2),"Empate cravado",IF($O222=1,"Resultado certo",IF($O222=-2,"Invertida",IF($P222=1,"Acertou quem passa","Erro"))))))</x:f>
      </x:c>
      <x:c r="S222" s="59" t="str">
        <x:f>IF($O222="","",--(OR($O222=3,AND($H222="Sim",$L222=$M222,$I222=$J222,$O222=2))))</x:f>
      </x:c>
      <x:c r="T222" s="59" t="str">
        <x:f>IF($O222="","",--($O222=-2))</x:f>
      </x:c>
      <x:c r="U222" s="59" t="str">
        <x:f>IF($O222="","",--($O222=1))</x:f>
      </x:c>
      <x:c r="V222" s="59" t="n">
        <x:f>--(AND($I222&lt;&gt;"",$J222&lt;&gt;""))</x:f>
        <x:v>0</x:v>
      </x:c>
    </x:row>
    <x:row r="223">
      <x:c r="A223" s="21" t="str">
        <x:f>INDEX(Config!$B$10:$B$16,INT((ROW()-5)/104)+1)</x:f>
        <x:v>Gabriel</x:v>
      </x:c>
      <x:c r="B223" s="21" t="str">
        <x:v>GB5</x:v>
      </x:c>
      <x:c r="C223" s="21" t="n">
        <x:v>11</x:v>
      </x:c>
      <x:c r="D223" s="21" t="str">
        <x:v>Grupo B</x:v>
      </x:c>
      <x:c r="E223" s="21" t="str">
        <x:v>2026-06-24</x:v>
      </x:c>
      <x:c r="F223" s="21" t="str">
        <x:f>IFERROR(INDEX('Resultados'!$G$5:$G$108,MATCH($B223,'Resultados'!$A$5:$A$108,0)),"")</x:f>
        <x:v>Canadá</x:v>
      </x:c>
      <x:c r="G223" s="21" t="str">
        <x:f>IFERROR(INDEX('Resultados'!$J$5:$J$108,MATCH($B223,'Resultados'!$A$5:$A$108,0)),"")</x:f>
        <x:v>Suíça</x:v>
      </x:c>
      <x:c r="H223" s="21" t="str">
        <x:v>Não</x:v>
      </x:c>
      <x:c r="I223" s="22"/>
      <x:c r="J223" s="22"/>
      <x:c r="K223" s="23"/>
      <x:c r="L223" s="21" t="str">
        <x:f>IFERROR(INDEX('Resultados'!$H$5:$H$108,MATCH($B223,'Resultados'!$A$5:$A$108,0)),"")</x:f>
      </x:c>
      <x:c r="M223" s="21" t="str">
        <x:f>IFERROR(INDEX('Resultados'!$I$5:$I$108,MATCH($B223,'Resultados'!$A$5:$A$108,0)),"")</x:f>
      </x:c>
      <x:c r="N223" s="21" t="str">
        <x:f>IFERROR(INDEX('Resultados'!$L$5:$L$108,MATCH($B223,'Resultados'!$A$5:$A$108,0)),"")</x:f>
      </x:c>
      <x:c r="O223" s="59" t="str">
        <x:f>IF(OR($I223="",$J223="",$L223="",$M223=""),"",IF(AND($H223="Sim",$L223=$M223),IF($I223&lt;&gt;$J223,0,IF(AND($I223=$L223,$J223=$M223),2,1)),IF(AND($I223=$L223,$J223=$M223),3,IF(AND($I223&lt;&gt;$J223,$I223=$M223,$J223=$L223),-2,IF(SIGN($I223-$J223)=SIGN($L223-$M223),1,0)))))</x:f>
      </x:c>
      <x:c r="P223" s="59" t="str">
        <x:f>IF(OR($H223&lt;&gt;"Sim",$I223="",$J223="",$L223="",$M223=""),"",IF(AND(IF($I223&gt;$J223,$F223,IF($I223&lt;$J223,$G223,$K223))&lt;&gt;"",IF($L223&gt;$M223,$F223,IF($L223&lt;$M223,$G223,$N223))&lt;&gt;"",IF($I223&gt;$J223,$F223,IF($I223&lt;$J223,$G223,$K223))=IF($L223&gt;$M223,$F223,IF($L223&lt;$M223,$G223,$N223))),1,0))</x:f>
      </x:c>
      <x:c r="Q223" s="59" t="str">
        <x:f>IF($O223="","",$O223+$P223)</x:f>
      </x:c>
      <x:c r="R223" s="59" t="str">
        <x:f>IF($Q223="","",IF($O223=3,"Cravada",IF(AND($H223="Sim",$L223=$M223,$I223=$J223,$O223=2),"Empate cravado",IF($O223=1,"Resultado certo",IF($O223=-2,"Invertida",IF($P223=1,"Acertou quem passa","Erro"))))))</x:f>
      </x:c>
      <x:c r="S223" s="59" t="str">
        <x:f>IF($O223="","",--(OR($O223=3,AND($H223="Sim",$L223=$M223,$I223=$J223,$O223=2))))</x:f>
      </x:c>
      <x:c r="T223" s="59" t="str">
        <x:f>IF($O223="","",--($O223=-2))</x:f>
      </x:c>
      <x:c r="U223" s="59" t="str">
        <x:f>IF($O223="","",--($O223=1))</x:f>
      </x:c>
      <x:c r="V223" s="59" t="n">
        <x:f>--(AND($I223&lt;&gt;"",$J223&lt;&gt;""))</x:f>
        <x:v>0</x:v>
      </x:c>
    </x:row>
    <x:row r="224">
      <x:c r="A224" s="21" t="str">
        <x:f>INDEX(Config!$B$10:$B$16,INT((ROW()-5)/104)+1)</x:f>
        <x:v>Gabriel</x:v>
      </x:c>
      <x:c r="B224" s="21" t="str">
        <x:v>GB6</x:v>
      </x:c>
      <x:c r="C224" s="21" t="n">
        <x:v>12</x:v>
      </x:c>
      <x:c r="D224" s="21" t="str">
        <x:v>Grupo B</x:v>
      </x:c>
      <x:c r="E224" s="21" t="str">
        <x:v>2026-06-24</x:v>
      </x:c>
      <x:c r="F224" s="21" t="str">
        <x:f>IFERROR(INDEX('Resultados'!$G$5:$G$108,MATCH($B224,'Resultados'!$A$5:$A$108,0)),"")</x:f>
        <x:v>Bósnia-Herzegovina</x:v>
      </x:c>
      <x:c r="G224" s="21" t="str">
        <x:f>IFERROR(INDEX('Resultados'!$J$5:$J$108,MATCH($B224,'Resultados'!$A$5:$A$108,0)),"")</x:f>
        <x:v>Catar</x:v>
      </x:c>
      <x:c r="H224" s="21" t="str">
        <x:v>Não</x:v>
      </x:c>
      <x:c r="I224" s="22"/>
      <x:c r="J224" s="22"/>
      <x:c r="K224" s="23"/>
      <x:c r="L224" s="21" t="str">
        <x:f>IFERROR(INDEX('Resultados'!$H$5:$H$108,MATCH($B224,'Resultados'!$A$5:$A$108,0)),"")</x:f>
      </x:c>
      <x:c r="M224" s="21" t="str">
        <x:f>IFERROR(INDEX('Resultados'!$I$5:$I$108,MATCH($B224,'Resultados'!$A$5:$A$108,0)),"")</x:f>
      </x:c>
      <x:c r="N224" s="21" t="str">
        <x:f>IFERROR(INDEX('Resultados'!$L$5:$L$108,MATCH($B224,'Resultados'!$A$5:$A$108,0)),"")</x:f>
      </x:c>
      <x:c r="O224" s="59" t="str">
        <x:f>IF(OR($I224="",$J224="",$L224="",$M224=""),"",IF(AND($H224="Sim",$L224=$M224),IF($I224&lt;&gt;$J224,0,IF(AND($I224=$L224,$J224=$M224),2,1)),IF(AND($I224=$L224,$J224=$M224),3,IF(AND($I224&lt;&gt;$J224,$I224=$M224,$J224=$L224),-2,IF(SIGN($I224-$J224)=SIGN($L224-$M224),1,0)))))</x:f>
      </x:c>
      <x:c r="P224" s="59" t="str">
        <x:f>IF(OR($H224&lt;&gt;"Sim",$I224="",$J224="",$L224="",$M224=""),"",IF(AND(IF($I224&gt;$J224,$F224,IF($I224&lt;$J224,$G224,$K224))&lt;&gt;"",IF($L224&gt;$M224,$F224,IF($L224&lt;$M224,$G224,$N224))&lt;&gt;"",IF($I224&gt;$J224,$F224,IF($I224&lt;$J224,$G224,$K224))=IF($L224&gt;$M224,$F224,IF($L224&lt;$M224,$G224,$N224))),1,0))</x:f>
      </x:c>
      <x:c r="Q224" s="59" t="str">
        <x:f>IF($O224="","",$O224+$P224)</x:f>
      </x:c>
      <x:c r="R224" s="59" t="str">
        <x:f>IF($Q224="","",IF($O224=3,"Cravada",IF(AND($H224="Sim",$L224=$M224,$I224=$J224,$O224=2),"Empate cravado",IF($O224=1,"Resultado certo",IF($O224=-2,"Invertida",IF($P224=1,"Acertou quem passa","Erro"))))))</x:f>
      </x:c>
      <x:c r="S224" s="59" t="str">
        <x:f>IF($O224="","",--(OR($O224=3,AND($H224="Sim",$L224=$M224,$I224=$J224,$O224=2))))</x:f>
      </x:c>
      <x:c r="T224" s="59" t="str">
        <x:f>IF($O224="","",--($O224=-2))</x:f>
      </x:c>
      <x:c r="U224" s="59" t="str">
        <x:f>IF($O224="","",--($O224=1))</x:f>
      </x:c>
      <x:c r="V224" s="59" t="n">
        <x:f>--(AND($I224&lt;&gt;"",$J224&lt;&gt;""))</x:f>
        <x:v>0</x:v>
      </x:c>
    </x:row>
    <x:row r="225">
      <x:c r="A225" s="21" t="str">
        <x:f>INDEX(Config!$B$10:$B$16,INT((ROW()-5)/104)+1)</x:f>
        <x:v>Gabriel</x:v>
      </x:c>
      <x:c r="B225" s="21" t="str">
        <x:v>GC1</x:v>
      </x:c>
      <x:c r="C225" s="21" t="n">
        <x:v>13</x:v>
      </x:c>
      <x:c r="D225" s="21" t="str">
        <x:v>Grupo C</x:v>
      </x:c>
      <x:c r="E225" s="21" t="str">
        <x:v>2026-06-13</x:v>
      </x:c>
      <x:c r="F225" s="21" t="str">
        <x:f>IFERROR(INDEX('Resultados'!$G$5:$G$108,MATCH($B225,'Resultados'!$A$5:$A$108,0)),"")</x:f>
        <x:v>Brasil</x:v>
      </x:c>
      <x:c r="G225" s="21" t="str">
        <x:f>IFERROR(INDEX('Resultados'!$J$5:$J$108,MATCH($B225,'Resultados'!$A$5:$A$108,0)),"")</x:f>
        <x:v>Marrocos</x:v>
      </x:c>
      <x:c r="H225" s="21" t="str">
        <x:v>Não</x:v>
      </x:c>
      <x:c r="I225" s="22"/>
      <x:c r="J225" s="22"/>
      <x:c r="K225" s="23"/>
      <x:c r="L225" s="21" t="str">
        <x:f>IFERROR(INDEX('Resultados'!$H$5:$H$108,MATCH($B225,'Resultados'!$A$5:$A$108,0)),"")</x:f>
      </x:c>
      <x:c r="M225" s="21" t="str">
        <x:f>IFERROR(INDEX('Resultados'!$I$5:$I$108,MATCH($B225,'Resultados'!$A$5:$A$108,0)),"")</x:f>
      </x:c>
      <x:c r="N225" s="21" t="str">
        <x:f>IFERROR(INDEX('Resultados'!$L$5:$L$108,MATCH($B225,'Resultados'!$A$5:$A$108,0)),"")</x:f>
      </x:c>
      <x:c r="O225" s="59" t="str">
        <x:f>IF(OR($I225="",$J225="",$L225="",$M225=""),"",IF(AND($H225="Sim",$L225=$M225),IF($I225&lt;&gt;$J225,0,IF(AND($I225=$L225,$J225=$M225),2,1)),IF(AND($I225=$L225,$J225=$M225),3,IF(AND($I225&lt;&gt;$J225,$I225=$M225,$J225=$L225),-2,IF(SIGN($I225-$J225)=SIGN($L225-$M225),1,0)))))</x:f>
      </x:c>
      <x:c r="P225" s="59" t="str">
        <x:f>IF(OR($H225&lt;&gt;"Sim",$I225="",$J225="",$L225="",$M225=""),"",IF(AND(IF($I225&gt;$J225,$F225,IF($I225&lt;$J225,$G225,$K225))&lt;&gt;"",IF($L225&gt;$M225,$F225,IF($L225&lt;$M225,$G225,$N225))&lt;&gt;"",IF($I225&gt;$J225,$F225,IF($I225&lt;$J225,$G225,$K225))=IF($L225&gt;$M225,$F225,IF($L225&lt;$M225,$G225,$N225))),1,0))</x:f>
      </x:c>
      <x:c r="Q225" s="59" t="str">
        <x:f>IF($O225="","",$O225+$P225)</x:f>
      </x:c>
      <x:c r="R225" s="59" t="str">
        <x:f>IF($Q225="","",IF($O225=3,"Cravada",IF(AND($H225="Sim",$L225=$M225,$I225=$J225,$O225=2),"Empate cravado",IF($O225=1,"Resultado certo",IF($O225=-2,"Invertida",IF($P225=1,"Acertou quem passa","Erro"))))))</x:f>
      </x:c>
      <x:c r="S225" s="59" t="str">
        <x:f>IF($O225="","",--(OR($O225=3,AND($H225="Sim",$L225=$M225,$I225=$J225,$O225=2))))</x:f>
      </x:c>
      <x:c r="T225" s="59" t="str">
        <x:f>IF($O225="","",--($O225=-2))</x:f>
      </x:c>
      <x:c r="U225" s="59" t="str">
        <x:f>IF($O225="","",--($O225=1))</x:f>
      </x:c>
      <x:c r="V225" s="59" t="n">
        <x:f>--(AND($I225&lt;&gt;"",$J225&lt;&gt;""))</x:f>
        <x:v>0</x:v>
      </x:c>
    </x:row>
    <x:row r="226">
      <x:c r="A226" s="21" t="str">
        <x:f>INDEX(Config!$B$10:$B$16,INT((ROW()-5)/104)+1)</x:f>
        <x:v>Gabriel</x:v>
      </x:c>
      <x:c r="B226" s="21" t="str">
        <x:v>GC2</x:v>
      </x:c>
      <x:c r="C226" s="21" t="n">
        <x:v>14</x:v>
      </x:c>
      <x:c r="D226" s="21" t="str">
        <x:v>Grupo C</x:v>
      </x:c>
      <x:c r="E226" s="21" t="str">
        <x:v>2026-06-13</x:v>
      </x:c>
      <x:c r="F226" s="21" t="str">
        <x:f>IFERROR(INDEX('Resultados'!$G$5:$G$108,MATCH($B226,'Resultados'!$A$5:$A$108,0)),"")</x:f>
        <x:v>Haiti</x:v>
      </x:c>
      <x:c r="G226" s="21" t="str">
        <x:f>IFERROR(INDEX('Resultados'!$J$5:$J$108,MATCH($B226,'Resultados'!$A$5:$A$108,0)),"")</x:f>
        <x:v>Escócia</x:v>
      </x:c>
      <x:c r="H226" s="21" t="str">
        <x:v>Não</x:v>
      </x:c>
      <x:c r="I226" s="22"/>
      <x:c r="J226" s="22"/>
      <x:c r="K226" s="23"/>
      <x:c r="L226" s="21" t="str">
        <x:f>IFERROR(INDEX('Resultados'!$H$5:$H$108,MATCH($B226,'Resultados'!$A$5:$A$108,0)),"")</x:f>
      </x:c>
      <x:c r="M226" s="21" t="str">
        <x:f>IFERROR(INDEX('Resultados'!$I$5:$I$108,MATCH($B226,'Resultados'!$A$5:$A$108,0)),"")</x:f>
      </x:c>
      <x:c r="N226" s="21" t="str">
        <x:f>IFERROR(INDEX('Resultados'!$L$5:$L$108,MATCH($B226,'Resultados'!$A$5:$A$108,0)),"")</x:f>
      </x:c>
      <x:c r="O226" s="59" t="str">
        <x:f>IF(OR($I226="",$J226="",$L226="",$M226=""),"",IF(AND($H226="Sim",$L226=$M226),IF($I226&lt;&gt;$J226,0,IF(AND($I226=$L226,$J226=$M226),2,1)),IF(AND($I226=$L226,$J226=$M226),3,IF(AND($I226&lt;&gt;$J226,$I226=$M226,$J226=$L226),-2,IF(SIGN($I226-$J226)=SIGN($L226-$M226),1,0)))))</x:f>
      </x:c>
      <x:c r="P226" s="59" t="str">
        <x:f>IF(OR($H226&lt;&gt;"Sim",$I226="",$J226="",$L226="",$M226=""),"",IF(AND(IF($I226&gt;$J226,$F226,IF($I226&lt;$J226,$G226,$K226))&lt;&gt;"",IF($L226&gt;$M226,$F226,IF($L226&lt;$M226,$G226,$N226))&lt;&gt;"",IF($I226&gt;$J226,$F226,IF($I226&lt;$J226,$G226,$K226))=IF($L226&gt;$M226,$F226,IF($L226&lt;$M226,$G226,$N226))),1,0))</x:f>
      </x:c>
      <x:c r="Q226" s="59" t="str">
        <x:f>IF($O226="","",$O226+$P226)</x:f>
      </x:c>
      <x:c r="R226" s="59" t="str">
        <x:f>IF($Q226="","",IF($O226=3,"Cravada",IF(AND($H226="Sim",$L226=$M226,$I226=$J226,$O226=2),"Empate cravado",IF($O226=1,"Resultado certo",IF($O226=-2,"Invertida",IF($P226=1,"Acertou quem passa","Erro"))))))</x:f>
      </x:c>
      <x:c r="S226" s="59" t="str">
        <x:f>IF($O226="","",--(OR($O226=3,AND($H226="Sim",$L226=$M226,$I226=$J226,$O226=2))))</x:f>
      </x:c>
      <x:c r="T226" s="59" t="str">
        <x:f>IF($O226="","",--($O226=-2))</x:f>
      </x:c>
      <x:c r="U226" s="59" t="str">
        <x:f>IF($O226="","",--($O226=1))</x:f>
      </x:c>
      <x:c r="V226" s="59" t="n">
        <x:f>--(AND($I226&lt;&gt;"",$J226&lt;&gt;""))</x:f>
        <x:v>0</x:v>
      </x:c>
    </x:row>
    <x:row r="227">
      <x:c r="A227" s="21" t="str">
        <x:f>INDEX(Config!$B$10:$B$16,INT((ROW()-5)/104)+1)</x:f>
        <x:v>Gabriel</x:v>
      </x:c>
      <x:c r="B227" s="21" t="str">
        <x:v>GC3</x:v>
      </x:c>
      <x:c r="C227" s="21" t="n">
        <x:v>15</x:v>
      </x:c>
      <x:c r="D227" s="21" t="str">
        <x:v>Grupo C</x:v>
      </x:c>
      <x:c r="E227" s="21" t="str">
        <x:v>2026-06-19</x:v>
      </x:c>
      <x:c r="F227" s="21" t="str">
        <x:f>IFERROR(INDEX('Resultados'!$G$5:$G$108,MATCH($B227,'Resultados'!$A$5:$A$108,0)),"")</x:f>
        <x:v>Brasil</x:v>
      </x:c>
      <x:c r="G227" s="21" t="str">
        <x:f>IFERROR(INDEX('Resultados'!$J$5:$J$108,MATCH($B227,'Resultados'!$A$5:$A$108,0)),"")</x:f>
        <x:v>Haiti</x:v>
      </x:c>
      <x:c r="H227" s="21" t="str">
        <x:v>Não</x:v>
      </x:c>
      <x:c r="I227" s="22"/>
      <x:c r="J227" s="22"/>
      <x:c r="K227" s="23"/>
      <x:c r="L227" s="21" t="str">
        <x:f>IFERROR(INDEX('Resultados'!$H$5:$H$108,MATCH($B227,'Resultados'!$A$5:$A$108,0)),"")</x:f>
      </x:c>
      <x:c r="M227" s="21" t="str">
        <x:f>IFERROR(INDEX('Resultados'!$I$5:$I$108,MATCH($B227,'Resultados'!$A$5:$A$108,0)),"")</x:f>
      </x:c>
      <x:c r="N227" s="21" t="str">
        <x:f>IFERROR(INDEX('Resultados'!$L$5:$L$108,MATCH($B227,'Resultados'!$A$5:$A$108,0)),"")</x:f>
      </x:c>
      <x:c r="O227" s="59" t="str">
        <x:f>IF(OR($I227="",$J227="",$L227="",$M227=""),"",IF(AND($H227="Sim",$L227=$M227),IF($I227&lt;&gt;$J227,0,IF(AND($I227=$L227,$J227=$M227),2,1)),IF(AND($I227=$L227,$J227=$M227),3,IF(AND($I227&lt;&gt;$J227,$I227=$M227,$J227=$L227),-2,IF(SIGN($I227-$J227)=SIGN($L227-$M227),1,0)))))</x:f>
      </x:c>
      <x:c r="P227" s="59" t="str">
        <x:f>IF(OR($H227&lt;&gt;"Sim",$I227="",$J227="",$L227="",$M227=""),"",IF(AND(IF($I227&gt;$J227,$F227,IF($I227&lt;$J227,$G227,$K227))&lt;&gt;"",IF($L227&gt;$M227,$F227,IF($L227&lt;$M227,$G227,$N227))&lt;&gt;"",IF($I227&gt;$J227,$F227,IF($I227&lt;$J227,$G227,$K227))=IF($L227&gt;$M227,$F227,IF($L227&lt;$M227,$G227,$N227))),1,0))</x:f>
      </x:c>
      <x:c r="Q227" s="59" t="str">
        <x:f>IF($O227="","",$O227+$P227)</x:f>
      </x:c>
      <x:c r="R227" s="59" t="str">
        <x:f>IF($Q227="","",IF($O227=3,"Cravada",IF(AND($H227="Sim",$L227=$M227,$I227=$J227,$O227=2),"Empate cravado",IF($O227=1,"Resultado certo",IF($O227=-2,"Invertida",IF($P227=1,"Acertou quem passa","Erro"))))))</x:f>
      </x:c>
      <x:c r="S227" s="59" t="str">
        <x:f>IF($O227="","",--(OR($O227=3,AND($H227="Sim",$L227=$M227,$I227=$J227,$O227=2))))</x:f>
      </x:c>
      <x:c r="T227" s="59" t="str">
        <x:f>IF($O227="","",--($O227=-2))</x:f>
      </x:c>
      <x:c r="U227" s="59" t="str">
        <x:f>IF($O227="","",--($O227=1))</x:f>
      </x:c>
      <x:c r="V227" s="59" t="n">
        <x:f>--(AND($I227&lt;&gt;"",$J227&lt;&gt;""))</x:f>
        <x:v>0</x:v>
      </x:c>
    </x:row>
    <x:row r="228">
      <x:c r="A228" s="21" t="str">
        <x:f>INDEX(Config!$B$10:$B$16,INT((ROW()-5)/104)+1)</x:f>
        <x:v>Gabriel</x:v>
      </x:c>
      <x:c r="B228" s="21" t="str">
        <x:v>GC4</x:v>
      </x:c>
      <x:c r="C228" s="21" t="n">
        <x:v>16</x:v>
      </x:c>
      <x:c r="D228" s="21" t="str">
        <x:v>Grupo C</x:v>
      </x:c>
      <x:c r="E228" s="21" t="str">
        <x:v>2026-06-19</x:v>
      </x:c>
      <x:c r="F228" s="21" t="str">
        <x:f>IFERROR(INDEX('Resultados'!$G$5:$G$108,MATCH($B228,'Resultados'!$A$5:$A$108,0)),"")</x:f>
        <x:v>Marrocos</x:v>
      </x:c>
      <x:c r="G228" s="21" t="str">
        <x:f>IFERROR(INDEX('Resultados'!$J$5:$J$108,MATCH($B228,'Resultados'!$A$5:$A$108,0)),"")</x:f>
        <x:v>Escócia</x:v>
      </x:c>
      <x:c r="H228" s="21" t="str">
        <x:v>Não</x:v>
      </x:c>
      <x:c r="I228" s="22"/>
      <x:c r="J228" s="22"/>
      <x:c r="K228" s="23"/>
      <x:c r="L228" s="21" t="str">
        <x:f>IFERROR(INDEX('Resultados'!$H$5:$H$108,MATCH($B228,'Resultados'!$A$5:$A$108,0)),"")</x:f>
      </x:c>
      <x:c r="M228" s="21" t="str">
        <x:f>IFERROR(INDEX('Resultados'!$I$5:$I$108,MATCH($B228,'Resultados'!$A$5:$A$108,0)),"")</x:f>
      </x:c>
      <x:c r="N228" s="21" t="str">
        <x:f>IFERROR(INDEX('Resultados'!$L$5:$L$108,MATCH($B228,'Resultados'!$A$5:$A$108,0)),"")</x:f>
      </x:c>
      <x:c r="O228" s="59" t="str">
        <x:f>IF(OR($I228="",$J228="",$L228="",$M228=""),"",IF(AND($H228="Sim",$L228=$M228),IF($I228&lt;&gt;$J228,0,IF(AND($I228=$L228,$J228=$M228),2,1)),IF(AND($I228=$L228,$J228=$M228),3,IF(AND($I228&lt;&gt;$J228,$I228=$M228,$J228=$L228),-2,IF(SIGN($I228-$J228)=SIGN($L228-$M228),1,0)))))</x:f>
      </x:c>
      <x:c r="P228" s="59" t="str">
        <x:f>IF(OR($H228&lt;&gt;"Sim",$I228="",$J228="",$L228="",$M228=""),"",IF(AND(IF($I228&gt;$J228,$F228,IF($I228&lt;$J228,$G228,$K228))&lt;&gt;"",IF($L228&gt;$M228,$F228,IF($L228&lt;$M228,$G228,$N228))&lt;&gt;"",IF($I228&gt;$J228,$F228,IF($I228&lt;$J228,$G228,$K228))=IF($L228&gt;$M228,$F228,IF($L228&lt;$M228,$G228,$N228))),1,0))</x:f>
      </x:c>
      <x:c r="Q228" s="59" t="str">
        <x:f>IF($O228="","",$O228+$P228)</x:f>
      </x:c>
      <x:c r="R228" s="59" t="str">
        <x:f>IF($Q228="","",IF($O228=3,"Cravada",IF(AND($H228="Sim",$L228=$M228,$I228=$J228,$O228=2),"Empate cravado",IF($O228=1,"Resultado certo",IF($O228=-2,"Invertida",IF($P228=1,"Acertou quem passa","Erro"))))))</x:f>
      </x:c>
      <x:c r="S228" s="59" t="str">
        <x:f>IF($O228="","",--(OR($O228=3,AND($H228="Sim",$L228=$M228,$I228=$J228,$O228=2))))</x:f>
      </x:c>
      <x:c r="T228" s="59" t="str">
        <x:f>IF($O228="","",--($O228=-2))</x:f>
      </x:c>
      <x:c r="U228" s="59" t="str">
        <x:f>IF($O228="","",--($O228=1))</x:f>
      </x:c>
      <x:c r="V228" s="59" t="n">
        <x:f>--(AND($I228&lt;&gt;"",$J228&lt;&gt;""))</x:f>
        <x:v>0</x:v>
      </x:c>
    </x:row>
    <x:row r="229">
      <x:c r="A229" s="21" t="str">
        <x:f>INDEX(Config!$B$10:$B$16,INT((ROW()-5)/104)+1)</x:f>
        <x:v>Gabriel</x:v>
      </x:c>
      <x:c r="B229" s="21" t="str">
        <x:v>GC5</x:v>
      </x:c>
      <x:c r="C229" s="21" t="n">
        <x:v>17</x:v>
      </x:c>
      <x:c r="D229" s="21" t="str">
        <x:v>Grupo C</x:v>
      </x:c>
      <x:c r="E229" s="21" t="str">
        <x:v>2026-06-24</x:v>
      </x:c>
      <x:c r="F229" s="21" t="str">
        <x:f>IFERROR(INDEX('Resultados'!$G$5:$G$108,MATCH($B229,'Resultados'!$A$5:$A$108,0)),"")</x:f>
        <x:v>Brasil</x:v>
      </x:c>
      <x:c r="G229" s="21" t="str">
        <x:f>IFERROR(INDEX('Resultados'!$J$5:$J$108,MATCH($B229,'Resultados'!$A$5:$A$108,0)),"")</x:f>
        <x:v>Escócia</x:v>
      </x:c>
      <x:c r="H229" s="21" t="str">
        <x:v>Não</x:v>
      </x:c>
      <x:c r="I229" s="22"/>
      <x:c r="J229" s="22"/>
      <x:c r="K229" s="23"/>
      <x:c r="L229" s="21" t="str">
        <x:f>IFERROR(INDEX('Resultados'!$H$5:$H$108,MATCH($B229,'Resultados'!$A$5:$A$108,0)),"")</x:f>
      </x:c>
      <x:c r="M229" s="21" t="str">
        <x:f>IFERROR(INDEX('Resultados'!$I$5:$I$108,MATCH($B229,'Resultados'!$A$5:$A$108,0)),"")</x:f>
      </x:c>
      <x:c r="N229" s="21" t="str">
        <x:f>IFERROR(INDEX('Resultados'!$L$5:$L$108,MATCH($B229,'Resultados'!$A$5:$A$108,0)),"")</x:f>
      </x:c>
      <x:c r="O229" s="59" t="str">
        <x:f>IF(OR($I229="",$J229="",$L229="",$M229=""),"",IF(AND($H229="Sim",$L229=$M229),IF($I229&lt;&gt;$J229,0,IF(AND($I229=$L229,$J229=$M229),2,1)),IF(AND($I229=$L229,$J229=$M229),3,IF(AND($I229&lt;&gt;$J229,$I229=$M229,$J229=$L229),-2,IF(SIGN($I229-$J229)=SIGN($L229-$M229),1,0)))))</x:f>
      </x:c>
      <x:c r="P229" s="59" t="str">
        <x:f>IF(OR($H229&lt;&gt;"Sim",$I229="",$J229="",$L229="",$M229=""),"",IF(AND(IF($I229&gt;$J229,$F229,IF($I229&lt;$J229,$G229,$K229))&lt;&gt;"",IF($L229&gt;$M229,$F229,IF($L229&lt;$M229,$G229,$N229))&lt;&gt;"",IF($I229&gt;$J229,$F229,IF($I229&lt;$J229,$G229,$K229))=IF($L229&gt;$M229,$F229,IF($L229&lt;$M229,$G229,$N229))),1,0))</x:f>
      </x:c>
      <x:c r="Q229" s="59" t="str">
        <x:f>IF($O229="","",$O229+$P229)</x:f>
      </x:c>
      <x:c r="R229" s="59" t="str">
        <x:f>IF($Q229="","",IF($O229=3,"Cravada",IF(AND($H229="Sim",$L229=$M229,$I229=$J229,$O229=2),"Empate cravado",IF($O229=1,"Resultado certo",IF($O229=-2,"Invertida",IF($P229=1,"Acertou quem passa","Erro"))))))</x:f>
      </x:c>
      <x:c r="S229" s="59" t="str">
        <x:f>IF($O229="","",--(OR($O229=3,AND($H229="Sim",$L229=$M229,$I229=$J229,$O229=2))))</x:f>
      </x:c>
      <x:c r="T229" s="59" t="str">
        <x:f>IF($O229="","",--($O229=-2))</x:f>
      </x:c>
      <x:c r="U229" s="59" t="str">
        <x:f>IF($O229="","",--($O229=1))</x:f>
      </x:c>
      <x:c r="V229" s="59" t="n">
        <x:f>--(AND($I229&lt;&gt;"",$J229&lt;&gt;""))</x:f>
        <x:v>0</x:v>
      </x:c>
    </x:row>
    <x:row r="230">
      <x:c r="A230" s="21" t="str">
        <x:f>INDEX(Config!$B$10:$B$16,INT((ROW()-5)/104)+1)</x:f>
        <x:v>Gabriel</x:v>
      </x:c>
      <x:c r="B230" s="21" t="str">
        <x:v>GC6</x:v>
      </x:c>
      <x:c r="C230" s="21" t="n">
        <x:v>18</x:v>
      </x:c>
      <x:c r="D230" s="21" t="str">
        <x:v>Grupo C</x:v>
      </x:c>
      <x:c r="E230" s="21" t="str">
        <x:v>2026-06-24</x:v>
      </x:c>
      <x:c r="F230" s="21" t="str">
        <x:f>IFERROR(INDEX('Resultados'!$G$5:$G$108,MATCH($B230,'Resultados'!$A$5:$A$108,0)),"")</x:f>
        <x:v>Marrocos</x:v>
      </x:c>
      <x:c r="G230" s="21" t="str">
        <x:f>IFERROR(INDEX('Resultados'!$J$5:$J$108,MATCH($B230,'Resultados'!$A$5:$A$108,0)),"")</x:f>
        <x:v>Haiti</x:v>
      </x:c>
      <x:c r="H230" s="21" t="str">
        <x:v>Não</x:v>
      </x:c>
      <x:c r="I230" s="22"/>
      <x:c r="J230" s="22"/>
      <x:c r="K230" s="23"/>
      <x:c r="L230" s="21" t="str">
        <x:f>IFERROR(INDEX('Resultados'!$H$5:$H$108,MATCH($B230,'Resultados'!$A$5:$A$108,0)),"")</x:f>
      </x:c>
      <x:c r="M230" s="21" t="str">
        <x:f>IFERROR(INDEX('Resultados'!$I$5:$I$108,MATCH($B230,'Resultados'!$A$5:$A$108,0)),"")</x:f>
      </x:c>
      <x:c r="N230" s="21" t="str">
        <x:f>IFERROR(INDEX('Resultados'!$L$5:$L$108,MATCH($B230,'Resultados'!$A$5:$A$108,0)),"")</x:f>
      </x:c>
      <x:c r="O230" s="59" t="str">
        <x:f>IF(OR($I230="",$J230="",$L230="",$M230=""),"",IF(AND($H230="Sim",$L230=$M230),IF($I230&lt;&gt;$J230,0,IF(AND($I230=$L230,$J230=$M230),2,1)),IF(AND($I230=$L230,$J230=$M230),3,IF(AND($I230&lt;&gt;$J230,$I230=$M230,$J230=$L230),-2,IF(SIGN($I230-$J230)=SIGN($L230-$M230),1,0)))))</x:f>
      </x:c>
      <x:c r="P230" s="59" t="str">
        <x:f>IF(OR($H230&lt;&gt;"Sim",$I230="",$J230="",$L230="",$M230=""),"",IF(AND(IF($I230&gt;$J230,$F230,IF($I230&lt;$J230,$G230,$K230))&lt;&gt;"",IF($L230&gt;$M230,$F230,IF($L230&lt;$M230,$G230,$N230))&lt;&gt;"",IF($I230&gt;$J230,$F230,IF($I230&lt;$J230,$G230,$K230))=IF($L230&gt;$M230,$F230,IF($L230&lt;$M230,$G230,$N230))),1,0))</x:f>
      </x:c>
      <x:c r="Q230" s="59" t="str">
        <x:f>IF($O230="","",$O230+$P230)</x:f>
      </x:c>
      <x:c r="R230" s="59" t="str">
        <x:f>IF($Q230="","",IF($O230=3,"Cravada",IF(AND($H230="Sim",$L230=$M230,$I230=$J230,$O230=2),"Empate cravado",IF($O230=1,"Resultado certo",IF($O230=-2,"Invertida",IF($P230=1,"Acertou quem passa","Erro"))))))</x:f>
      </x:c>
      <x:c r="S230" s="59" t="str">
        <x:f>IF($O230="","",--(OR($O230=3,AND($H230="Sim",$L230=$M230,$I230=$J230,$O230=2))))</x:f>
      </x:c>
      <x:c r="T230" s="59" t="str">
        <x:f>IF($O230="","",--($O230=-2))</x:f>
      </x:c>
      <x:c r="U230" s="59" t="str">
        <x:f>IF($O230="","",--($O230=1))</x:f>
      </x:c>
      <x:c r="V230" s="59" t="n">
        <x:f>--(AND($I230&lt;&gt;"",$J230&lt;&gt;""))</x:f>
        <x:v>0</x:v>
      </x:c>
    </x:row>
    <x:row r="231">
      <x:c r="A231" s="21" t="str">
        <x:f>INDEX(Config!$B$10:$B$16,INT((ROW()-5)/104)+1)</x:f>
        <x:v>Gabriel</x:v>
      </x:c>
      <x:c r="B231" s="21" t="str">
        <x:v>GD1</x:v>
      </x:c>
      <x:c r="C231" s="21" t="n">
        <x:v>19</x:v>
      </x:c>
      <x:c r="D231" s="21" t="str">
        <x:v>Grupo D</x:v>
      </x:c>
      <x:c r="E231" s="21" t="str">
        <x:v>2026-06-12</x:v>
      </x:c>
      <x:c r="F231" s="21" t="str">
        <x:f>IFERROR(INDEX('Resultados'!$G$5:$G$108,MATCH($B231,'Resultados'!$A$5:$A$108,0)),"")</x:f>
        <x:v>EUA</x:v>
      </x:c>
      <x:c r="G231" s="21" t="str">
        <x:f>IFERROR(INDEX('Resultados'!$J$5:$J$108,MATCH($B231,'Resultados'!$A$5:$A$108,0)),"")</x:f>
        <x:v>Paraguai</x:v>
      </x:c>
      <x:c r="H231" s="21" t="str">
        <x:v>Não</x:v>
      </x:c>
      <x:c r="I231" s="22"/>
      <x:c r="J231" s="22"/>
      <x:c r="K231" s="23"/>
      <x:c r="L231" s="21" t="str">
        <x:f>IFERROR(INDEX('Resultados'!$H$5:$H$108,MATCH($B231,'Resultados'!$A$5:$A$108,0)),"")</x:f>
      </x:c>
      <x:c r="M231" s="21" t="str">
        <x:f>IFERROR(INDEX('Resultados'!$I$5:$I$108,MATCH($B231,'Resultados'!$A$5:$A$108,0)),"")</x:f>
      </x:c>
      <x:c r="N231" s="21" t="str">
        <x:f>IFERROR(INDEX('Resultados'!$L$5:$L$108,MATCH($B231,'Resultados'!$A$5:$A$108,0)),"")</x:f>
      </x:c>
      <x:c r="O231" s="59" t="str">
        <x:f>IF(OR($I231="",$J231="",$L231="",$M231=""),"",IF(AND($H231="Sim",$L231=$M231),IF($I231&lt;&gt;$J231,0,IF(AND($I231=$L231,$J231=$M231),2,1)),IF(AND($I231=$L231,$J231=$M231),3,IF(AND($I231&lt;&gt;$J231,$I231=$M231,$J231=$L231),-2,IF(SIGN($I231-$J231)=SIGN($L231-$M231),1,0)))))</x:f>
      </x:c>
      <x:c r="P231" s="59" t="str">
        <x:f>IF(OR($H231&lt;&gt;"Sim",$I231="",$J231="",$L231="",$M231=""),"",IF(AND(IF($I231&gt;$J231,$F231,IF($I231&lt;$J231,$G231,$K231))&lt;&gt;"",IF($L231&gt;$M231,$F231,IF($L231&lt;$M231,$G231,$N231))&lt;&gt;"",IF($I231&gt;$J231,$F231,IF($I231&lt;$J231,$G231,$K231))=IF($L231&gt;$M231,$F231,IF($L231&lt;$M231,$G231,$N231))),1,0))</x:f>
      </x:c>
      <x:c r="Q231" s="59" t="str">
        <x:f>IF($O231="","",$O231+$P231)</x:f>
      </x:c>
      <x:c r="R231" s="59" t="str">
        <x:f>IF($Q231="","",IF($O231=3,"Cravada",IF(AND($H231="Sim",$L231=$M231,$I231=$J231,$O231=2),"Empate cravado",IF($O231=1,"Resultado certo",IF($O231=-2,"Invertida",IF($P231=1,"Acertou quem passa","Erro"))))))</x:f>
      </x:c>
      <x:c r="S231" s="59" t="str">
        <x:f>IF($O231="","",--(OR($O231=3,AND($H231="Sim",$L231=$M231,$I231=$J231,$O231=2))))</x:f>
      </x:c>
      <x:c r="T231" s="59" t="str">
        <x:f>IF($O231="","",--($O231=-2))</x:f>
      </x:c>
      <x:c r="U231" s="59" t="str">
        <x:f>IF($O231="","",--($O231=1))</x:f>
      </x:c>
      <x:c r="V231" s="59" t="n">
        <x:f>--(AND($I231&lt;&gt;"",$J231&lt;&gt;""))</x:f>
        <x:v>0</x:v>
      </x:c>
    </x:row>
    <x:row r="232">
      <x:c r="A232" s="21" t="str">
        <x:f>INDEX(Config!$B$10:$B$16,INT((ROW()-5)/104)+1)</x:f>
        <x:v>Gabriel</x:v>
      </x:c>
      <x:c r="B232" s="21" t="str">
        <x:v>GD2</x:v>
      </x:c>
      <x:c r="C232" s="21" t="n">
        <x:v>20</x:v>
      </x:c>
      <x:c r="D232" s="21" t="str">
        <x:v>Grupo D</x:v>
      </x:c>
      <x:c r="E232" s="21" t="str">
        <x:v>2026-06-14</x:v>
      </x:c>
      <x:c r="F232" s="21" t="str">
        <x:f>IFERROR(INDEX('Resultados'!$G$5:$G$108,MATCH($B232,'Resultados'!$A$5:$A$108,0)),"")</x:f>
        <x:v>Austrália</x:v>
      </x:c>
      <x:c r="G232" s="21" t="str">
        <x:f>IFERROR(INDEX('Resultados'!$J$5:$J$108,MATCH($B232,'Resultados'!$A$5:$A$108,0)),"")</x:f>
        <x:v>Turquia</x:v>
      </x:c>
      <x:c r="H232" s="21" t="str">
        <x:v>Não</x:v>
      </x:c>
      <x:c r="I232" s="22"/>
      <x:c r="J232" s="22"/>
      <x:c r="K232" s="23"/>
      <x:c r="L232" s="21" t="str">
        <x:f>IFERROR(INDEX('Resultados'!$H$5:$H$108,MATCH($B232,'Resultados'!$A$5:$A$108,0)),"")</x:f>
      </x:c>
      <x:c r="M232" s="21" t="str">
        <x:f>IFERROR(INDEX('Resultados'!$I$5:$I$108,MATCH($B232,'Resultados'!$A$5:$A$108,0)),"")</x:f>
      </x:c>
      <x:c r="N232" s="21" t="str">
        <x:f>IFERROR(INDEX('Resultados'!$L$5:$L$108,MATCH($B232,'Resultados'!$A$5:$A$108,0)),"")</x:f>
      </x:c>
      <x:c r="O232" s="59" t="str">
        <x:f>IF(OR($I232="",$J232="",$L232="",$M232=""),"",IF(AND($H232="Sim",$L232=$M232),IF($I232&lt;&gt;$J232,0,IF(AND($I232=$L232,$J232=$M232),2,1)),IF(AND($I232=$L232,$J232=$M232),3,IF(AND($I232&lt;&gt;$J232,$I232=$M232,$J232=$L232),-2,IF(SIGN($I232-$J232)=SIGN($L232-$M232),1,0)))))</x:f>
      </x:c>
      <x:c r="P232" s="59" t="str">
        <x:f>IF(OR($H232&lt;&gt;"Sim",$I232="",$J232="",$L232="",$M232=""),"",IF(AND(IF($I232&gt;$J232,$F232,IF($I232&lt;$J232,$G232,$K232))&lt;&gt;"",IF($L232&gt;$M232,$F232,IF($L232&lt;$M232,$G232,$N232))&lt;&gt;"",IF($I232&gt;$J232,$F232,IF($I232&lt;$J232,$G232,$K232))=IF($L232&gt;$M232,$F232,IF($L232&lt;$M232,$G232,$N232))),1,0))</x:f>
      </x:c>
      <x:c r="Q232" s="59" t="str">
        <x:f>IF($O232="","",$O232+$P232)</x:f>
      </x:c>
      <x:c r="R232" s="59" t="str">
        <x:f>IF($Q232="","",IF($O232=3,"Cravada",IF(AND($H232="Sim",$L232=$M232,$I232=$J232,$O232=2),"Empate cravado",IF($O232=1,"Resultado certo",IF($O232=-2,"Invertida",IF($P232=1,"Acertou quem passa","Erro"))))))</x:f>
      </x:c>
      <x:c r="S232" s="59" t="str">
        <x:f>IF($O232="","",--(OR($O232=3,AND($H232="Sim",$L232=$M232,$I232=$J232,$O232=2))))</x:f>
      </x:c>
      <x:c r="T232" s="59" t="str">
        <x:f>IF($O232="","",--($O232=-2))</x:f>
      </x:c>
      <x:c r="U232" s="59" t="str">
        <x:f>IF($O232="","",--($O232=1))</x:f>
      </x:c>
      <x:c r="V232" s="59" t="n">
        <x:f>--(AND($I232&lt;&gt;"",$J232&lt;&gt;""))</x:f>
        <x:v>0</x:v>
      </x:c>
    </x:row>
    <x:row r="233">
      <x:c r="A233" s="21" t="str">
        <x:f>INDEX(Config!$B$10:$B$16,INT((ROW()-5)/104)+1)</x:f>
        <x:v>Gabriel</x:v>
      </x:c>
      <x:c r="B233" s="21" t="str">
        <x:v>GD3</x:v>
      </x:c>
      <x:c r="C233" s="21" t="n">
        <x:v>21</x:v>
      </x:c>
      <x:c r="D233" s="21" t="str">
        <x:v>Grupo D</x:v>
      </x:c>
      <x:c r="E233" s="21" t="str">
        <x:v>2026-06-19</x:v>
      </x:c>
      <x:c r="F233" s="21" t="str">
        <x:f>IFERROR(INDEX('Resultados'!$G$5:$G$108,MATCH($B233,'Resultados'!$A$5:$A$108,0)),"")</x:f>
        <x:v>EUA</x:v>
      </x:c>
      <x:c r="G233" s="21" t="str">
        <x:f>IFERROR(INDEX('Resultados'!$J$5:$J$108,MATCH($B233,'Resultados'!$A$5:$A$108,0)),"")</x:f>
        <x:v>Austrália</x:v>
      </x:c>
      <x:c r="H233" s="21" t="str">
        <x:v>Não</x:v>
      </x:c>
      <x:c r="I233" s="22"/>
      <x:c r="J233" s="22"/>
      <x:c r="K233" s="23"/>
      <x:c r="L233" s="21" t="str">
        <x:f>IFERROR(INDEX('Resultados'!$H$5:$H$108,MATCH($B233,'Resultados'!$A$5:$A$108,0)),"")</x:f>
      </x:c>
      <x:c r="M233" s="21" t="str">
        <x:f>IFERROR(INDEX('Resultados'!$I$5:$I$108,MATCH($B233,'Resultados'!$A$5:$A$108,0)),"")</x:f>
      </x:c>
      <x:c r="N233" s="21" t="str">
        <x:f>IFERROR(INDEX('Resultados'!$L$5:$L$108,MATCH($B233,'Resultados'!$A$5:$A$108,0)),"")</x:f>
      </x:c>
      <x:c r="O233" s="59" t="str">
        <x:f>IF(OR($I233="",$J233="",$L233="",$M233=""),"",IF(AND($H233="Sim",$L233=$M233),IF($I233&lt;&gt;$J233,0,IF(AND($I233=$L233,$J233=$M233),2,1)),IF(AND($I233=$L233,$J233=$M233),3,IF(AND($I233&lt;&gt;$J233,$I233=$M233,$J233=$L233),-2,IF(SIGN($I233-$J233)=SIGN($L233-$M233),1,0)))))</x:f>
      </x:c>
      <x:c r="P233" s="59" t="str">
        <x:f>IF(OR($H233&lt;&gt;"Sim",$I233="",$J233="",$L233="",$M233=""),"",IF(AND(IF($I233&gt;$J233,$F233,IF($I233&lt;$J233,$G233,$K233))&lt;&gt;"",IF($L233&gt;$M233,$F233,IF($L233&lt;$M233,$G233,$N233))&lt;&gt;"",IF($I233&gt;$J233,$F233,IF($I233&lt;$J233,$G233,$K233))=IF($L233&gt;$M233,$F233,IF($L233&lt;$M233,$G233,$N233))),1,0))</x:f>
      </x:c>
      <x:c r="Q233" s="59" t="str">
        <x:f>IF($O233="","",$O233+$P233)</x:f>
      </x:c>
      <x:c r="R233" s="59" t="str">
        <x:f>IF($Q233="","",IF($O233=3,"Cravada",IF(AND($H233="Sim",$L233=$M233,$I233=$J233,$O233=2),"Empate cravado",IF($O233=1,"Resultado certo",IF($O233=-2,"Invertida",IF($P233=1,"Acertou quem passa","Erro"))))))</x:f>
      </x:c>
      <x:c r="S233" s="59" t="str">
        <x:f>IF($O233="","",--(OR($O233=3,AND($H233="Sim",$L233=$M233,$I233=$J233,$O233=2))))</x:f>
      </x:c>
      <x:c r="T233" s="59" t="str">
        <x:f>IF($O233="","",--($O233=-2))</x:f>
      </x:c>
      <x:c r="U233" s="59" t="str">
        <x:f>IF($O233="","",--($O233=1))</x:f>
      </x:c>
      <x:c r="V233" s="59" t="n">
        <x:f>--(AND($I233&lt;&gt;"",$J233&lt;&gt;""))</x:f>
        <x:v>0</x:v>
      </x:c>
    </x:row>
    <x:row r="234">
      <x:c r="A234" s="21" t="str">
        <x:f>INDEX(Config!$B$10:$B$16,INT((ROW()-5)/104)+1)</x:f>
        <x:v>Gabriel</x:v>
      </x:c>
      <x:c r="B234" s="21" t="str">
        <x:v>GD4</x:v>
      </x:c>
      <x:c r="C234" s="21" t="n">
        <x:v>22</x:v>
      </x:c>
      <x:c r="D234" s="21" t="str">
        <x:v>Grupo D</x:v>
      </x:c>
      <x:c r="E234" s="21" t="str">
        <x:v>2026-06-20</x:v>
      </x:c>
      <x:c r="F234" s="21" t="str">
        <x:f>IFERROR(INDEX('Resultados'!$G$5:$G$108,MATCH($B234,'Resultados'!$A$5:$A$108,0)),"")</x:f>
        <x:v>Paraguai</x:v>
      </x:c>
      <x:c r="G234" s="21" t="str">
        <x:f>IFERROR(INDEX('Resultados'!$J$5:$J$108,MATCH($B234,'Resultados'!$A$5:$A$108,0)),"")</x:f>
        <x:v>Turquia</x:v>
      </x:c>
      <x:c r="H234" s="21" t="str">
        <x:v>Não</x:v>
      </x:c>
      <x:c r="I234" s="22"/>
      <x:c r="J234" s="22"/>
      <x:c r="K234" s="23"/>
      <x:c r="L234" s="21" t="str">
        <x:f>IFERROR(INDEX('Resultados'!$H$5:$H$108,MATCH($B234,'Resultados'!$A$5:$A$108,0)),"")</x:f>
      </x:c>
      <x:c r="M234" s="21" t="str">
        <x:f>IFERROR(INDEX('Resultados'!$I$5:$I$108,MATCH($B234,'Resultados'!$A$5:$A$108,0)),"")</x:f>
      </x:c>
      <x:c r="N234" s="21" t="str">
        <x:f>IFERROR(INDEX('Resultados'!$L$5:$L$108,MATCH($B234,'Resultados'!$A$5:$A$108,0)),"")</x:f>
      </x:c>
      <x:c r="O234" s="59" t="str">
        <x:f>IF(OR($I234="",$J234="",$L234="",$M234=""),"",IF(AND($H234="Sim",$L234=$M234),IF($I234&lt;&gt;$J234,0,IF(AND($I234=$L234,$J234=$M234),2,1)),IF(AND($I234=$L234,$J234=$M234),3,IF(AND($I234&lt;&gt;$J234,$I234=$M234,$J234=$L234),-2,IF(SIGN($I234-$J234)=SIGN($L234-$M234),1,0)))))</x:f>
      </x:c>
      <x:c r="P234" s="59" t="str">
        <x:f>IF(OR($H234&lt;&gt;"Sim",$I234="",$J234="",$L234="",$M234=""),"",IF(AND(IF($I234&gt;$J234,$F234,IF($I234&lt;$J234,$G234,$K234))&lt;&gt;"",IF($L234&gt;$M234,$F234,IF($L234&lt;$M234,$G234,$N234))&lt;&gt;"",IF($I234&gt;$J234,$F234,IF($I234&lt;$J234,$G234,$K234))=IF($L234&gt;$M234,$F234,IF($L234&lt;$M234,$G234,$N234))),1,0))</x:f>
      </x:c>
      <x:c r="Q234" s="59" t="str">
        <x:f>IF($O234="","",$O234+$P234)</x:f>
      </x:c>
      <x:c r="R234" s="59" t="str">
        <x:f>IF($Q234="","",IF($O234=3,"Cravada",IF(AND($H234="Sim",$L234=$M234,$I234=$J234,$O234=2),"Empate cravado",IF($O234=1,"Resultado certo",IF($O234=-2,"Invertida",IF($P234=1,"Acertou quem passa","Erro"))))))</x:f>
      </x:c>
      <x:c r="S234" s="59" t="str">
        <x:f>IF($O234="","",--(OR($O234=3,AND($H234="Sim",$L234=$M234,$I234=$J234,$O234=2))))</x:f>
      </x:c>
      <x:c r="T234" s="59" t="str">
        <x:f>IF($O234="","",--($O234=-2))</x:f>
      </x:c>
      <x:c r="U234" s="59" t="str">
        <x:f>IF($O234="","",--($O234=1))</x:f>
      </x:c>
      <x:c r="V234" s="59" t="n">
        <x:f>--(AND($I234&lt;&gt;"",$J234&lt;&gt;""))</x:f>
        <x:v>0</x:v>
      </x:c>
    </x:row>
    <x:row r="235">
      <x:c r="A235" s="21" t="str">
        <x:f>INDEX(Config!$B$10:$B$16,INT((ROW()-5)/104)+1)</x:f>
        <x:v>Gabriel</x:v>
      </x:c>
      <x:c r="B235" s="21" t="str">
        <x:v>GD5</x:v>
      </x:c>
      <x:c r="C235" s="21" t="n">
        <x:v>23</x:v>
      </x:c>
      <x:c r="D235" s="21" t="str">
        <x:v>Grupo D</x:v>
      </x:c>
      <x:c r="E235" s="21" t="str">
        <x:v>2026-06-25</x:v>
      </x:c>
      <x:c r="F235" s="21" t="str">
        <x:f>IFERROR(INDEX('Resultados'!$G$5:$G$108,MATCH($B235,'Resultados'!$A$5:$A$108,0)),"")</x:f>
        <x:v>EUA</x:v>
      </x:c>
      <x:c r="G235" s="21" t="str">
        <x:f>IFERROR(INDEX('Resultados'!$J$5:$J$108,MATCH($B235,'Resultados'!$A$5:$A$108,0)),"")</x:f>
        <x:v>Turquia</x:v>
      </x:c>
      <x:c r="H235" s="21" t="str">
        <x:v>Não</x:v>
      </x:c>
      <x:c r="I235" s="22"/>
      <x:c r="J235" s="22"/>
      <x:c r="K235" s="23"/>
      <x:c r="L235" s="21" t="str">
        <x:f>IFERROR(INDEX('Resultados'!$H$5:$H$108,MATCH($B235,'Resultados'!$A$5:$A$108,0)),"")</x:f>
      </x:c>
      <x:c r="M235" s="21" t="str">
        <x:f>IFERROR(INDEX('Resultados'!$I$5:$I$108,MATCH($B235,'Resultados'!$A$5:$A$108,0)),"")</x:f>
      </x:c>
      <x:c r="N235" s="21" t="str">
        <x:f>IFERROR(INDEX('Resultados'!$L$5:$L$108,MATCH($B235,'Resultados'!$A$5:$A$108,0)),"")</x:f>
      </x:c>
      <x:c r="O235" s="59" t="str">
        <x:f>IF(OR($I235="",$J235="",$L235="",$M235=""),"",IF(AND($H235="Sim",$L235=$M235),IF($I235&lt;&gt;$J235,0,IF(AND($I235=$L235,$J235=$M235),2,1)),IF(AND($I235=$L235,$J235=$M235),3,IF(AND($I235&lt;&gt;$J235,$I235=$M235,$J235=$L235),-2,IF(SIGN($I235-$J235)=SIGN($L235-$M235),1,0)))))</x:f>
      </x:c>
      <x:c r="P235" s="59" t="str">
        <x:f>IF(OR($H235&lt;&gt;"Sim",$I235="",$J235="",$L235="",$M235=""),"",IF(AND(IF($I235&gt;$J235,$F235,IF($I235&lt;$J235,$G235,$K235))&lt;&gt;"",IF($L235&gt;$M235,$F235,IF($L235&lt;$M235,$G235,$N235))&lt;&gt;"",IF($I235&gt;$J235,$F235,IF($I235&lt;$J235,$G235,$K235))=IF($L235&gt;$M235,$F235,IF($L235&lt;$M235,$G235,$N235))),1,0))</x:f>
      </x:c>
      <x:c r="Q235" s="59" t="str">
        <x:f>IF($O235="","",$O235+$P235)</x:f>
      </x:c>
      <x:c r="R235" s="59" t="str">
        <x:f>IF($Q235="","",IF($O235=3,"Cravada",IF(AND($H235="Sim",$L235=$M235,$I235=$J235,$O235=2),"Empate cravado",IF($O235=1,"Resultado certo",IF($O235=-2,"Invertida",IF($P235=1,"Acertou quem passa","Erro"))))))</x:f>
      </x:c>
      <x:c r="S235" s="59" t="str">
        <x:f>IF($O235="","",--(OR($O235=3,AND($H235="Sim",$L235=$M235,$I235=$J235,$O235=2))))</x:f>
      </x:c>
      <x:c r="T235" s="59" t="str">
        <x:f>IF($O235="","",--($O235=-2))</x:f>
      </x:c>
      <x:c r="U235" s="59" t="str">
        <x:f>IF($O235="","",--($O235=1))</x:f>
      </x:c>
      <x:c r="V235" s="59" t="n">
        <x:f>--(AND($I235&lt;&gt;"",$J235&lt;&gt;""))</x:f>
        <x:v>0</x:v>
      </x:c>
    </x:row>
    <x:row r="236">
      <x:c r="A236" s="21" t="str">
        <x:f>INDEX(Config!$B$10:$B$16,INT((ROW()-5)/104)+1)</x:f>
        <x:v>Gabriel</x:v>
      </x:c>
      <x:c r="B236" s="21" t="str">
        <x:v>GD6</x:v>
      </x:c>
      <x:c r="C236" s="21" t="n">
        <x:v>24</x:v>
      </x:c>
      <x:c r="D236" s="21" t="str">
        <x:v>Grupo D</x:v>
      </x:c>
      <x:c r="E236" s="21" t="str">
        <x:v>2026-06-25</x:v>
      </x:c>
      <x:c r="F236" s="21" t="str">
        <x:f>IFERROR(INDEX('Resultados'!$G$5:$G$108,MATCH($B236,'Resultados'!$A$5:$A$108,0)),"")</x:f>
        <x:v>Paraguai</x:v>
      </x:c>
      <x:c r="G236" s="21" t="str">
        <x:f>IFERROR(INDEX('Resultados'!$J$5:$J$108,MATCH($B236,'Resultados'!$A$5:$A$108,0)),"")</x:f>
        <x:v>Austrália</x:v>
      </x:c>
      <x:c r="H236" s="21" t="str">
        <x:v>Não</x:v>
      </x:c>
      <x:c r="I236" s="22"/>
      <x:c r="J236" s="22"/>
      <x:c r="K236" s="23"/>
      <x:c r="L236" s="21" t="str">
        <x:f>IFERROR(INDEX('Resultados'!$H$5:$H$108,MATCH($B236,'Resultados'!$A$5:$A$108,0)),"")</x:f>
      </x:c>
      <x:c r="M236" s="21" t="str">
        <x:f>IFERROR(INDEX('Resultados'!$I$5:$I$108,MATCH($B236,'Resultados'!$A$5:$A$108,0)),"")</x:f>
      </x:c>
      <x:c r="N236" s="21" t="str">
        <x:f>IFERROR(INDEX('Resultados'!$L$5:$L$108,MATCH($B236,'Resultados'!$A$5:$A$108,0)),"")</x:f>
      </x:c>
      <x:c r="O236" s="59" t="str">
        <x:f>IF(OR($I236="",$J236="",$L236="",$M236=""),"",IF(AND($H236="Sim",$L236=$M236),IF($I236&lt;&gt;$J236,0,IF(AND($I236=$L236,$J236=$M236),2,1)),IF(AND($I236=$L236,$J236=$M236),3,IF(AND($I236&lt;&gt;$J236,$I236=$M236,$J236=$L236),-2,IF(SIGN($I236-$J236)=SIGN($L236-$M236),1,0)))))</x:f>
      </x:c>
      <x:c r="P236" s="59" t="str">
        <x:f>IF(OR($H236&lt;&gt;"Sim",$I236="",$J236="",$L236="",$M236=""),"",IF(AND(IF($I236&gt;$J236,$F236,IF($I236&lt;$J236,$G236,$K236))&lt;&gt;"",IF($L236&gt;$M236,$F236,IF($L236&lt;$M236,$G236,$N236))&lt;&gt;"",IF($I236&gt;$J236,$F236,IF($I236&lt;$J236,$G236,$K236))=IF($L236&gt;$M236,$F236,IF($L236&lt;$M236,$G236,$N236))),1,0))</x:f>
      </x:c>
      <x:c r="Q236" s="59" t="str">
        <x:f>IF($O236="","",$O236+$P236)</x:f>
      </x:c>
      <x:c r="R236" s="59" t="str">
        <x:f>IF($Q236="","",IF($O236=3,"Cravada",IF(AND($H236="Sim",$L236=$M236,$I236=$J236,$O236=2),"Empate cravado",IF($O236=1,"Resultado certo",IF($O236=-2,"Invertida",IF($P236=1,"Acertou quem passa","Erro"))))))</x:f>
      </x:c>
      <x:c r="S236" s="59" t="str">
        <x:f>IF($O236="","",--(OR($O236=3,AND($H236="Sim",$L236=$M236,$I236=$J236,$O236=2))))</x:f>
      </x:c>
      <x:c r="T236" s="59" t="str">
        <x:f>IF($O236="","",--($O236=-2))</x:f>
      </x:c>
      <x:c r="U236" s="59" t="str">
        <x:f>IF($O236="","",--($O236=1))</x:f>
      </x:c>
      <x:c r="V236" s="59" t="n">
        <x:f>--(AND($I236&lt;&gt;"",$J236&lt;&gt;""))</x:f>
        <x:v>0</x:v>
      </x:c>
    </x:row>
    <x:row r="237">
      <x:c r="A237" s="21" t="str">
        <x:f>INDEX(Config!$B$10:$B$16,INT((ROW()-5)/104)+1)</x:f>
        <x:v>Gabriel</x:v>
      </x:c>
      <x:c r="B237" s="21" t="str">
        <x:v>GE1</x:v>
      </x:c>
      <x:c r="C237" s="21" t="n">
        <x:v>25</x:v>
      </x:c>
      <x:c r="D237" s="21" t="str">
        <x:v>Grupo E</x:v>
      </x:c>
      <x:c r="E237" s="21" t="str">
        <x:v>2026-06-14</x:v>
      </x:c>
      <x:c r="F237" s="21" t="str">
        <x:f>IFERROR(INDEX('Resultados'!$G$5:$G$108,MATCH($B237,'Resultados'!$A$5:$A$108,0)),"")</x:f>
        <x:v>Alemanha</x:v>
      </x:c>
      <x:c r="G237" s="21" t="str">
        <x:f>IFERROR(INDEX('Resultados'!$J$5:$J$108,MATCH($B237,'Resultados'!$A$5:$A$108,0)),"")</x:f>
        <x:v>Curaçau</x:v>
      </x:c>
      <x:c r="H237" s="21" t="str">
        <x:v>Não</x:v>
      </x:c>
      <x:c r="I237" s="22"/>
      <x:c r="J237" s="22"/>
      <x:c r="K237" s="23"/>
      <x:c r="L237" s="21" t="str">
        <x:f>IFERROR(INDEX('Resultados'!$H$5:$H$108,MATCH($B237,'Resultados'!$A$5:$A$108,0)),"")</x:f>
      </x:c>
      <x:c r="M237" s="21" t="str">
        <x:f>IFERROR(INDEX('Resultados'!$I$5:$I$108,MATCH($B237,'Resultados'!$A$5:$A$108,0)),"")</x:f>
      </x:c>
      <x:c r="N237" s="21" t="str">
        <x:f>IFERROR(INDEX('Resultados'!$L$5:$L$108,MATCH($B237,'Resultados'!$A$5:$A$108,0)),"")</x:f>
      </x:c>
      <x:c r="O237" s="59" t="str">
        <x:f>IF(OR($I237="",$J237="",$L237="",$M237=""),"",IF(AND($H237="Sim",$L237=$M237),IF($I237&lt;&gt;$J237,0,IF(AND($I237=$L237,$J237=$M237),2,1)),IF(AND($I237=$L237,$J237=$M237),3,IF(AND($I237&lt;&gt;$J237,$I237=$M237,$J237=$L237),-2,IF(SIGN($I237-$J237)=SIGN($L237-$M237),1,0)))))</x:f>
      </x:c>
      <x:c r="P237" s="59" t="str">
        <x:f>IF(OR($H237&lt;&gt;"Sim",$I237="",$J237="",$L237="",$M237=""),"",IF(AND(IF($I237&gt;$J237,$F237,IF($I237&lt;$J237,$G237,$K237))&lt;&gt;"",IF($L237&gt;$M237,$F237,IF($L237&lt;$M237,$G237,$N237))&lt;&gt;"",IF($I237&gt;$J237,$F237,IF($I237&lt;$J237,$G237,$K237))=IF($L237&gt;$M237,$F237,IF($L237&lt;$M237,$G237,$N237))),1,0))</x:f>
      </x:c>
      <x:c r="Q237" s="59" t="str">
        <x:f>IF($O237="","",$O237+$P237)</x:f>
      </x:c>
      <x:c r="R237" s="59" t="str">
        <x:f>IF($Q237="","",IF($O237=3,"Cravada",IF(AND($H237="Sim",$L237=$M237,$I237=$J237,$O237=2),"Empate cravado",IF($O237=1,"Resultado certo",IF($O237=-2,"Invertida",IF($P237=1,"Acertou quem passa","Erro"))))))</x:f>
      </x:c>
      <x:c r="S237" s="59" t="str">
        <x:f>IF($O237="","",--(OR($O237=3,AND($H237="Sim",$L237=$M237,$I237=$J237,$O237=2))))</x:f>
      </x:c>
      <x:c r="T237" s="59" t="str">
        <x:f>IF($O237="","",--($O237=-2))</x:f>
      </x:c>
      <x:c r="U237" s="59" t="str">
        <x:f>IF($O237="","",--($O237=1))</x:f>
      </x:c>
      <x:c r="V237" s="59" t="n">
        <x:f>--(AND($I237&lt;&gt;"",$J237&lt;&gt;""))</x:f>
        <x:v>0</x:v>
      </x:c>
    </x:row>
    <x:row r="238">
      <x:c r="A238" s="21" t="str">
        <x:f>INDEX(Config!$B$10:$B$16,INT((ROW()-5)/104)+1)</x:f>
        <x:v>Gabriel</x:v>
      </x:c>
      <x:c r="B238" s="21" t="str">
        <x:v>GE2</x:v>
      </x:c>
      <x:c r="C238" s="21" t="n">
        <x:v>26</x:v>
      </x:c>
      <x:c r="D238" s="21" t="str">
        <x:v>Grupo E</x:v>
      </x:c>
      <x:c r="E238" s="21" t="str">
        <x:v>2026-06-14</x:v>
      </x:c>
      <x:c r="F238" s="21" t="str">
        <x:f>IFERROR(INDEX('Resultados'!$G$5:$G$108,MATCH($B238,'Resultados'!$A$5:$A$108,0)),"")</x:f>
        <x:v>Costa do Marfim</x:v>
      </x:c>
      <x:c r="G238" s="21" t="str">
        <x:f>IFERROR(INDEX('Resultados'!$J$5:$J$108,MATCH($B238,'Resultados'!$A$5:$A$108,0)),"")</x:f>
        <x:v>Equador</x:v>
      </x:c>
      <x:c r="H238" s="21" t="str">
        <x:v>Não</x:v>
      </x:c>
      <x:c r="I238" s="22"/>
      <x:c r="J238" s="22"/>
      <x:c r="K238" s="23"/>
      <x:c r="L238" s="21" t="str">
        <x:f>IFERROR(INDEX('Resultados'!$H$5:$H$108,MATCH($B238,'Resultados'!$A$5:$A$108,0)),"")</x:f>
      </x:c>
      <x:c r="M238" s="21" t="str">
        <x:f>IFERROR(INDEX('Resultados'!$I$5:$I$108,MATCH($B238,'Resultados'!$A$5:$A$108,0)),"")</x:f>
      </x:c>
      <x:c r="N238" s="21" t="str">
        <x:f>IFERROR(INDEX('Resultados'!$L$5:$L$108,MATCH($B238,'Resultados'!$A$5:$A$108,0)),"")</x:f>
      </x:c>
      <x:c r="O238" s="59" t="str">
        <x:f>IF(OR($I238="",$J238="",$L238="",$M238=""),"",IF(AND($H238="Sim",$L238=$M238),IF($I238&lt;&gt;$J238,0,IF(AND($I238=$L238,$J238=$M238),2,1)),IF(AND($I238=$L238,$J238=$M238),3,IF(AND($I238&lt;&gt;$J238,$I238=$M238,$J238=$L238),-2,IF(SIGN($I238-$J238)=SIGN($L238-$M238),1,0)))))</x:f>
      </x:c>
      <x:c r="P238" s="59" t="str">
        <x:f>IF(OR($H238&lt;&gt;"Sim",$I238="",$J238="",$L238="",$M238=""),"",IF(AND(IF($I238&gt;$J238,$F238,IF($I238&lt;$J238,$G238,$K238))&lt;&gt;"",IF($L238&gt;$M238,$F238,IF($L238&lt;$M238,$G238,$N238))&lt;&gt;"",IF($I238&gt;$J238,$F238,IF($I238&lt;$J238,$G238,$K238))=IF($L238&gt;$M238,$F238,IF($L238&lt;$M238,$G238,$N238))),1,0))</x:f>
      </x:c>
      <x:c r="Q238" s="59" t="str">
        <x:f>IF($O238="","",$O238+$P238)</x:f>
      </x:c>
      <x:c r="R238" s="59" t="str">
        <x:f>IF($Q238="","",IF($O238=3,"Cravada",IF(AND($H238="Sim",$L238=$M238,$I238=$J238,$O238=2),"Empate cravado",IF($O238=1,"Resultado certo",IF($O238=-2,"Invertida",IF($P238=1,"Acertou quem passa","Erro"))))))</x:f>
      </x:c>
      <x:c r="S238" s="59" t="str">
        <x:f>IF($O238="","",--(OR($O238=3,AND($H238="Sim",$L238=$M238,$I238=$J238,$O238=2))))</x:f>
      </x:c>
      <x:c r="T238" s="59" t="str">
        <x:f>IF($O238="","",--($O238=-2))</x:f>
      </x:c>
      <x:c r="U238" s="59" t="str">
        <x:f>IF($O238="","",--($O238=1))</x:f>
      </x:c>
      <x:c r="V238" s="59" t="n">
        <x:f>--(AND($I238&lt;&gt;"",$J238&lt;&gt;""))</x:f>
        <x:v>0</x:v>
      </x:c>
    </x:row>
    <x:row r="239">
      <x:c r="A239" s="21" t="str">
        <x:f>INDEX(Config!$B$10:$B$16,INT((ROW()-5)/104)+1)</x:f>
        <x:v>Gabriel</x:v>
      </x:c>
      <x:c r="B239" s="21" t="str">
        <x:v>GE3</x:v>
      </x:c>
      <x:c r="C239" s="21" t="n">
        <x:v>27</x:v>
      </x:c>
      <x:c r="D239" s="21" t="str">
        <x:v>Grupo E</x:v>
      </x:c>
      <x:c r="E239" s="21" t="str">
        <x:v>2026-06-20</x:v>
      </x:c>
      <x:c r="F239" s="21" t="str">
        <x:f>IFERROR(INDEX('Resultados'!$G$5:$G$108,MATCH($B239,'Resultados'!$A$5:$A$108,0)),"")</x:f>
        <x:v>Alemanha</x:v>
      </x:c>
      <x:c r="G239" s="21" t="str">
        <x:f>IFERROR(INDEX('Resultados'!$J$5:$J$108,MATCH($B239,'Resultados'!$A$5:$A$108,0)),"")</x:f>
        <x:v>Costa do Marfim</x:v>
      </x:c>
      <x:c r="H239" s="21" t="str">
        <x:v>Não</x:v>
      </x:c>
      <x:c r="I239" s="22"/>
      <x:c r="J239" s="22"/>
      <x:c r="K239" s="23"/>
      <x:c r="L239" s="21" t="str">
        <x:f>IFERROR(INDEX('Resultados'!$H$5:$H$108,MATCH($B239,'Resultados'!$A$5:$A$108,0)),"")</x:f>
      </x:c>
      <x:c r="M239" s="21" t="str">
        <x:f>IFERROR(INDEX('Resultados'!$I$5:$I$108,MATCH($B239,'Resultados'!$A$5:$A$108,0)),"")</x:f>
      </x:c>
      <x:c r="N239" s="21" t="str">
        <x:f>IFERROR(INDEX('Resultados'!$L$5:$L$108,MATCH($B239,'Resultados'!$A$5:$A$108,0)),"")</x:f>
      </x:c>
      <x:c r="O239" s="59" t="str">
        <x:f>IF(OR($I239="",$J239="",$L239="",$M239=""),"",IF(AND($H239="Sim",$L239=$M239),IF($I239&lt;&gt;$J239,0,IF(AND($I239=$L239,$J239=$M239),2,1)),IF(AND($I239=$L239,$J239=$M239),3,IF(AND($I239&lt;&gt;$J239,$I239=$M239,$J239=$L239),-2,IF(SIGN($I239-$J239)=SIGN($L239-$M239),1,0)))))</x:f>
      </x:c>
      <x:c r="P239" s="59" t="str">
        <x:f>IF(OR($H239&lt;&gt;"Sim",$I239="",$J239="",$L239="",$M239=""),"",IF(AND(IF($I239&gt;$J239,$F239,IF($I239&lt;$J239,$G239,$K239))&lt;&gt;"",IF($L239&gt;$M239,$F239,IF($L239&lt;$M239,$G239,$N239))&lt;&gt;"",IF($I239&gt;$J239,$F239,IF($I239&lt;$J239,$G239,$K239))=IF($L239&gt;$M239,$F239,IF($L239&lt;$M239,$G239,$N239))),1,0))</x:f>
      </x:c>
      <x:c r="Q239" s="59" t="str">
        <x:f>IF($O239="","",$O239+$P239)</x:f>
      </x:c>
      <x:c r="R239" s="59" t="str">
        <x:f>IF($Q239="","",IF($O239=3,"Cravada",IF(AND($H239="Sim",$L239=$M239,$I239=$J239,$O239=2),"Empate cravado",IF($O239=1,"Resultado certo",IF($O239=-2,"Invertida",IF($P239=1,"Acertou quem passa","Erro"))))))</x:f>
      </x:c>
      <x:c r="S239" s="59" t="str">
        <x:f>IF($O239="","",--(OR($O239=3,AND($H239="Sim",$L239=$M239,$I239=$J239,$O239=2))))</x:f>
      </x:c>
      <x:c r="T239" s="59" t="str">
        <x:f>IF($O239="","",--($O239=-2))</x:f>
      </x:c>
      <x:c r="U239" s="59" t="str">
        <x:f>IF($O239="","",--($O239=1))</x:f>
      </x:c>
      <x:c r="V239" s="59" t="n">
        <x:f>--(AND($I239&lt;&gt;"",$J239&lt;&gt;""))</x:f>
        <x:v>0</x:v>
      </x:c>
    </x:row>
    <x:row r="240">
      <x:c r="A240" s="21" t="str">
        <x:f>INDEX(Config!$B$10:$B$16,INT((ROW()-5)/104)+1)</x:f>
        <x:v>Gabriel</x:v>
      </x:c>
      <x:c r="B240" s="21" t="str">
        <x:v>GE4</x:v>
      </x:c>
      <x:c r="C240" s="21" t="n">
        <x:v>28</x:v>
      </x:c>
      <x:c r="D240" s="21" t="str">
        <x:v>Grupo E</x:v>
      </x:c>
      <x:c r="E240" s="21" t="str">
        <x:v>2026-06-20</x:v>
      </x:c>
      <x:c r="F240" s="21" t="str">
        <x:f>IFERROR(INDEX('Resultados'!$G$5:$G$108,MATCH($B240,'Resultados'!$A$5:$A$108,0)),"")</x:f>
        <x:v>Curaçau</x:v>
      </x:c>
      <x:c r="G240" s="21" t="str">
        <x:f>IFERROR(INDEX('Resultados'!$J$5:$J$108,MATCH($B240,'Resultados'!$A$5:$A$108,0)),"")</x:f>
        <x:v>Equador</x:v>
      </x:c>
      <x:c r="H240" s="21" t="str">
        <x:v>Não</x:v>
      </x:c>
      <x:c r="I240" s="22"/>
      <x:c r="J240" s="22"/>
      <x:c r="K240" s="23"/>
      <x:c r="L240" s="21" t="str">
        <x:f>IFERROR(INDEX('Resultados'!$H$5:$H$108,MATCH($B240,'Resultados'!$A$5:$A$108,0)),"")</x:f>
      </x:c>
      <x:c r="M240" s="21" t="str">
        <x:f>IFERROR(INDEX('Resultados'!$I$5:$I$108,MATCH($B240,'Resultados'!$A$5:$A$108,0)),"")</x:f>
      </x:c>
      <x:c r="N240" s="21" t="str">
        <x:f>IFERROR(INDEX('Resultados'!$L$5:$L$108,MATCH($B240,'Resultados'!$A$5:$A$108,0)),"")</x:f>
      </x:c>
      <x:c r="O240" s="59" t="str">
        <x:f>IF(OR($I240="",$J240="",$L240="",$M240=""),"",IF(AND($H240="Sim",$L240=$M240),IF($I240&lt;&gt;$J240,0,IF(AND($I240=$L240,$J240=$M240),2,1)),IF(AND($I240=$L240,$J240=$M240),3,IF(AND($I240&lt;&gt;$J240,$I240=$M240,$J240=$L240),-2,IF(SIGN($I240-$J240)=SIGN($L240-$M240),1,0)))))</x:f>
      </x:c>
      <x:c r="P240" s="59" t="str">
        <x:f>IF(OR($H240&lt;&gt;"Sim",$I240="",$J240="",$L240="",$M240=""),"",IF(AND(IF($I240&gt;$J240,$F240,IF($I240&lt;$J240,$G240,$K240))&lt;&gt;"",IF($L240&gt;$M240,$F240,IF($L240&lt;$M240,$G240,$N240))&lt;&gt;"",IF($I240&gt;$J240,$F240,IF($I240&lt;$J240,$G240,$K240))=IF($L240&gt;$M240,$F240,IF($L240&lt;$M240,$G240,$N240))),1,0))</x:f>
      </x:c>
      <x:c r="Q240" s="59" t="str">
        <x:f>IF($O240="","",$O240+$P240)</x:f>
      </x:c>
      <x:c r="R240" s="59" t="str">
        <x:f>IF($Q240="","",IF($O240=3,"Cravada",IF(AND($H240="Sim",$L240=$M240,$I240=$J240,$O240=2),"Empate cravado",IF($O240=1,"Resultado certo",IF($O240=-2,"Invertida",IF($P240=1,"Acertou quem passa","Erro"))))))</x:f>
      </x:c>
      <x:c r="S240" s="59" t="str">
        <x:f>IF($O240="","",--(OR($O240=3,AND($H240="Sim",$L240=$M240,$I240=$J240,$O240=2))))</x:f>
      </x:c>
      <x:c r="T240" s="59" t="str">
        <x:f>IF($O240="","",--($O240=-2))</x:f>
      </x:c>
      <x:c r="U240" s="59" t="str">
        <x:f>IF($O240="","",--($O240=1))</x:f>
      </x:c>
      <x:c r="V240" s="59" t="n">
        <x:f>--(AND($I240&lt;&gt;"",$J240&lt;&gt;""))</x:f>
        <x:v>0</x:v>
      </x:c>
    </x:row>
    <x:row r="241">
      <x:c r="A241" s="21" t="str">
        <x:f>INDEX(Config!$B$10:$B$16,INT((ROW()-5)/104)+1)</x:f>
        <x:v>Gabriel</x:v>
      </x:c>
      <x:c r="B241" s="21" t="str">
        <x:v>GE5</x:v>
      </x:c>
      <x:c r="C241" s="21" t="n">
        <x:v>29</x:v>
      </x:c>
      <x:c r="D241" s="21" t="str">
        <x:v>Grupo E</x:v>
      </x:c>
      <x:c r="E241" s="21" t="str">
        <x:v>2026-06-25</x:v>
      </x:c>
      <x:c r="F241" s="21" t="str">
        <x:f>IFERROR(INDEX('Resultados'!$G$5:$G$108,MATCH($B241,'Resultados'!$A$5:$A$108,0)),"")</x:f>
        <x:v>Alemanha</x:v>
      </x:c>
      <x:c r="G241" s="21" t="str">
        <x:f>IFERROR(INDEX('Resultados'!$J$5:$J$108,MATCH($B241,'Resultados'!$A$5:$A$108,0)),"")</x:f>
        <x:v>Equador</x:v>
      </x:c>
      <x:c r="H241" s="21" t="str">
        <x:v>Não</x:v>
      </x:c>
      <x:c r="I241" s="22"/>
      <x:c r="J241" s="22"/>
      <x:c r="K241" s="23"/>
      <x:c r="L241" s="21" t="str">
        <x:f>IFERROR(INDEX('Resultados'!$H$5:$H$108,MATCH($B241,'Resultados'!$A$5:$A$108,0)),"")</x:f>
      </x:c>
      <x:c r="M241" s="21" t="str">
        <x:f>IFERROR(INDEX('Resultados'!$I$5:$I$108,MATCH($B241,'Resultados'!$A$5:$A$108,0)),"")</x:f>
      </x:c>
      <x:c r="N241" s="21" t="str">
        <x:f>IFERROR(INDEX('Resultados'!$L$5:$L$108,MATCH($B241,'Resultados'!$A$5:$A$108,0)),"")</x:f>
      </x:c>
      <x:c r="O241" s="59" t="str">
        <x:f>IF(OR($I241="",$J241="",$L241="",$M241=""),"",IF(AND($H241="Sim",$L241=$M241),IF($I241&lt;&gt;$J241,0,IF(AND($I241=$L241,$J241=$M241),2,1)),IF(AND($I241=$L241,$J241=$M241),3,IF(AND($I241&lt;&gt;$J241,$I241=$M241,$J241=$L241),-2,IF(SIGN($I241-$J241)=SIGN($L241-$M241),1,0)))))</x:f>
      </x:c>
      <x:c r="P241" s="59" t="str">
        <x:f>IF(OR($H241&lt;&gt;"Sim",$I241="",$J241="",$L241="",$M241=""),"",IF(AND(IF($I241&gt;$J241,$F241,IF($I241&lt;$J241,$G241,$K241))&lt;&gt;"",IF($L241&gt;$M241,$F241,IF($L241&lt;$M241,$G241,$N241))&lt;&gt;"",IF($I241&gt;$J241,$F241,IF($I241&lt;$J241,$G241,$K241))=IF($L241&gt;$M241,$F241,IF($L241&lt;$M241,$G241,$N241))),1,0))</x:f>
      </x:c>
      <x:c r="Q241" s="59" t="str">
        <x:f>IF($O241="","",$O241+$P241)</x:f>
      </x:c>
      <x:c r="R241" s="59" t="str">
        <x:f>IF($Q241="","",IF($O241=3,"Cravada",IF(AND($H241="Sim",$L241=$M241,$I241=$J241,$O241=2),"Empate cravado",IF($O241=1,"Resultado certo",IF($O241=-2,"Invertida",IF($P241=1,"Acertou quem passa","Erro"))))))</x:f>
      </x:c>
      <x:c r="S241" s="59" t="str">
        <x:f>IF($O241="","",--(OR($O241=3,AND($H241="Sim",$L241=$M241,$I241=$J241,$O241=2))))</x:f>
      </x:c>
      <x:c r="T241" s="59" t="str">
        <x:f>IF($O241="","",--($O241=-2))</x:f>
      </x:c>
      <x:c r="U241" s="59" t="str">
        <x:f>IF($O241="","",--($O241=1))</x:f>
      </x:c>
      <x:c r="V241" s="59" t="n">
        <x:f>--(AND($I241&lt;&gt;"",$J241&lt;&gt;""))</x:f>
        <x:v>0</x:v>
      </x:c>
    </x:row>
    <x:row r="242">
      <x:c r="A242" s="21" t="str">
        <x:f>INDEX(Config!$B$10:$B$16,INT((ROW()-5)/104)+1)</x:f>
        <x:v>Gabriel</x:v>
      </x:c>
      <x:c r="B242" s="21" t="str">
        <x:v>GE6</x:v>
      </x:c>
      <x:c r="C242" s="21" t="n">
        <x:v>30</x:v>
      </x:c>
      <x:c r="D242" s="21" t="str">
        <x:v>Grupo E</x:v>
      </x:c>
      <x:c r="E242" s="21" t="str">
        <x:v>2026-06-25</x:v>
      </x:c>
      <x:c r="F242" s="21" t="str">
        <x:f>IFERROR(INDEX('Resultados'!$G$5:$G$108,MATCH($B242,'Resultados'!$A$5:$A$108,0)),"")</x:f>
        <x:v>Curaçau</x:v>
      </x:c>
      <x:c r="G242" s="21" t="str">
        <x:f>IFERROR(INDEX('Resultados'!$J$5:$J$108,MATCH($B242,'Resultados'!$A$5:$A$108,0)),"")</x:f>
        <x:v>Costa do Marfim</x:v>
      </x:c>
      <x:c r="H242" s="21" t="str">
        <x:v>Não</x:v>
      </x:c>
      <x:c r="I242" s="22"/>
      <x:c r="J242" s="22"/>
      <x:c r="K242" s="23"/>
      <x:c r="L242" s="21" t="str">
        <x:f>IFERROR(INDEX('Resultados'!$H$5:$H$108,MATCH($B242,'Resultados'!$A$5:$A$108,0)),"")</x:f>
      </x:c>
      <x:c r="M242" s="21" t="str">
        <x:f>IFERROR(INDEX('Resultados'!$I$5:$I$108,MATCH($B242,'Resultados'!$A$5:$A$108,0)),"")</x:f>
      </x:c>
      <x:c r="N242" s="21" t="str">
        <x:f>IFERROR(INDEX('Resultados'!$L$5:$L$108,MATCH($B242,'Resultados'!$A$5:$A$108,0)),"")</x:f>
      </x:c>
      <x:c r="O242" s="59" t="str">
        <x:f>IF(OR($I242="",$J242="",$L242="",$M242=""),"",IF(AND($H242="Sim",$L242=$M242),IF($I242&lt;&gt;$J242,0,IF(AND($I242=$L242,$J242=$M242),2,1)),IF(AND($I242=$L242,$J242=$M242),3,IF(AND($I242&lt;&gt;$J242,$I242=$M242,$J242=$L242),-2,IF(SIGN($I242-$J242)=SIGN($L242-$M242),1,0)))))</x:f>
      </x:c>
      <x:c r="P242" s="59" t="str">
        <x:f>IF(OR($H242&lt;&gt;"Sim",$I242="",$J242="",$L242="",$M242=""),"",IF(AND(IF($I242&gt;$J242,$F242,IF($I242&lt;$J242,$G242,$K242))&lt;&gt;"",IF($L242&gt;$M242,$F242,IF($L242&lt;$M242,$G242,$N242))&lt;&gt;"",IF($I242&gt;$J242,$F242,IF($I242&lt;$J242,$G242,$K242))=IF($L242&gt;$M242,$F242,IF($L242&lt;$M242,$G242,$N242))),1,0))</x:f>
      </x:c>
      <x:c r="Q242" s="59" t="str">
        <x:f>IF($O242="","",$O242+$P242)</x:f>
      </x:c>
      <x:c r="R242" s="59" t="str">
        <x:f>IF($Q242="","",IF($O242=3,"Cravada",IF(AND($H242="Sim",$L242=$M242,$I242=$J242,$O242=2),"Empate cravado",IF($O242=1,"Resultado certo",IF($O242=-2,"Invertida",IF($P242=1,"Acertou quem passa","Erro"))))))</x:f>
      </x:c>
      <x:c r="S242" s="59" t="str">
        <x:f>IF($O242="","",--(OR($O242=3,AND($H242="Sim",$L242=$M242,$I242=$J242,$O242=2))))</x:f>
      </x:c>
      <x:c r="T242" s="59" t="str">
        <x:f>IF($O242="","",--($O242=-2))</x:f>
      </x:c>
      <x:c r="U242" s="59" t="str">
        <x:f>IF($O242="","",--($O242=1))</x:f>
      </x:c>
      <x:c r="V242" s="59" t="n">
        <x:f>--(AND($I242&lt;&gt;"",$J242&lt;&gt;""))</x:f>
        <x:v>0</x:v>
      </x:c>
    </x:row>
    <x:row r="243">
      <x:c r="A243" s="21" t="str">
        <x:f>INDEX(Config!$B$10:$B$16,INT((ROW()-5)/104)+1)</x:f>
        <x:v>Gabriel</x:v>
      </x:c>
      <x:c r="B243" s="21" t="str">
        <x:v>GF1</x:v>
      </x:c>
      <x:c r="C243" s="21" t="n">
        <x:v>31</x:v>
      </x:c>
      <x:c r="D243" s="21" t="str">
        <x:v>Grupo F</x:v>
      </x:c>
      <x:c r="E243" s="21" t="str">
        <x:v>2026-06-14</x:v>
      </x:c>
      <x:c r="F243" s="21" t="str">
        <x:f>IFERROR(INDEX('Resultados'!$G$5:$G$108,MATCH($B243,'Resultados'!$A$5:$A$108,0)),"")</x:f>
        <x:v>Holanda</x:v>
      </x:c>
      <x:c r="G243" s="21" t="str">
        <x:f>IFERROR(INDEX('Resultados'!$J$5:$J$108,MATCH($B243,'Resultados'!$A$5:$A$108,0)),"")</x:f>
        <x:v>Japão</x:v>
      </x:c>
      <x:c r="H243" s="21" t="str">
        <x:v>Não</x:v>
      </x:c>
      <x:c r="I243" s="22"/>
      <x:c r="J243" s="22"/>
      <x:c r="K243" s="23"/>
      <x:c r="L243" s="21" t="str">
        <x:f>IFERROR(INDEX('Resultados'!$H$5:$H$108,MATCH($B243,'Resultados'!$A$5:$A$108,0)),"")</x:f>
      </x:c>
      <x:c r="M243" s="21" t="str">
        <x:f>IFERROR(INDEX('Resultados'!$I$5:$I$108,MATCH($B243,'Resultados'!$A$5:$A$108,0)),"")</x:f>
      </x:c>
      <x:c r="N243" s="21" t="str">
        <x:f>IFERROR(INDEX('Resultados'!$L$5:$L$108,MATCH($B243,'Resultados'!$A$5:$A$108,0)),"")</x:f>
      </x:c>
      <x:c r="O243" s="59" t="str">
        <x:f>IF(OR($I243="",$J243="",$L243="",$M243=""),"",IF(AND($H243="Sim",$L243=$M243),IF($I243&lt;&gt;$J243,0,IF(AND($I243=$L243,$J243=$M243),2,1)),IF(AND($I243=$L243,$J243=$M243),3,IF(AND($I243&lt;&gt;$J243,$I243=$M243,$J243=$L243),-2,IF(SIGN($I243-$J243)=SIGN($L243-$M243),1,0)))))</x:f>
      </x:c>
      <x:c r="P243" s="59" t="str">
        <x:f>IF(OR($H243&lt;&gt;"Sim",$I243="",$J243="",$L243="",$M243=""),"",IF(AND(IF($I243&gt;$J243,$F243,IF($I243&lt;$J243,$G243,$K243))&lt;&gt;"",IF($L243&gt;$M243,$F243,IF($L243&lt;$M243,$G243,$N243))&lt;&gt;"",IF($I243&gt;$J243,$F243,IF($I243&lt;$J243,$G243,$K243))=IF($L243&gt;$M243,$F243,IF($L243&lt;$M243,$G243,$N243))),1,0))</x:f>
      </x:c>
      <x:c r="Q243" s="59" t="str">
        <x:f>IF($O243="","",$O243+$P243)</x:f>
      </x:c>
      <x:c r="R243" s="59" t="str">
        <x:f>IF($Q243="","",IF($O243=3,"Cravada",IF(AND($H243="Sim",$L243=$M243,$I243=$J243,$O243=2),"Empate cravado",IF($O243=1,"Resultado certo",IF($O243=-2,"Invertida",IF($P243=1,"Acertou quem passa","Erro"))))))</x:f>
      </x:c>
      <x:c r="S243" s="59" t="str">
        <x:f>IF($O243="","",--(OR($O243=3,AND($H243="Sim",$L243=$M243,$I243=$J243,$O243=2))))</x:f>
      </x:c>
      <x:c r="T243" s="59" t="str">
        <x:f>IF($O243="","",--($O243=-2))</x:f>
      </x:c>
      <x:c r="U243" s="59" t="str">
        <x:f>IF($O243="","",--($O243=1))</x:f>
      </x:c>
      <x:c r="V243" s="59" t="n">
        <x:f>--(AND($I243&lt;&gt;"",$J243&lt;&gt;""))</x:f>
        <x:v>0</x:v>
      </x:c>
    </x:row>
    <x:row r="244">
      <x:c r="A244" s="21" t="str">
        <x:f>INDEX(Config!$B$10:$B$16,INT((ROW()-5)/104)+1)</x:f>
        <x:v>Gabriel</x:v>
      </x:c>
      <x:c r="B244" s="21" t="str">
        <x:v>GF2</x:v>
      </x:c>
      <x:c r="C244" s="21" t="n">
        <x:v>32</x:v>
      </x:c>
      <x:c r="D244" s="21" t="str">
        <x:v>Grupo F</x:v>
      </x:c>
      <x:c r="E244" s="21" t="str">
        <x:v>2026-06-14</x:v>
      </x:c>
      <x:c r="F244" s="21" t="str">
        <x:f>IFERROR(INDEX('Resultados'!$G$5:$G$108,MATCH($B244,'Resultados'!$A$5:$A$108,0)),"")</x:f>
        <x:v>Suécia</x:v>
      </x:c>
      <x:c r="G244" s="21" t="str">
        <x:f>IFERROR(INDEX('Resultados'!$J$5:$J$108,MATCH($B244,'Resultados'!$A$5:$A$108,0)),"")</x:f>
        <x:v>Tunísia</x:v>
      </x:c>
      <x:c r="H244" s="21" t="str">
        <x:v>Não</x:v>
      </x:c>
      <x:c r="I244" s="22"/>
      <x:c r="J244" s="22"/>
      <x:c r="K244" s="23"/>
      <x:c r="L244" s="21" t="str">
        <x:f>IFERROR(INDEX('Resultados'!$H$5:$H$108,MATCH($B244,'Resultados'!$A$5:$A$108,0)),"")</x:f>
      </x:c>
      <x:c r="M244" s="21" t="str">
        <x:f>IFERROR(INDEX('Resultados'!$I$5:$I$108,MATCH($B244,'Resultados'!$A$5:$A$108,0)),"")</x:f>
      </x:c>
      <x:c r="N244" s="21" t="str">
        <x:f>IFERROR(INDEX('Resultados'!$L$5:$L$108,MATCH($B244,'Resultados'!$A$5:$A$108,0)),"")</x:f>
      </x:c>
      <x:c r="O244" s="59" t="str">
        <x:f>IF(OR($I244="",$J244="",$L244="",$M244=""),"",IF(AND($H244="Sim",$L244=$M244),IF($I244&lt;&gt;$J244,0,IF(AND($I244=$L244,$J244=$M244),2,1)),IF(AND($I244=$L244,$J244=$M244),3,IF(AND($I244&lt;&gt;$J244,$I244=$M244,$J244=$L244),-2,IF(SIGN($I244-$J244)=SIGN($L244-$M244),1,0)))))</x:f>
      </x:c>
      <x:c r="P244" s="59" t="str">
        <x:f>IF(OR($H244&lt;&gt;"Sim",$I244="",$J244="",$L244="",$M244=""),"",IF(AND(IF($I244&gt;$J244,$F244,IF($I244&lt;$J244,$G244,$K244))&lt;&gt;"",IF($L244&gt;$M244,$F244,IF($L244&lt;$M244,$G244,$N244))&lt;&gt;"",IF($I244&gt;$J244,$F244,IF($I244&lt;$J244,$G244,$K244))=IF($L244&gt;$M244,$F244,IF($L244&lt;$M244,$G244,$N244))),1,0))</x:f>
      </x:c>
      <x:c r="Q244" s="59" t="str">
        <x:f>IF($O244="","",$O244+$P244)</x:f>
      </x:c>
      <x:c r="R244" s="59" t="str">
        <x:f>IF($Q244="","",IF($O244=3,"Cravada",IF(AND($H244="Sim",$L244=$M244,$I244=$J244,$O244=2),"Empate cravado",IF($O244=1,"Resultado certo",IF($O244=-2,"Invertida",IF($P244=1,"Acertou quem passa","Erro"))))))</x:f>
      </x:c>
      <x:c r="S244" s="59" t="str">
        <x:f>IF($O244="","",--(OR($O244=3,AND($H244="Sim",$L244=$M244,$I244=$J244,$O244=2))))</x:f>
      </x:c>
      <x:c r="T244" s="59" t="str">
        <x:f>IF($O244="","",--($O244=-2))</x:f>
      </x:c>
      <x:c r="U244" s="59" t="str">
        <x:f>IF($O244="","",--($O244=1))</x:f>
      </x:c>
      <x:c r="V244" s="59" t="n">
        <x:f>--(AND($I244&lt;&gt;"",$J244&lt;&gt;""))</x:f>
        <x:v>0</x:v>
      </x:c>
    </x:row>
    <x:row r="245">
      <x:c r="A245" s="21" t="str">
        <x:f>INDEX(Config!$B$10:$B$16,INT((ROW()-5)/104)+1)</x:f>
        <x:v>Gabriel</x:v>
      </x:c>
      <x:c r="B245" s="21" t="str">
        <x:v>GF3</x:v>
      </x:c>
      <x:c r="C245" s="21" t="n">
        <x:v>33</x:v>
      </x:c>
      <x:c r="D245" s="21" t="str">
        <x:v>Grupo F</x:v>
      </x:c>
      <x:c r="E245" s="21" t="str">
        <x:v>2026-06-20</x:v>
      </x:c>
      <x:c r="F245" s="21" t="str">
        <x:f>IFERROR(INDEX('Resultados'!$G$5:$G$108,MATCH($B245,'Resultados'!$A$5:$A$108,0)),"")</x:f>
        <x:v>Holanda</x:v>
      </x:c>
      <x:c r="G245" s="21" t="str">
        <x:f>IFERROR(INDEX('Resultados'!$J$5:$J$108,MATCH($B245,'Resultados'!$A$5:$A$108,0)),"")</x:f>
        <x:v>Suécia</x:v>
      </x:c>
      <x:c r="H245" s="21" t="str">
        <x:v>Não</x:v>
      </x:c>
      <x:c r="I245" s="22"/>
      <x:c r="J245" s="22"/>
      <x:c r="K245" s="23"/>
      <x:c r="L245" s="21" t="str">
        <x:f>IFERROR(INDEX('Resultados'!$H$5:$H$108,MATCH($B245,'Resultados'!$A$5:$A$108,0)),"")</x:f>
      </x:c>
      <x:c r="M245" s="21" t="str">
        <x:f>IFERROR(INDEX('Resultados'!$I$5:$I$108,MATCH($B245,'Resultados'!$A$5:$A$108,0)),"")</x:f>
      </x:c>
      <x:c r="N245" s="21" t="str">
        <x:f>IFERROR(INDEX('Resultados'!$L$5:$L$108,MATCH($B245,'Resultados'!$A$5:$A$108,0)),"")</x:f>
      </x:c>
      <x:c r="O245" s="59" t="str">
        <x:f>IF(OR($I245="",$J245="",$L245="",$M245=""),"",IF(AND($H245="Sim",$L245=$M245),IF($I245&lt;&gt;$J245,0,IF(AND($I245=$L245,$J245=$M245),2,1)),IF(AND($I245=$L245,$J245=$M245),3,IF(AND($I245&lt;&gt;$J245,$I245=$M245,$J245=$L245),-2,IF(SIGN($I245-$J245)=SIGN($L245-$M245),1,0)))))</x:f>
      </x:c>
      <x:c r="P245" s="59" t="str">
        <x:f>IF(OR($H245&lt;&gt;"Sim",$I245="",$J245="",$L245="",$M245=""),"",IF(AND(IF($I245&gt;$J245,$F245,IF($I245&lt;$J245,$G245,$K245))&lt;&gt;"",IF($L245&gt;$M245,$F245,IF($L245&lt;$M245,$G245,$N245))&lt;&gt;"",IF($I245&gt;$J245,$F245,IF($I245&lt;$J245,$G245,$K245))=IF($L245&gt;$M245,$F245,IF($L245&lt;$M245,$G245,$N245))),1,0))</x:f>
      </x:c>
      <x:c r="Q245" s="59" t="str">
        <x:f>IF($O245="","",$O245+$P245)</x:f>
      </x:c>
      <x:c r="R245" s="59" t="str">
        <x:f>IF($Q245="","",IF($O245=3,"Cravada",IF(AND($H245="Sim",$L245=$M245,$I245=$J245,$O245=2),"Empate cravado",IF($O245=1,"Resultado certo",IF($O245=-2,"Invertida",IF($P245=1,"Acertou quem passa","Erro"))))))</x:f>
      </x:c>
      <x:c r="S245" s="59" t="str">
        <x:f>IF($O245="","",--(OR($O245=3,AND($H245="Sim",$L245=$M245,$I245=$J245,$O245=2))))</x:f>
      </x:c>
      <x:c r="T245" s="59" t="str">
        <x:f>IF($O245="","",--($O245=-2))</x:f>
      </x:c>
      <x:c r="U245" s="59" t="str">
        <x:f>IF($O245="","",--($O245=1))</x:f>
      </x:c>
      <x:c r="V245" s="59" t="n">
        <x:f>--(AND($I245&lt;&gt;"",$J245&lt;&gt;""))</x:f>
        <x:v>0</x:v>
      </x:c>
    </x:row>
    <x:row r="246">
      <x:c r="A246" s="21" t="str">
        <x:f>INDEX(Config!$B$10:$B$16,INT((ROW()-5)/104)+1)</x:f>
        <x:v>Gabriel</x:v>
      </x:c>
      <x:c r="B246" s="21" t="str">
        <x:v>GF4</x:v>
      </x:c>
      <x:c r="C246" s="21" t="n">
        <x:v>34</x:v>
      </x:c>
      <x:c r="D246" s="21" t="str">
        <x:v>Grupo F</x:v>
      </x:c>
      <x:c r="E246" s="21" t="str">
        <x:v>2026-06-21</x:v>
      </x:c>
      <x:c r="F246" s="21" t="str">
        <x:f>IFERROR(INDEX('Resultados'!$G$5:$G$108,MATCH($B246,'Resultados'!$A$5:$A$108,0)),"")</x:f>
        <x:v>Japão</x:v>
      </x:c>
      <x:c r="G246" s="21" t="str">
        <x:f>IFERROR(INDEX('Resultados'!$J$5:$J$108,MATCH($B246,'Resultados'!$A$5:$A$108,0)),"")</x:f>
        <x:v>Tunísia</x:v>
      </x:c>
      <x:c r="H246" s="21" t="str">
        <x:v>Não</x:v>
      </x:c>
      <x:c r="I246" s="22"/>
      <x:c r="J246" s="22"/>
      <x:c r="K246" s="23"/>
      <x:c r="L246" s="21" t="str">
        <x:f>IFERROR(INDEX('Resultados'!$H$5:$H$108,MATCH($B246,'Resultados'!$A$5:$A$108,0)),"")</x:f>
      </x:c>
      <x:c r="M246" s="21" t="str">
        <x:f>IFERROR(INDEX('Resultados'!$I$5:$I$108,MATCH($B246,'Resultados'!$A$5:$A$108,0)),"")</x:f>
      </x:c>
      <x:c r="N246" s="21" t="str">
        <x:f>IFERROR(INDEX('Resultados'!$L$5:$L$108,MATCH($B246,'Resultados'!$A$5:$A$108,0)),"")</x:f>
      </x:c>
      <x:c r="O246" s="59" t="str">
        <x:f>IF(OR($I246="",$J246="",$L246="",$M246=""),"",IF(AND($H246="Sim",$L246=$M246),IF($I246&lt;&gt;$J246,0,IF(AND($I246=$L246,$J246=$M246),2,1)),IF(AND($I246=$L246,$J246=$M246),3,IF(AND($I246&lt;&gt;$J246,$I246=$M246,$J246=$L246),-2,IF(SIGN($I246-$J246)=SIGN($L246-$M246),1,0)))))</x:f>
      </x:c>
      <x:c r="P246" s="59" t="str">
        <x:f>IF(OR($H246&lt;&gt;"Sim",$I246="",$J246="",$L246="",$M246=""),"",IF(AND(IF($I246&gt;$J246,$F246,IF($I246&lt;$J246,$G246,$K246))&lt;&gt;"",IF($L246&gt;$M246,$F246,IF($L246&lt;$M246,$G246,$N246))&lt;&gt;"",IF($I246&gt;$J246,$F246,IF($I246&lt;$J246,$G246,$K246))=IF($L246&gt;$M246,$F246,IF($L246&lt;$M246,$G246,$N246))),1,0))</x:f>
      </x:c>
      <x:c r="Q246" s="59" t="str">
        <x:f>IF($O246="","",$O246+$P246)</x:f>
      </x:c>
      <x:c r="R246" s="59" t="str">
        <x:f>IF($Q246="","",IF($O246=3,"Cravada",IF(AND($H246="Sim",$L246=$M246,$I246=$J246,$O246=2),"Empate cravado",IF($O246=1,"Resultado certo",IF($O246=-2,"Invertida",IF($P246=1,"Acertou quem passa","Erro"))))))</x:f>
      </x:c>
      <x:c r="S246" s="59" t="str">
        <x:f>IF($O246="","",--(OR($O246=3,AND($H246="Sim",$L246=$M246,$I246=$J246,$O246=2))))</x:f>
      </x:c>
      <x:c r="T246" s="59" t="str">
        <x:f>IF($O246="","",--($O246=-2))</x:f>
      </x:c>
      <x:c r="U246" s="59" t="str">
        <x:f>IF($O246="","",--($O246=1))</x:f>
      </x:c>
      <x:c r="V246" s="59" t="n">
        <x:f>--(AND($I246&lt;&gt;"",$J246&lt;&gt;""))</x:f>
        <x:v>0</x:v>
      </x:c>
    </x:row>
    <x:row r="247">
      <x:c r="A247" s="21" t="str">
        <x:f>INDEX(Config!$B$10:$B$16,INT((ROW()-5)/104)+1)</x:f>
        <x:v>Gabriel</x:v>
      </x:c>
      <x:c r="B247" s="21" t="str">
        <x:v>GF5</x:v>
      </x:c>
      <x:c r="C247" s="21" t="n">
        <x:v>35</x:v>
      </x:c>
      <x:c r="D247" s="21" t="str">
        <x:v>Grupo F</x:v>
      </x:c>
      <x:c r="E247" s="21" t="str">
        <x:v>2026-06-25</x:v>
      </x:c>
      <x:c r="F247" s="21" t="str">
        <x:f>IFERROR(INDEX('Resultados'!$G$5:$G$108,MATCH($B247,'Resultados'!$A$5:$A$108,0)),"")</x:f>
        <x:v>Holanda</x:v>
      </x:c>
      <x:c r="G247" s="21" t="str">
        <x:f>IFERROR(INDEX('Resultados'!$J$5:$J$108,MATCH($B247,'Resultados'!$A$5:$A$108,0)),"")</x:f>
        <x:v>Tunísia</x:v>
      </x:c>
      <x:c r="H247" s="21" t="str">
        <x:v>Não</x:v>
      </x:c>
      <x:c r="I247" s="22"/>
      <x:c r="J247" s="22"/>
      <x:c r="K247" s="23"/>
      <x:c r="L247" s="21" t="str">
        <x:f>IFERROR(INDEX('Resultados'!$H$5:$H$108,MATCH($B247,'Resultados'!$A$5:$A$108,0)),"")</x:f>
      </x:c>
      <x:c r="M247" s="21" t="str">
        <x:f>IFERROR(INDEX('Resultados'!$I$5:$I$108,MATCH($B247,'Resultados'!$A$5:$A$108,0)),"")</x:f>
      </x:c>
      <x:c r="N247" s="21" t="str">
        <x:f>IFERROR(INDEX('Resultados'!$L$5:$L$108,MATCH($B247,'Resultados'!$A$5:$A$108,0)),"")</x:f>
      </x:c>
      <x:c r="O247" s="59" t="str">
        <x:f>IF(OR($I247="",$J247="",$L247="",$M247=""),"",IF(AND($H247="Sim",$L247=$M247),IF($I247&lt;&gt;$J247,0,IF(AND($I247=$L247,$J247=$M247),2,1)),IF(AND($I247=$L247,$J247=$M247),3,IF(AND($I247&lt;&gt;$J247,$I247=$M247,$J247=$L247),-2,IF(SIGN($I247-$J247)=SIGN($L247-$M247),1,0)))))</x:f>
      </x:c>
      <x:c r="P247" s="59" t="str">
        <x:f>IF(OR($H247&lt;&gt;"Sim",$I247="",$J247="",$L247="",$M247=""),"",IF(AND(IF($I247&gt;$J247,$F247,IF($I247&lt;$J247,$G247,$K247))&lt;&gt;"",IF($L247&gt;$M247,$F247,IF($L247&lt;$M247,$G247,$N247))&lt;&gt;"",IF($I247&gt;$J247,$F247,IF($I247&lt;$J247,$G247,$K247))=IF($L247&gt;$M247,$F247,IF($L247&lt;$M247,$G247,$N247))),1,0))</x:f>
      </x:c>
      <x:c r="Q247" s="59" t="str">
        <x:f>IF($O247="","",$O247+$P247)</x:f>
      </x:c>
      <x:c r="R247" s="59" t="str">
        <x:f>IF($Q247="","",IF($O247=3,"Cravada",IF(AND($H247="Sim",$L247=$M247,$I247=$J247,$O247=2),"Empate cravado",IF($O247=1,"Resultado certo",IF($O247=-2,"Invertida",IF($P247=1,"Acertou quem passa","Erro"))))))</x:f>
      </x:c>
      <x:c r="S247" s="59" t="str">
        <x:f>IF($O247="","",--(OR($O247=3,AND($H247="Sim",$L247=$M247,$I247=$J247,$O247=2))))</x:f>
      </x:c>
      <x:c r="T247" s="59" t="str">
        <x:f>IF($O247="","",--($O247=-2))</x:f>
      </x:c>
      <x:c r="U247" s="59" t="str">
        <x:f>IF($O247="","",--($O247=1))</x:f>
      </x:c>
      <x:c r="V247" s="59" t="n">
        <x:f>--(AND($I247&lt;&gt;"",$J247&lt;&gt;""))</x:f>
        <x:v>0</x:v>
      </x:c>
    </x:row>
    <x:row r="248">
      <x:c r="A248" s="21" t="str">
        <x:f>INDEX(Config!$B$10:$B$16,INT((ROW()-5)/104)+1)</x:f>
        <x:v>Gabriel</x:v>
      </x:c>
      <x:c r="B248" s="21" t="str">
        <x:v>GF6</x:v>
      </x:c>
      <x:c r="C248" s="21" t="n">
        <x:v>36</x:v>
      </x:c>
      <x:c r="D248" s="21" t="str">
        <x:v>Grupo F</x:v>
      </x:c>
      <x:c r="E248" s="21" t="str">
        <x:v>2026-06-25</x:v>
      </x:c>
      <x:c r="F248" s="21" t="str">
        <x:f>IFERROR(INDEX('Resultados'!$G$5:$G$108,MATCH($B248,'Resultados'!$A$5:$A$108,0)),"")</x:f>
        <x:v>Japão</x:v>
      </x:c>
      <x:c r="G248" s="21" t="str">
        <x:f>IFERROR(INDEX('Resultados'!$J$5:$J$108,MATCH($B248,'Resultados'!$A$5:$A$108,0)),"")</x:f>
        <x:v>Suécia</x:v>
      </x:c>
      <x:c r="H248" s="21" t="str">
        <x:v>Não</x:v>
      </x:c>
      <x:c r="I248" s="22"/>
      <x:c r="J248" s="22"/>
      <x:c r="K248" s="23"/>
      <x:c r="L248" s="21" t="str">
        <x:f>IFERROR(INDEX('Resultados'!$H$5:$H$108,MATCH($B248,'Resultados'!$A$5:$A$108,0)),"")</x:f>
      </x:c>
      <x:c r="M248" s="21" t="str">
        <x:f>IFERROR(INDEX('Resultados'!$I$5:$I$108,MATCH($B248,'Resultados'!$A$5:$A$108,0)),"")</x:f>
      </x:c>
      <x:c r="N248" s="21" t="str">
        <x:f>IFERROR(INDEX('Resultados'!$L$5:$L$108,MATCH($B248,'Resultados'!$A$5:$A$108,0)),"")</x:f>
      </x:c>
      <x:c r="O248" s="59" t="str">
        <x:f>IF(OR($I248="",$J248="",$L248="",$M248=""),"",IF(AND($H248="Sim",$L248=$M248),IF($I248&lt;&gt;$J248,0,IF(AND($I248=$L248,$J248=$M248),2,1)),IF(AND($I248=$L248,$J248=$M248),3,IF(AND($I248&lt;&gt;$J248,$I248=$M248,$J248=$L248),-2,IF(SIGN($I248-$J248)=SIGN($L248-$M248),1,0)))))</x:f>
      </x:c>
      <x:c r="P248" s="59" t="str">
        <x:f>IF(OR($H248&lt;&gt;"Sim",$I248="",$J248="",$L248="",$M248=""),"",IF(AND(IF($I248&gt;$J248,$F248,IF($I248&lt;$J248,$G248,$K248))&lt;&gt;"",IF($L248&gt;$M248,$F248,IF($L248&lt;$M248,$G248,$N248))&lt;&gt;"",IF($I248&gt;$J248,$F248,IF($I248&lt;$J248,$G248,$K248))=IF($L248&gt;$M248,$F248,IF($L248&lt;$M248,$G248,$N248))),1,0))</x:f>
      </x:c>
      <x:c r="Q248" s="59" t="str">
        <x:f>IF($O248="","",$O248+$P248)</x:f>
      </x:c>
      <x:c r="R248" s="59" t="str">
        <x:f>IF($Q248="","",IF($O248=3,"Cravada",IF(AND($H248="Sim",$L248=$M248,$I248=$J248,$O248=2),"Empate cravado",IF($O248=1,"Resultado certo",IF($O248=-2,"Invertida",IF($P248=1,"Acertou quem passa","Erro"))))))</x:f>
      </x:c>
      <x:c r="S248" s="59" t="str">
        <x:f>IF($O248="","",--(OR($O248=3,AND($H248="Sim",$L248=$M248,$I248=$J248,$O248=2))))</x:f>
      </x:c>
      <x:c r="T248" s="59" t="str">
        <x:f>IF($O248="","",--($O248=-2))</x:f>
      </x:c>
      <x:c r="U248" s="59" t="str">
        <x:f>IF($O248="","",--($O248=1))</x:f>
      </x:c>
      <x:c r="V248" s="59" t="n">
        <x:f>--(AND($I248&lt;&gt;"",$J248&lt;&gt;""))</x:f>
        <x:v>0</x:v>
      </x:c>
    </x:row>
    <x:row r="249">
      <x:c r="A249" s="21" t="str">
        <x:f>INDEX(Config!$B$10:$B$16,INT((ROW()-5)/104)+1)</x:f>
        <x:v>Gabriel</x:v>
      </x:c>
      <x:c r="B249" s="21" t="str">
        <x:v>GG1</x:v>
      </x:c>
      <x:c r="C249" s="21" t="n">
        <x:v>37</x:v>
      </x:c>
      <x:c r="D249" s="21" t="str">
        <x:v>Grupo G</x:v>
      </x:c>
      <x:c r="E249" s="21" t="str">
        <x:v>2026-06-15</x:v>
      </x:c>
      <x:c r="F249" s="21" t="str">
        <x:f>IFERROR(INDEX('Resultados'!$G$5:$G$108,MATCH($B249,'Resultados'!$A$5:$A$108,0)),"")</x:f>
        <x:v>Bélgica</x:v>
      </x:c>
      <x:c r="G249" s="21" t="str">
        <x:f>IFERROR(INDEX('Resultados'!$J$5:$J$108,MATCH($B249,'Resultados'!$A$5:$A$108,0)),"")</x:f>
        <x:v>Egito</x:v>
      </x:c>
      <x:c r="H249" s="21" t="str">
        <x:v>Não</x:v>
      </x:c>
      <x:c r="I249" s="22"/>
      <x:c r="J249" s="22"/>
      <x:c r="K249" s="23"/>
      <x:c r="L249" s="21" t="str">
        <x:f>IFERROR(INDEX('Resultados'!$H$5:$H$108,MATCH($B249,'Resultados'!$A$5:$A$108,0)),"")</x:f>
      </x:c>
      <x:c r="M249" s="21" t="str">
        <x:f>IFERROR(INDEX('Resultados'!$I$5:$I$108,MATCH($B249,'Resultados'!$A$5:$A$108,0)),"")</x:f>
      </x:c>
      <x:c r="N249" s="21" t="str">
        <x:f>IFERROR(INDEX('Resultados'!$L$5:$L$108,MATCH($B249,'Resultados'!$A$5:$A$108,0)),"")</x:f>
      </x:c>
      <x:c r="O249" s="59" t="str">
        <x:f>IF(OR($I249="",$J249="",$L249="",$M249=""),"",IF(AND($H249="Sim",$L249=$M249),IF($I249&lt;&gt;$J249,0,IF(AND($I249=$L249,$J249=$M249),2,1)),IF(AND($I249=$L249,$J249=$M249),3,IF(AND($I249&lt;&gt;$J249,$I249=$M249,$J249=$L249),-2,IF(SIGN($I249-$J249)=SIGN($L249-$M249),1,0)))))</x:f>
      </x:c>
      <x:c r="P249" s="59" t="str">
        <x:f>IF(OR($H249&lt;&gt;"Sim",$I249="",$J249="",$L249="",$M249=""),"",IF(AND(IF($I249&gt;$J249,$F249,IF($I249&lt;$J249,$G249,$K249))&lt;&gt;"",IF($L249&gt;$M249,$F249,IF($L249&lt;$M249,$G249,$N249))&lt;&gt;"",IF($I249&gt;$J249,$F249,IF($I249&lt;$J249,$G249,$K249))=IF($L249&gt;$M249,$F249,IF($L249&lt;$M249,$G249,$N249))),1,0))</x:f>
      </x:c>
      <x:c r="Q249" s="59" t="str">
        <x:f>IF($O249="","",$O249+$P249)</x:f>
      </x:c>
      <x:c r="R249" s="59" t="str">
        <x:f>IF($Q249="","",IF($O249=3,"Cravada",IF(AND($H249="Sim",$L249=$M249,$I249=$J249,$O249=2),"Empate cravado",IF($O249=1,"Resultado certo",IF($O249=-2,"Invertida",IF($P249=1,"Acertou quem passa","Erro"))))))</x:f>
      </x:c>
      <x:c r="S249" s="59" t="str">
        <x:f>IF($O249="","",--(OR($O249=3,AND($H249="Sim",$L249=$M249,$I249=$J249,$O249=2))))</x:f>
      </x:c>
      <x:c r="T249" s="59" t="str">
        <x:f>IF($O249="","",--($O249=-2))</x:f>
      </x:c>
      <x:c r="U249" s="59" t="str">
        <x:f>IF($O249="","",--($O249=1))</x:f>
      </x:c>
      <x:c r="V249" s="59" t="n">
        <x:f>--(AND($I249&lt;&gt;"",$J249&lt;&gt;""))</x:f>
        <x:v>0</x:v>
      </x:c>
    </x:row>
    <x:row r="250">
      <x:c r="A250" s="21" t="str">
        <x:f>INDEX(Config!$B$10:$B$16,INT((ROW()-5)/104)+1)</x:f>
        <x:v>Gabriel</x:v>
      </x:c>
      <x:c r="B250" s="21" t="str">
        <x:v>GG2</x:v>
      </x:c>
      <x:c r="C250" s="21" t="n">
        <x:v>38</x:v>
      </x:c>
      <x:c r="D250" s="21" t="str">
        <x:v>Grupo G</x:v>
      </x:c>
      <x:c r="E250" s="21" t="str">
        <x:v>2026-06-15</x:v>
      </x:c>
      <x:c r="F250" s="21" t="str">
        <x:f>IFERROR(INDEX('Resultados'!$G$5:$G$108,MATCH($B250,'Resultados'!$A$5:$A$108,0)),"")</x:f>
        <x:v>Irã</x:v>
      </x:c>
      <x:c r="G250" s="21" t="str">
        <x:f>IFERROR(INDEX('Resultados'!$J$5:$J$108,MATCH($B250,'Resultados'!$A$5:$A$108,0)),"")</x:f>
        <x:v>Nova Zelândia</x:v>
      </x:c>
      <x:c r="H250" s="21" t="str">
        <x:v>Não</x:v>
      </x:c>
      <x:c r="I250" s="22"/>
      <x:c r="J250" s="22"/>
      <x:c r="K250" s="23"/>
      <x:c r="L250" s="21" t="str">
        <x:f>IFERROR(INDEX('Resultados'!$H$5:$H$108,MATCH($B250,'Resultados'!$A$5:$A$108,0)),"")</x:f>
      </x:c>
      <x:c r="M250" s="21" t="str">
        <x:f>IFERROR(INDEX('Resultados'!$I$5:$I$108,MATCH($B250,'Resultados'!$A$5:$A$108,0)),"")</x:f>
      </x:c>
      <x:c r="N250" s="21" t="str">
        <x:f>IFERROR(INDEX('Resultados'!$L$5:$L$108,MATCH($B250,'Resultados'!$A$5:$A$108,0)),"")</x:f>
      </x:c>
      <x:c r="O250" s="59" t="str">
        <x:f>IF(OR($I250="",$J250="",$L250="",$M250=""),"",IF(AND($H250="Sim",$L250=$M250),IF($I250&lt;&gt;$J250,0,IF(AND($I250=$L250,$J250=$M250),2,1)),IF(AND($I250=$L250,$J250=$M250),3,IF(AND($I250&lt;&gt;$J250,$I250=$M250,$J250=$L250),-2,IF(SIGN($I250-$J250)=SIGN($L250-$M250),1,0)))))</x:f>
      </x:c>
      <x:c r="P250" s="59" t="str">
        <x:f>IF(OR($H250&lt;&gt;"Sim",$I250="",$J250="",$L250="",$M250=""),"",IF(AND(IF($I250&gt;$J250,$F250,IF($I250&lt;$J250,$G250,$K250))&lt;&gt;"",IF($L250&gt;$M250,$F250,IF($L250&lt;$M250,$G250,$N250))&lt;&gt;"",IF($I250&gt;$J250,$F250,IF($I250&lt;$J250,$G250,$K250))=IF($L250&gt;$M250,$F250,IF($L250&lt;$M250,$G250,$N250))),1,0))</x:f>
      </x:c>
      <x:c r="Q250" s="59" t="str">
        <x:f>IF($O250="","",$O250+$P250)</x:f>
      </x:c>
      <x:c r="R250" s="59" t="str">
        <x:f>IF($Q250="","",IF($O250=3,"Cravada",IF(AND($H250="Sim",$L250=$M250,$I250=$J250,$O250=2),"Empate cravado",IF($O250=1,"Resultado certo",IF($O250=-2,"Invertida",IF($P250=1,"Acertou quem passa","Erro"))))))</x:f>
      </x:c>
      <x:c r="S250" s="59" t="str">
        <x:f>IF($O250="","",--(OR($O250=3,AND($H250="Sim",$L250=$M250,$I250=$J250,$O250=2))))</x:f>
      </x:c>
      <x:c r="T250" s="59" t="str">
        <x:f>IF($O250="","",--($O250=-2))</x:f>
      </x:c>
      <x:c r="U250" s="59" t="str">
        <x:f>IF($O250="","",--($O250=1))</x:f>
      </x:c>
      <x:c r="V250" s="59" t="n">
        <x:f>--(AND($I250&lt;&gt;"",$J250&lt;&gt;""))</x:f>
        <x:v>0</x:v>
      </x:c>
    </x:row>
    <x:row r="251">
      <x:c r="A251" s="21" t="str">
        <x:f>INDEX(Config!$B$10:$B$16,INT((ROW()-5)/104)+1)</x:f>
        <x:v>Gabriel</x:v>
      </x:c>
      <x:c r="B251" s="21" t="str">
        <x:v>GG3</x:v>
      </x:c>
      <x:c r="C251" s="21" t="n">
        <x:v>39</x:v>
      </x:c>
      <x:c r="D251" s="21" t="str">
        <x:v>Grupo G</x:v>
      </x:c>
      <x:c r="E251" s="21" t="str">
        <x:v>2026-06-21</x:v>
      </x:c>
      <x:c r="F251" s="21" t="str">
        <x:f>IFERROR(INDEX('Resultados'!$G$5:$G$108,MATCH($B251,'Resultados'!$A$5:$A$108,0)),"")</x:f>
        <x:v>Bélgica</x:v>
      </x:c>
      <x:c r="G251" s="21" t="str">
        <x:f>IFERROR(INDEX('Resultados'!$J$5:$J$108,MATCH($B251,'Resultados'!$A$5:$A$108,0)),"")</x:f>
        <x:v>Irã</x:v>
      </x:c>
      <x:c r="H251" s="21" t="str">
        <x:v>Não</x:v>
      </x:c>
      <x:c r="I251" s="22"/>
      <x:c r="J251" s="22"/>
      <x:c r="K251" s="23"/>
      <x:c r="L251" s="21" t="str">
        <x:f>IFERROR(INDEX('Resultados'!$H$5:$H$108,MATCH($B251,'Resultados'!$A$5:$A$108,0)),"")</x:f>
      </x:c>
      <x:c r="M251" s="21" t="str">
        <x:f>IFERROR(INDEX('Resultados'!$I$5:$I$108,MATCH($B251,'Resultados'!$A$5:$A$108,0)),"")</x:f>
      </x:c>
      <x:c r="N251" s="21" t="str">
        <x:f>IFERROR(INDEX('Resultados'!$L$5:$L$108,MATCH($B251,'Resultados'!$A$5:$A$108,0)),"")</x:f>
      </x:c>
      <x:c r="O251" s="59" t="str">
        <x:f>IF(OR($I251="",$J251="",$L251="",$M251=""),"",IF(AND($H251="Sim",$L251=$M251),IF($I251&lt;&gt;$J251,0,IF(AND($I251=$L251,$J251=$M251),2,1)),IF(AND($I251=$L251,$J251=$M251),3,IF(AND($I251&lt;&gt;$J251,$I251=$M251,$J251=$L251),-2,IF(SIGN($I251-$J251)=SIGN($L251-$M251),1,0)))))</x:f>
      </x:c>
      <x:c r="P251" s="59" t="str">
        <x:f>IF(OR($H251&lt;&gt;"Sim",$I251="",$J251="",$L251="",$M251=""),"",IF(AND(IF($I251&gt;$J251,$F251,IF($I251&lt;$J251,$G251,$K251))&lt;&gt;"",IF($L251&gt;$M251,$F251,IF($L251&lt;$M251,$G251,$N251))&lt;&gt;"",IF($I251&gt;$J251,$F251,IF($I251&lt;$J251,$G251,$K251))=IF($L251&gt;$M251,$F251,IF($L251&lt;$M251,$G251,$N251))),1,0))</x:f>
      </x:c>
      <x:c r="Q251" s="59" t="str">
        <x:f>IF($O251="","",$O251+$P251)</x:f>
      </x:c>
      <x:c r="R251" s="59" t="str">
        <x:f>IF($Q251="","",IF($O251=3,"Cravada",IF(AND($H251="Sim",$L251=$M251,$I251=$J251,$O251=2),"Empate cravado",IF($O251=1,"Resultado certo",IF($O251=-2,"Invertida",IF($P251=1,"Acertou quem passa","Erro"))))))</x:f>
      </x:c>
      <x:c r="S251" s="59" t="str">
        <x:f>IF($O251="","",--(OR($O251=3,AND($H251="Sim",$L251=$M251,$I251=$J251,$O251=2))))</x:f>
      </x:c>
      <x:c r="T251" s="59" t="str">
        <x:f>IF($O251="","",--($O251=-2))</x:f>
      </x:c>
      <x:c r="U251" s="59" t="str">
        <x:f>IF($O251="","",--($O251=1))</x:f>
      </x:c>
      <x:c r="V251" s="59" t="n">
        <x:f>--(AND($I251&lt;&gt;"",$J251&lt;&gt;""))</x:f>
        <x:v>0</x:v>
      </x:c>
    </x:row>
    <x:row r="252">
      <x:c r="A252" s="21" t="str">
        <x:f>INDEX(Config!$B$10:$B$16,INT((ROW()-5)/104)+1)</x:f>
        <x:v>Gabriel</x:v>
      </x:c>
      <x:c r="B252" s="21" t="str">
        <x:v>GG4</x:v>
      </x:c>
      <x:c r="C252" s="21" t="n">
        <x:v>40</x:v>
      </x:c>
      <x:c r="D252" s="21" t="str">
        <x:v>Grupo G</x:v>
      </x:c>
      <x:c r="E252" s="21" t="str">
        <x:v>2026-06-21</x:v>
      </x:c>
      <x:c r="F252" s="21" t="str">
        <x:f>IFERROR(INDEX('Resultados'!$G$5:$G$108,MATCH($B252,'Resultados'!$A$5:$A$108,0)),"")</x:f>
        <x:v>Egito</x:v>
      </x:c>
      <x:c r="G252" s="21" t="str">
        <x:f>IFERROR(INDEX('Resultados'!$J$5:$J$108,MATCH($B252,'Resultados'!$A$5:$A$108,0)),"")</x:f>
        <x:v>Nova Zelândia</x:v>
      </x:c>
      <x:c r="H252" s="21" t="str">
        <x:v>Não</x:v>
      </x:c>
      <x:c r="I252" s="22"/>
      <x:c r="J252" s="22"/>
      <x:c r="K252" s="23"/>
      <x:c r="L252" s="21" t="str">
        <x:f>IFERROR(INDEX('Resultados'!$H$5:$H$108,MATCH($B252,'Resultados'!$A$5:$A$108,0)),"")</x:f>
      </x:c>
      <x:c r="M252" s="21" t="str">
        <x:f>IFERROR(INDEX('Resultados'!$I$5:$I$108,MATCH($B252,'Resultados'!$A$5:$A$108,0)),"")</x:f>
      </x:c>
      <x:c r="N252" s="21" t="str">
        <x:f>IFERROR(INDEX('Resultados'!$L$5:$L$108,MATCH($B252,'Resultados'!$A$5:$A$108,0)),"")</x:f>
      </x:c>
      <x:c r="O252" s="59" t="str">
        <x:f>IF(OR($I252="",$J252="",$L252="",$M252=""),"",IF(AND($H252="Sim",$L252=$M252),IF($I252&lt;&gt;$J252,0,IF(AND($I252=$L252,$J252=$M252),2,1)),IF(AND($I252=$L252,$J252=$M252),3,IF(AND($I252&lt;&gt;$J252,$I252=$M252,$J252=$L252),-2,IF(SIGN($I252-$J252)=SIGN($L252-$M252),1,0)))))</x:f>
      </x:c>
      <x:c r="P252" s="59" t="str">
        <x:f>IF(OR($H252&lt;&gt;"Sim",$I252="",$J252="",$L252="",$M252=""),"",IF(AND(IF($I252&gt;$J252,$F252,IF($I252&lt;$J252,$G252,$K252))&lt;&gt;"",IF($L252&gt;$M252,$F252,IF($L252&lt;$M252,$G252,$N252))&lt;&gt;"",IF($I252&gt;$J252,$F252,IF($I252&lt;$J252,$G252,$K252))=IF($L252&gt;$M252,$F252,IF($L252&lt;$M252,$G252,$N252))),1,0))</x:f>
      </x:c>
      <x:c r="Q252" s="59" t="str">
        <x:f>IF($O252="","",$O252+$P252)</x:f>
      </x:c>
      <x:c r="R252" s="59" t="str">
        <x:f>IF($Q252="","",IF($O252=3,"Cravada",IF(AND($H252="Sim",$L252=$M252,$I252=$J252,$O252=2),"Empate cravado",IF($O252=1,"Resultado certo",IF($O252=-2,"Invertida",IF($P252=1,"Acertou quem passa","Erro"))))))</x:f>
      </x:c>
      <x:c r="S252" s="59" t="str">
        <x:f>IF($O252="","",--(OR($O252=3,AND($H252="Sim",$L252=$M252,$I252=$J252,$O252=2))))</x:f>
      </x:c>
      <x:c r="T252" s="59" t="str">
        <x:f>IF($O252="","",--($O252=-2))</x:f>
      </x:c>
      <x:c r="U252" s="59" t="str">
        <x:f>IF($O252="","",--($O252=1))</x:f>
      </x:c>
      <x:c r="V252" s="59" t="n">
        <x:f>--(AND($I252&lt;&gt;"",$J252&lt;&gt;""))</x:f>
        <x:v>0</x:v>
      </x:c>
    </x:row>
    <x:row r="253">
      <x:c r="A253" s="21" t="str">
        <x:f>INDEX(Config!$B$10:$B$16,INT((ROW()-5)/104)+1)</x:f>
        <x:v>Gabriel</x:v>
      </x:c>
      <x:c r="B253" s="21" t="str">
        <x:v>GG5</x:v>
      </x:c>
      <x:c r="C253" s="21" t="n">
        <x:v>41</x:v>
      </x:c>
      <x:c r="D253" s="21" t="str">
        <x:v>Grupo G</x:v>
      </x:c>
      <x:c r="E253" s="21" t="str">
        <x:v>2026-06-27</x:v>
      </x:c>
      <x:c r="F253" s="21" t="str">
        <x:f>IFERROR(INDEX('Resultados'!$G$5:$G$108,MATCH($B253,'Resultados'!$A$5:$A$108,0)),"")</x:f>
        <x:v>Bélgica</x:v>
      </x:c>
      <x:c r="G253" s="21" t="str">
        <x:f>IFERROR(INDEX('Resultados'!$J$5:$J$108,MATCH($B253,'Resultados'!$A$5:$A$108,0)),"")</x:f>
        <x:v>Nova Zelândia</x:v>
      </x:c>
      <x:c r="H253" s="21" t="str">
        <x:v>Não</x:v>
      </x:c>
      <x:c r="I253" s="22"/>
      <x:c r="J253" s="22"/>
      <x:c r="K253" s="23"/>
      <x:c r="L253" s="21" t="str">
        <x:f>IFERROR(INDEX('Resultados'!$H$5:$H$108,MATCH($B253,'Resultados'!$A$5:$A$108,0)),"")</x:f>
      </x:c>
      <x:c r="M253" s="21" t="str">
        <x:f>IFERROR(INDEX('Resultados'!$I$5:$I$108,MATCH($B253,'Resultados'!$A$5:$A$108,0)),"")</x:f>
      </x:c>
      <x:c r="N253" s="21" t="str">
        <x:f>IFERROR(INDEX('Resultados'!$L$5:$L$108,MATCH($B253,'Resultados'!$A$5:$A$108,0)),"")</x:f>
      </x:c>
      <x:c r="O253" s="59" t="str">
        <x:f>IF(OR($I253="",$J253="",$L253="",$M253=""),"",IF(AND($H253="Sim",$L253=$M253),IF($I253&lt;&gt;$J253,0,IF(AND($I253=$L253,$J253=$M253),2,1)),IF(AND($I253=$L253,$J253=$M253),3,IF(AND($I253&lt;&gt;$J253,$I253=$M253,$J253=$L253),-2,IF(SIGN($I253-$J253)=SIGN($L253-$M253),1,0)))))</x:f>
      </x:c>
      <x:c r="P253" s="59" t="str">
        <x:f>IF(OR($H253&lt;&gt;"Sim",$I253="",$J253="",$L253="",$M253=""),"",IF(AND(IF($I253&gt;$J253,$F253,IF($I253&lt;$J253,$G253,$K253))&lt;&gt;"",IF($L253&gt;$M253,$F253,IF($L253&lt;$M253,$G253,$N253))&lt;&gt;"",IF($I253&gt;$J253,$F253,IF($I253&lt;$J253,$G253,$K253))=IF($L253&gt;$M253,$F253,IF($L253&lt;$M253,$G253,$N253))),1,0))</x:f>
      </x:c>
      <x:c r="Q253" s="59" t="str">
        <x:f>IF($O253="","",$O253+$P253)</x:f>
      </x:c>
      <x:c r="R253" s="59" t="str">
        <x:f>IF($Q253="","",IF($O253=3,"Cravada",IF(AND($H253="Sim",$L253=$M253,$I253=$J253,$O253=2),"Empate cravado",IF($O253=1,"Resultado certo",IF($O253=-2,"Invertida",IF($P253=1,"Acertou quem passa","Erro"))))))</x:f>
      </x:c>
      <x:c r="S253" s="59" t="str">
        <x:f>IF($O253="","",--(OR($O253=3,AND($H253="Sim",$L253=$M253,$I253=$J253,$O253=2))))</x:f>
      </x:c>
      <x:c r="T253" s="59" t="str">
        <x:f>IF($O253="","",--($O253=-2))</x:f>
      </x:c>
      <x:c r="U253" s="59" t="str">
        <x:f>IF($O253="","",--($O253=1))</x:f>
      </x:c>
      <x:c r="V253" s="59" t="n">
        <x:f>--(AND($I253&lt;&gt;"",$J253&lt;&gt;""))</x:f>
        <x:v>0</x:v>
      </x:c>
    </x:row>
    <x:row r="254">
      <x:c r="A254" s="21" t="str">
        <x:f>INDEX(Config!$B$10:$B$16,INT((ROW()-5)/104)+1)</x:f>
        <x:v>Gabriel</x:v>
      </x:c>
      <x:c r="B254" s="21" t="str">
        <x:v>GG6</x:v>
      </x:c>
      <x:c r="C254" s="21" t="n">
        <x:v>42</x:v>
      </x:c>
      <x:c r="D254" s="21" t="str">
        <x:v>Grupo G</x:v>
      </x:c>
      <x:c r="E254" s="21" t="str">
        <x:v>2026-06-27</x:v>
      </x:c>
      <x:c r="F254" s="21" t="str">
        <x:f>IFERROR(INDEX('Resultados'!$G$5:$G$108,MATCH($B254,'Resultados'!$A$5:$A$108,0)),"")</x:f>
        <x:v>Egito</x:v>
      </x:c>
      <x:c r="G254" s="21" t="str">
        <x:f>IFERROR(INDEX('Resultados'!$J$5:$J$108,MATCH($B254,'Resultados'!$A$5:$A$108,0)),"")</x:f>
        <x:v>Irã</x:v>
      </x:c>
      <x:c r="H254" s="21" t="str">
        <x:v>Não</x:v>
      </x:c>
      <x:c r="I254" s="22"/>
      <x:c r="J254" s="22"/>
      <x:c r="K254" s="23"/>
      <x:c r="L254" s="21" t="str">
        <x:f>IFERROR(INDEX('Resultados'!$H$5:$H$108,MATCH($B254,'Resultados'!$A$5:$A$108,0)),"")</x:f>
      </x:c>
      <x:c r="M254" s="21" t="str">
        <x:f>IFERROR(INDEX('Resultados'!$I$5:$I$108,MATCH($B254,'Resultados'!$A$5:$A$108,0)),"")</x:f>
      </x:c>
      <x:c r="N254" s="21" t="str">
        <x:f>IFERROR(INDEX('Resultados'!$L$5:$L$108,MATCH($B254,'Resultados'!$A$5:$A$108,0)),"")</x:f>
      </x:c>
      <x:c r="O254" s="59" t="str">
        <x:f>IF(OR($I254="",$J254="",$L254="",$M254=""),"",IF(AND($H254="Sim",$L254=$M254),IF($I254&lt;&gt;$J254,0,IF(AND($I254=$L254,$J254=$M254),2,1)),IF(AND($I254=$L254,$J254=$M254),3,IF(AND($I254&lt;&gt;$J254,$I254=$M254,$J254=$L254),-2,IF(SIGN($I254-$J254)=SIGN($L254-$M254),1,0)))))</x:f>
      </x:c>
      <x:c r="P254" s="59" t="str">
        <x:f>IF(OR($H254&lt;&gt;"Sim",$I254="",$J254="",$L254="",$M254=""),"",IF(AND(IF($I254&gt;$J254,$F254,IF($I254&lt;$J254,$G254,$K254))&lt;&gt;"",IF($L254&gt;$M254,$F254,IF($L254&lt;$M254,$G254,$N254))&lt;&gt;"",IF($I254&gt;$J254,$F254,IF($I254&lt;$J254,$G254,$K254))=IF($L254&gt;$M254,$F254,IF($L254&lt;$M254,$G254,$N254))),1,0))</x:f>
      </x:c>
      <x:c r="Q254" s="59" t="str">
        <x:f>IF($O254="","",$O254+$P254)</x:f>
      </x:c>
      <x:c r="R254" s="59" t="str">
        <x:f>IF($Q254="","",IF($O254=3,"Cravada",IF(AND($H254="Sim",$L254=$M254,$I254=$J254,$O254=2),"Empate cravado",IF($O254=1,"Resultado certo",IF($O254=-2,"Invertida",IF($P254=1,"Acertou quem passa","Erro"))))))</x:f>
      </x:c>
      <x:c r="S254" s="59" t="str">
        <x:f>IF($O254="","",--(OR($O254=3,AND($H254="Sim",$L254=$M254,$I254=$J254,$O254=2))))</x:f>
      </x:c>
      <x:c r="T254" s="59" t="str">
        <x:f>IF($O254="","",--($O254=-2))</x:f>
      </x:c>
      <x:c r="U254" s="59" t="str">
        <x:f>IF($O254="","",--($O254=1))</x:f>
      </x:c>
      <x:c r="V254" s="59" t="n">
        <x:f>--(AND($I254&lt;&gt;"",$J254&lt;&gt;""))</x:f>
        <x:v>0</x:v>
      </x:c>
    </x:row>
    <x:row r="255">
      <x:c r="A255" s="21" t="str">
        <x:f>INDEX(Config!$B$10:$B$16,INT((ROW()-5)/104)+1)</x:f>
        <x:v>Gabriel</x:v>
      </x:c>
      <x:c r="B255" s="21" t="str">
        <x:v>GH1</x:v>
      </x:c>
      <x:c r="C255" s="21" t="n">
        <x:v>43</x:v>
      </x:c>
      <x:c r="D255" s="21" t="str">
        <x:v>Grupo H</x:v>
      </x:c>
      <x:c r="E255" s="21" t="str">
        <x:v>2026-06-15</x:v>
      </x:c>
      <x:c r="F255" s="21" t="str">
        <x:f>IFERROR(INDEX('Resultados'!$G$5:$G$108,MATCH($B255,'Resultados'!$A$5:$A$108,0)),"")</x:f>
        <x:v>Espanha</x:v>
      </x:c>
      <x:c r="G255" s="21" t="str">
        <x:f>IFERROR(INDEX('Resultados'!$J$5:$J$108,MATCH($B255,'Resultados'!$A$5:$A$108,0)),"")</x:f>
        <x:v>Cabo Verde</x:v>
      </x:c>
      <x:c r="H255" s="21" t="str">
        <x:v>Não</x:v>
      </x:c>
      <x:c r="I255" s="22"/>
      <x:c r="J255" s="22"/>
      <x:c r="K255" s="23"/>
      <x:c r="L255" s="21" t="str">
        <x:f>IFERROR(INDEX('Resultados'!$H$5:$H$108,MATCH($B255,'Resultados'!$A$5:$A$108,0)),"")</x:f>
      </x:c>
      <x:c r="M255" s="21" t="str">
        <x:f>IFERROR(INDEX('Resultados'!$I$5:$I$108,MATCH($B255,'Resultados'!$A$5:$A$108,0)),"")</x:f>
      </x:c>
      <x:c r="N255" s="21" t="str">
        <x:f>IFERROR(INDEX('Resultados'!$L$5:$L$108,MATCH($B255,'Resultados'!$A$5:$A$108,0)),"")</x:f>
      </x:c>
      <x:c r="O255" s="59" t="str">
        <x:f>IF(OR($I255="",$J255="",$L255="",$M255=""),"",IF(AND($H255="Sim",$L255=$M255),IF($I255&lt;&gt;$J255,0,IF(AND($I255=$L255,$J255=$M255),2,1)),IF(AND($I255=$L255,$J255=$M255),3,IF(AND($I255&lt;&gt;$J255,$I255=$M255,$J255=$L255),-2,IF(SIGN($I255-$J255)=SIGN($L255-$M255),1,0)))))</x:f>
      </x:c>
      <x:c r="P255" s="59" t="str">
        <x:f>IF(OR($H255&lt;&gt;"Sim",$I255="",$J255="",$L255="",$M255=""),"",IF(AND(IF($I255&gt;$J255,$F255,IF($I255&lt;$J255,$G255,$K255))&lt;&gt;"",IF($L255&gt;$M255,$F255,IF($L255&lt;$M255,$G255,$N255))&lt;&gt;"",IF($I255&gt;$J255,$F255,IF($I255&lt;$J255,$G255,$K255))=IF($L255&gt;$M255,$F255,IF($L255&lt;$M255,$G255,$N255))),1,0))</x:f>
      </x:c>
      <x:c r="Q255" s="59" t="str">
        <x:f>IF($O255="","",$O255+$P255)</x:f>
      </x:c>
      <x:c r="R255" s="59" t="str">
        <x:f>IF($Q255="","",IF($O255=3,"Cravada",IF(AND($H255="Sim",$L255=$M255,$I255=$J255,$O255=2),"Empate cravado",IF($O255=1,"Resultado certo",IF($O255=-2,"Invertida",IF($P255=1,"Acertou quem passa","Erro"))))))</x:f>
      </x:c>
      <x:c r="S255" s="59" t="str">
        <x:f>IF($O255="","",--(OR($O255=3,AND($H255="Sim",$L255=$M255,$I255=$J255,$O255=2))))</x:f>
      </x:c>
      <x:c r="T255" s="59" t="str">
        <x:f>IF($O255="","",--($O255=-2))</x:f>
      </x:c>
      <x:c r="U255" s="59" t="str">
        <x:f>IF($O255="","",--($O255=1))</x:f>
      </x:c>
      <x:c r="V255" s="59" t="n">
        <x:f>--(AND($I255&lt;&gt;"",$J255&lt;&gt;""))</x:f>
        <x:v>0</x:v>
      </x:c>
    </x:row>
    <x:row r="256">
      <x:c r="A256" s="21" t="str">
        <x:f>INDEX(Config!$B$10:$B$16,INT((ROW()-5)/104)+1)</x:f>
        <x:v>Gabriel</x:v>
      </x:c>
      <x:c r="B256" s="21" t="str">
        <x:v>GH2</x:v>
      </x:c>
      <x:c r="C256" s="21" t="n">
        <x:v>44</x:v>
      </x:c>
      <x:c r="D256" s="21" t="str">
        <x:v>Grupo H</x:v>
      </x:c>
      <x:c r="E256" s="21" t="str">
        <x:v>2026-06-15</x:v>
      </x:c>
      <x:c r="F256" s="21" t="str">
        <x:f>IFERROR(INDEX('Resultados'!$G$5:$G$108,MATCH($B256,'Resultados'!$A$5:$A$108,0)),"")</x:f>
        <x:v>Arábia Saudita</x:v>
      </x:c>
      <x:c r="G256" s="21" t="str">
        <x:f>IFERROR(INDEX('Resultados'!$J$5:$J$108,MATCH($B256,'Resultados'!$A$5:$A$108,0)),"")</x:f>
        <x:v>Uruguai</x:v>
      </x:c>
      <x:c r="H256" s="21" t="str">
        <x:v>Não</x:v>
      </x:c>
      <x:c r="I256" s="22"/>
      <x:c r="J256" s="22"/>
      <x:c r="K256" s="23"/>
      <x:c r="L256" s="21" t="str">
        <x:f>IFERROR(INDEX('Resultados'!$H$5:$H$108,MATCH($B256,'Resultados'!$A$5:$A$108,0)),"")</x:f>
      </x:c>
      <x:c r="M256" s="21" t="str">
        <x:f>IFERROR(INDEX('Resultados'!$I$5:$I$108,MATCH($B256,'Resultados'!$A$5:$A$108,0)),"")</x:f>
      </x:c>
      <x:c r="N256" s="21" t="str">
        <x:f>IFERROR(INDEX('Resultados'!$L$5:$L$108,MATCH($B256,'Resultados'!$A$5:$A$108,0)),"")</x:f>
      </x:c>
      <x:c r="O256" s="59" t="str">
        <x:f>IF(OR($I256="",$J256="",$L256="",$M256=""),"",IF(AND($H256="Sim",$L256=$M256),IF($I256&lt;&gt;$J256,0,IF(AND($I256=$L256,$J256=$M256),2,1)),IF(AND($I256=$L256,$J256=$M256),3,IF(AND($I256&lt;&gt;$J256,$I256=$M256,$J256=$L256),-2,IF(SIGN($I256-$J256)=SIGN($L256-$M256),1,0)))))</x:f>
      </x:c>
      <x:c r="P256" s="59" t="str">
        <x:f>IF(OR($H256&lt;&gt;"Sim",$I256="",$J256="",$L256="",$M256=""),"",IF(AND(IF($I256&gt;$J256,$F256,IF($I256&lt;$J256,$G256,$K256))&lt;&gt;"",IF($L256&gt;$M256,$F256,IF($L256&lt;$M256,$G256,$N256))&lt;&gt;"",IF($I256&gt;$J256,$F256,IF($I256&lt;$J256,$G256,$K256))=IF($L256&gt;$M256,$F256,IF($L256&lt;$M256,$G256,$N256))),1,0))</x:f>
      </x:c>
      <x:c r="Q256" s="59" t="str">
        <x:f>IF($O256="","",$O256+$P256)</x:f>
      </x:c>
      <x:c r="R256" s="59" t="str">
        <x:f>IF($Q256="","",IF($O256=3,"Cravada",IF(AND($H256="Sim",$L256=$M256,$I256=$J256,$O256=2),"Empate cravado",IF($O256=1,"Resultado certo",IF($O256=-2,"Invertida",IF($P256=1,"Acertou quem passa","Erro"))))))</x:f>
      </x:c>
      <x:c r="S256" s="59" t="str">
        <x:f>IF($O256="","",--(OR($O256=3,AND($H256="Sim",$L256=$M256,$I256=$J256,$O256=2))))</x:f>
      </x:c>
      <x:c r="T256" s="59" t="str">
        <x:f>IF($O256="","",--($O256=-2))</x:f>
      </x:c>
      <x:c r="U256" s="59" t="str">
        <x:f>IF($O256="","",--($O256=1))</x:f>
      </x:c>
      <x:c r="V256" s="59" t="n">
        <x:f>--(AND($I256&lt;&gt;"",$J256&lt;&gt;""))</x:f>
        <x:v>0</x:v>
      </x:c>
    </x:row>
    <x:row r="257">
      <x:c r="A257" s="21" t="str">
        <x:f>INDEX(Config!$B$10:$B$16,INT((ROW()-5)/104)+1)</x:f>
        <x:v>Gabriel</x:v>
      </x:c>
      <x:c r="B257" s="21" t="str">
        <x:v>GH3</x:v>
      </x:c>
      <x:c r="C257" s="21" t="n">
        <x:v>45</x:v>
      </x:c>
      <x:c r="D257" s="21" t="str">
        <x:v>Grupo H</x:v>
      </x:c>
      <x:c r="E257" s="21" t="str">
        <x:v>2026-06-21</x:v>
      </x:c>
      <x:c r="F257" s="21" t="str">
        <x:f>IFERROR(INDEX('Resultados'!$G$5:$G$108,MATCH($B257,'Resultados'!$A$5:$A$108,0)),"")</x:f>
        <x:v>Espanha</x:v>
      </x:c>
      <x:c r="G257" s="21" t="str">
        <x:f>IFERROR(INDEX('Resultados'!$J$5:$J$108,MATCH($B257,'Resultados'!$A$5:$A$108,0)),"")</x:f>
        <x:v>Arábia Saudita</x:v>
      </x:c>
      <x:c r="H257" s="21" t="str">
        <x:v>Não</x:v>
      </x:c>
      <x:c r="I257" s="22"/>
      <x:c r="J257" s="22"/>
      <x:c r="K257" s="23"/>
      <x:c r="L257" s="21" t="str">
        <x:f>IFERROR(INDEX('Resultados'!$H$5:$H$108,MATCH($B257,'Resultados'!$A$5:$A$108,0)),"")</x:f>
      </x:c>
      <x:c r="M257" s="21" t="str">
        <x:f>IFERROR(INDEX('Resultados'!$I$5:$I$108,MATCH($B257,'Resultados'!$A$5:$A$108,0)),"")</x:f>
      </x:c>
      <x:c r="N257" s="21" t="str">
        <x:f>IFERROR(INDEX('Resultados'!$L$5:$L$108,MATCH($B257,'Resultados'!$A$5:$A$108,0)),"")</x:f>
      </x:c>
      <x:c r="O257" s="59" t="str">
        <x:f>IF(OR($I257="",$J257="",$L257="",$M257=""),"",IF(AND($H257="Sim",$L257=$M257),IF($I257&lt;&gt;$J257,0,IF(AND($I257=$L257,$J257=$M257),2,1)),IF(AND($I257=$L257,$J257=$M257),3,IF(AND($I257&lt;&gt;$J257,$I257=$M257,$J257=$L257),-2,IF(SIGN($I257-$J257)=SIGN($L257-$M257),1,0)))))</x:f>
      </x:c>
      <x:c r="P257" s="59" t="str">
        <x:f>IF(OR($H257&lt;&gt;"Sim",$I257="",$J257="",$L257="",$M257=""),"",IF(AND(IF($I257&gt;$J257,$F257,IF($I257&lt;$J257,$G257,$K257))&lt;&gt;"",IF($L257&gt;$M257,$F257,IF($L257&lt;$M257,$G257,$N257))&lt;&gt;"",IF($I257&gt;$J257,$F257,IF($I257&lt;$J257,$G257,$K257))=IF($L257&gt;$M257,$F257,IF($L257&lt;$M257,$G257,$N257))),1,0))</x:f>
      </x:c>
      <x:c r="Q257" s="59" t="str">
        <x:f>IF($O257="","",$O257+$P257)</x:f>
      </x:c>
      <x:c r="R257" s="59" t="str">
        <x:f>IF($Q257="","",IF($O257=3,"Cravada",IF(AND($H257="Sim",$L257=$M257,$I257=$J257,$O257=2),"Empate cravado",IF($O257=1,"Resultado certo",IF($O257=-2,"Invertida",IF($P257=1,"Acertou quem passa","Erro"))))))</x:f>
      </x:c>
      <x:c r="S257" s="59" t="str">
        <x:f>IF($O257="","",--(OR($O257=3,AND($H257="Sim",$L257=$M257,$I257=$J257,$O257=2))))</x:f>
      </x:c>
      <x:c r="T257" s="59" t="str">
        <x:f>IF($O257="","",--($O257=-2))</x:f>
      </x:c>
      <x:c r="U257" s="59" t="str">
        <x:f>IF($O257="","",--($O257=1))</x:f>
      </x:c>
      <x:c r="V257" s="59" t="n">
        <x:f>--(AND($I257&lt;&gt;"",$J257&lt;&gt;""))</x:f>
        <x:v>0</x:v>
      </x:c>
    </x:row>
    <x:row r="258">
      <x:c r="A258" s="21" t="str">
        <x:f>INDEX(Config!$B$10:$B$16,INT((ROW()-5)/104)+1)</x:f>
        <x:v>Gabriel</x:v>
      </x:c>
      <x:c r="B258" s="21" t="str">
        <x:v>GH4</x:v>
      </x:c>
      <x:c r="C258" s="21" t="n">
        <x:v>46</x:v>
      </x:c>
      <x:c r="D258" s="21" t="str">
        <x:v>Grupo H</x:v>
      </x:c>
      <x:c r="E258" s="21" t="str">
        <x:v>2026-06-21</x:v>
      </x:c>
      <x:c r="F258" s="21" t="str">
        <x:f>IFERROR(INDEX('Resultados'!$G$5:$G$108,MATCH($B258,'Resultados'!$A$5:$A$108,0)),"")</x:f>
        <x:v>Cabo Verde</x:v>
      </x:c>
      <x:c r="G258" s="21" t="str">
        <x:f>IFERROR(INDEX('Resultados'!$J$5:$J$108,MATCH($B258,'Resultados'!$A$5:$A$108,0)),"")</x:f>
        <x:v>Uruguai</x:v>
      </x:c>
      <x:c r="H258" s="21" t="str">
        <x:v>Não</x:v>
      </x:c>
      <x:c r="I258" s="22"/>
      <x:c r="J258" s="22"/>
      <x:c r="K258" s="23"/>
      <x:c r="L258" s="21" t="str">
        <x:f>IFERROR(INDEX('Resultados'!$H$5:$H$108,MATCH($B258,'Resultados'!$A$5:$A$108,0)),"")</x:f>
      </x:c>
      <x:c r="M258" s="21" t="str">
        <x:f>IFERROR(INDEX('Resultados'!$I$5:$I$108,MATCH($B258,'Resultados'!$A$5:$A$108,0)),"")</x:f>
      </x:c>
      <x:c r="N258" s="21" t="str">
        <x:f>IFERROR(INDEX('Resultados'!$L$5:$L$108,MATCH($B258,'Resultados'!$A$5:$A$108,0)),"")</x:f>
      </x:c>
      <x:c r="O258" s="59" t="str">
        <x:f>IF(OR($I258="",$J258="",$L258="",$M258=""),"",IF(AND($H258="Sim",$L258=$M258),IF($I258&lt;&gt;$J258,0,IF(AND($I258=$L258,$J258=$M258),2,1)),IF(AND($I258=$L258,$J258=$M258),3,IF(AND($I258&lt;&gt;$J258,$I258=$M258,$J258=$L258),-2,IF(SIGN($I258-$J258)=SIGN($L258-$M258),1,0)))))</x:f>
      </x:c>
      <x:c r="P258" s="59" t="str">
        <x:f>IF(OR($H258&lt;&gt;"Sim",$I258="",$J258="",$L258="",$M258=""),"",IF(AND(IF($I258&gt;$J258,$F258,IF($I258&lt;$J258,$G258,$K258))&lt;&gt;"",IF($L258&gt;$M258,$F258,IF($L258&lt;$M258,$G258,$N258))&lt;&gt;"",IF($I258&gt;$J258,$F258,IF($I258&lt;$J258,$G258,$K258))=IF($L258&gt;$M258,$F258,IF($L258&lt;$M258,$G258,$N258))),1,0))</x:f>
      </x:c>
      <x:c r="Q258" s="59" t="str">
        <x:f>IF($O258="","",$O258+$P258)</x:f>
      </x:c>
      <x:c r="R258" s="59" t="str">
        <x:f>IF($Q258="","",IF($O258=3,"Cravada",IF(AND($H258="Sim",$L258=$M258,$I258=$J258,$O258=2),"Empate cravado",IF($O258=1,"Resultado certo",IF($O258=-2,"Invertida",IF($P258=1,"Acertou quem passa","Erro"))))))</x:f>
      </x:c>
      <x:c r="S258" s="59" t="str">
        <x:f>IF($O258="","",--(OR($O258=3,AND($H258="Sim",$L258=$M258,$I258=$J258,$O258=2))))</x:f>
      </x:c>
      <x:c r="T258" s="59" t="str">
        <x:f>IF($O258="","",--($O258=-2))</x:f>
      </x:c>
      <x:c r="U258" s="59" t="str">
        <x:f>IF($O258="","",--($O258=1))</x:f>
      </x:c>
      <x:c r="V258" s="59" t="n">
        <x:f>--(AND($I258&lt;&gt;"",$J258&lt;&gt;""))</x:f>
        <x:v>0</x:v>
      </x:c>
    </x:row>
    <x:row r="259">
      <x:c r="A259" s="21" t="str">
        <x:f>INDEX(Config!$B$10:$B$16,INT((ROW()-5)/104)+1)</x:f>
        <x:v>Gabriel</x:v>
      </x:c>
      <x:c r="B259" s="21" t="str">
        <x:v>GH5</x:v>
      </x:c>
      <x:c r="C259" s="21" t="n">
        <x:v>47</x:v>
      </x:c>
      <x:c r="D259" s="21" t="str">
        <x:v>Grupo H</x:v>
      </x:c>
      <x:c r="E259" s="21" t="str">
        <x:v>2026-06-26</x:v>
      </x:c>
      <x:c r="F259" s="21" t="str">
        <x:f>IFERROR(INDEX('Resultados'!$G$5:$G$108,MATCH($B259,'Resultados'!$A$5:$A$108,0)),"")</x:f>
        <x:v>Espanha</x:v>
      </x:c>
      <x:c r="G259" s="21" t="str">
        <x:f>IFERROR(INDEX('Resultados'!$J$5:$J$108,MATCH($B259,'Resultados'!$A$5:$A$108,0)),"")</x:f>
        <x:v>Uruguai</x:v>
      </x:c>
      <x:c r="H259" s="21" t="str">
        <x:v>Não</x:v>
      </x:c>
      <x:c r="I259" s="22"/>
      <x:c r="J259" s="22"/>
      <x:c r="K259" s="23"/>
      <x:c r="L259" s="21" t="str">
        <x:f>IFERROR(INDEX('Resultados'!$H$5:$H$108,MATCH($B259,'Resultados'!$A$5:$A$108,0)),"")</x:f>
      </x:c>
      <x:c r="M259" s="21" t="str">
        <x:f>IFERROR(INDEX('Resultados'!$I$5:$I$108,MATCH($B259,'Resultados'!$A$5:$A$108,0)),"")</x:f>
      </x:c>
      <x:c r="N259" s="21" t="str">
        <x:f>IFERROR(INDEX('Resultados'!$L$5:$L$108,MATCH($B259,'Resultados'!$A$5:$A$108,0)),"")</x:f>
      </x:c>
      <x:c r="O259" s="59" t="str">
        <x:f>IF(OR($I259="",$J259="",$L259="",$M259=""),"",IF(AND($H259="Sim",$L259=$M259),IF($I259&lt;&gt;$J259,0,IF(AND($I259=$L259,$J259=$M259),2,1)),IF(AND($I259=$L259,$J259=$M259),3,IF(AND($I259&lt;&gt;$J259,$I259=$M259,$J259=$L259),-2,IF(SIGN($I259-$J259)=SIGN($L259-$M259),1,0)))))</x:f>
      </x:c>
      <x:c r="P259" s="59" t="str">
        <x:f>IF(OR($H259&lt;&gt;"Sim",$I259="",$J259="",$L259="",$M259=""),"",IF(AND(IF($I259&gt;$J259,$F259,IF($I259&lt;$J259,$G259,$K259))&lt;&gt;"",IF($L259&gt;$M259,$F259,IF($L259&lt;$M259,$G259,$N259))&lt;&gt;"",IF($I259&gt;$J259,$F259,IF($I259&lt;$J259,$G259,$K259))=IF($L259&gt;$M259,$F259,IF($L259&lt;$M259,$G259,$N259))),1,0))</x:f>
      </x:c>
      <x:c r="Q259" s="59" t="str">
        <x:f>IF($O259="","",$O259+$P259)</x:f>
      </x:c>
      <x:c r="R259" s="59" t="str">
        <x:f>IF($Q259="","",IF($O259=3,"Cravada",IF(AND($H259="Sim",$L259=$M259,$I259=$J259,$O259=2),"Empate cravado",IF($O259=1,"Resultado certo",IF($O259=-2,"Invertida",IF($P259=1,"Acertou quem passa","Erro"))))))</x:f>
      </x:c>
      <x:c r="S259" s="59" t="str">
        <x:f>IF($O259="","",--(OR($O259=3,AND($H259="Sim",$L259=$M259,$I259=$J259,$O259=2))))</x:f>
      </x:c>
      <x:c r="T259" s="59" t="str">
        <x:f>IF($O259="","",--($O259=-2))</x:f>
      </x:c>
      <x:c r="U259" s="59" t="str">
        <x:f>IF($O259="","",--($O259=1))</x:f>
      </x:c>
      <x:c r="V259" s="59" t="n">
        <x:f>--(AND($I259&lt;&gt;"",$J259&lt;&gt;""))</x:f>
        <x:v>0</x:v>
      </x:c>
    </x:row>
    <x:row r="260">
      <x:c r="A260" s="21" t="str">
        <x:f>INDEX(Config!$B$10:$B$16,INT((ROW()-5)/104)+1)</x:f>
        <x:v>Gabriel</x:v>
      </x:c>
      <x:c r="B260" s="21" t="str">
        <x:v>GH6</x:v>
      </x:c>
      <x:c r="C260" s="21" t="n">
        <x:v>48</x:v>
      </x:c>
      <x:c r="D260" s="21" t="str">
        <x:v>Grupo H</x:v>
      </x:c>
      <x:c r="E260" s="21" t="str">
        <x:v>2026-06-26</x:v>
      </x:c>
      <x:c r="F260" s="21" t="str">
        <x:f>IFERROR(INDEX('Resultados'!$G$5:$G$108,MATCH($B260,'Resultados'!$A$5:$A$108,0)),"")</x:f>
        <x:v>Cabo Verde</x:v>
      </x:c>
      <x:c r="G260" s="21" t="str">
        <x:f>IFERROR(INDEX('Resultados'!$J$5:$J$108,MATCH($B260,'Resultados'!$A$5:$A$108,0)),"")</x:f>
        <x:v>Arábia Saudita</x:v>
      </x:c>
      <x:c r="H260" s="21" t="str">
        <x:v>Não</x:v>
      </x:c>
      <x:c r="I260" s="22"/>
      <x:c r="J260" s="22"/>
      <x:c r="K260" s="23"/>
      <x:c r="L260" s="21" t="str">
        <x:f>IFERROR(INDEX('Resultados'!$H$5:$H$108,MATCH($B260,'Resultados'!$A$5:$A$108,0)),"")</x:f>
      </x:c>
      <x:c r="M260" s="21" t="str">
        <x:f>IFERROR(INDEX('Resultados'!$I$5:$I$108,MATCH($B260,'Resultados'!$A$5:$A$108,0)),"")</x:f>
      </x:c>
      <x:c r="N260" s="21" t="str">
        <x:f>IFERROR(INDEX('Resultados'!$L$5:$L$108,MATCH($B260,'Resultados'!$A$5:$A$108,0)),"")</x:f>
      </x:c>
      <x:c r="O260" s="59" t="str">
        <x:f>IF(OR($I260="",$J260="",$L260="",$M260=""),"",IF(AND($H260="Sim",$L260=$M260),IF($I260&lt;&gt;$J260,0,IF(AND($I260=$L260,$J260=$M260),2,1)),IF(AND($I260=$L260,$J260=$M260),3,IF(AND($I260&lt;&gt;$J260,$I260=$M260,$J260=$L260),-2,IF(SIGN($I260-$J260)=SIGN($L260-$M260),1,0)))))</x:f>
      </x:c>
      <x:c r="P260" s="59" t="str">
        <x:f>IF(OR($H260&lt;&gt;"Sim",$I260="",$J260="",$L260="",$M260=""),"",IF(AND(IF($I260&gt;$J260,$F260,IF($I260&lt;$J260,$G260,$K260))&lt;&gt;"",IF($L260&gt;$M260,$F260,IF($L260&lt;$M260,$G260,$N260))&lt;&gt;"",IF($I260&gt;$J260,$F260,IF($I260&lt;$J260,$G260,$K260))=IF($L260&gt;$M260,$F260,IF($L260&lt;$M260,$G260,$N260))),1,0))</x:f>
      </x:c>
      <x:c r="Q260" s="59" t="str">
        <x:f>IF($O260="","",$O260+$P260)</x:f>
      </x:c>
      <x:c r="R260" s="59" t="str">
        <x:f>IF($Q260="","",IF($O260=3,"Cravada",IF(AND($H260="Sim",$L260=$M260,$I260=$J260,$O260=2),"Empate cravado",IF($O260=1,"Resultado certo",IF($O260=-2,"Invertida",IF($P260=1,"Acertou quem passa","Erro"))))))</x:f>
      </x:c>
      <x:c r="S260" s="59" t="str">
        <x:f>IF($O260="","",--(OR($O260=3,AND($H260="Sim",$L260=$M260,$I260=$J260,$O260=2))))</x:f>
      </x:c>
      <x:c r="T260" s="59" t="str">
        <x:f>IF($O260="","",--($O260=-2))</x:f>
      </x:c>
      <x:c r="U260" s="59" t="str">
        <x:f>IF($O260="","",--($O260=1))</x:f>
      </x:c>
      <x:c r="V260" s="59" t="n">
        <x:f>--(AND($I260&lt;&gt;"",$J260&lt;&gt;""))</x:f>
        <x:v>0</x:v>
      </x:c>
    </x:row>
    <x:row r="261">
      <x:c r="A261" s="21" t="str">
        <x:f>INDEX(Config!$B$10:$B$16,INT((ROW()-5)/104)+1)</x:f>
        <x:v>Gabriel</x:v>
      </x:c>
      <x:c r="B261" s="21" t="str">
        <x:v>GI1</x:v>
      </x:c>
      <x:c r="C261" s="21" t="n">
        <x:v>49</x:v>
      </x:c>
      <x:c r="D261" s="21" t="str">
        <x:v>Grupo I</x:v>
      </x:c>
      <x:c r="E261" s="21" t="str">
        <x:v>2026-06-16</x:v>
      </x:c>
      <x:c r="F261" s="21" t="str">
        <x:f>IFERROR(INDEX('Resultados'!$G$5:$G$108,MATCH($B261,'Resultados'!$A$5:$A$108,0)),"")</x:f>
        <x:v>França</x:v>
      </x:c>
      <x:c r="G261" s="21" t="str">
        <x:f>IFERROR(INDEX('Resultados'!$J$5:$J$108,MATCH($B261,'Resultados'!$A$5:$A$108,0)),"")</x:f>
        <x:v>Senegal</x:v>
      </x:c>
      <x:c r="H261" s="21" t="str">
        <x:v>Não</x:v>
      </x:c>
      <x:c r="I261" s="22"/>
      <x:c r="J261" s="22"/>
      <x:c r="K261" s="23"/>
      <x:c r="L261" s="21" t="str">
        <x:f>IFERROR(INDEX('Resultados'!$H$5:$H$108,MATCH($B261,'Resultados'!$A$5:$A$108,0)),"")</x:f>
      </x:c>
      <x:c r="M261" s="21" t="str">
        <x:f>IFERROR(INDEX('Resultados'!$I$5:$I$108,MATCH($B261,'Resultados'!$A$5:$A$108,0)),"")</x:f>
      </x:c>
      <x:c r="N261" s="21" t="str">
        <x:f>IFERROR(INDEX('Resultados'!$L$5:$L$108,MATCH($B261,'Resultados'!$A$5:$A$108,0)),"")</x:f>
      </x:c>
      <x:c r="O261" s="59" t="str">
        <x:f>IF(OR($I261="",$J261="",$L261="",$M261=""),"",IF(AND($H261="Sim",$L261=$M261),IF($I261&lt;&gt;$J261,0,IF(AND($I261=$L261,$J261=$M261),2,1)),IF(AND($I261=$L261,$J261=$M261),3,IF(AND($I261&lt;&gt;$J261,$I261=$M261,$J261=$L261),-2,IF(SIGN($I261-$J261)=SIGN($L261-$M261),1,0)))))</x:f>
      </x:c>
      <x:c r="P261" s="59" t="str">
        <x:f>IF(OR($H261&lt;&gt;"Sim",$I261="",$J261="",$L261="",$M261=""),"",IF(AND(IF($I261&gt;$J261,$F261,IF($I261&lt;$J261,$G261,$K261))&lt;&gt;"",IF($L261&gt;$M261,$F261,IF($L261&lt;$M261,$G261,$N261))&lt;&gt;"",IF($I261&gt;$J261,$F261,IF($I261&lt;$J261,$G261,$K261))=IF($L261&gt;$M261,$F261,IF($L261&lt;$M261,$G261,$N261))),1,0))</x:f>
      </x:c>
      <x:c r="Q261" s="59" t="str">
        <x:f>IF($O261="","",$O261+$P261)</x:f>
      </x:c>
      <x:c r="R261" s="59" t="str">
        <x:f>IF($Q261="","",IF($O261=3,"Cravada",IF(AND($H261="Sim",$L261=$M261,$I261=$J261,$O261=2),"Empate cravado",IF($O261=1,"Resultado certo",IF($O261=-2,"Invertida",IF($P261=1,"Acertou quem passa","Erro"))))))</x:f>
      </x:c>
      <x:c r="S261" s="59" t="str">
        <x:f>IF($O261="","",--(OR($O261=3,AND($H261="Sim",$L261=$M261,$I261=$J261,$O261=2))))</x:f>
      </x:c>
      <x:c r="T261" s="59" t="str">
        <x:f>IF($O261="","",--($O261=-2))</x:f>
      </x:c>
      <x:c r="U261" s="59" t="str">
        <x:f>IF($O261="","",--($O261=1))</x:f>
      </x:c>
      <x:c r="V261" s="59" t="n">
        <x:f>--(AND($I261&lt;&gt;"",$J261&lt;&gt;""))</x:f>
        <x:v>0</x:v>
      </x:c>
    </x:row>
    <x:row r="262">
      <x:c r="A262" s="21" t="str">
        <x:f>INDEX(Config!$B$10:$B$16,INT((ROW()-5)/104)+1)</x:f>
        <x:v>Gabriel</x:v>
      </x:c>
      <x:c r="B262" s="21" t="str">
        <x:v>GI2</x:v>
      </x:c>
      <x:c r="C262" s="21" t="n">
        <x:v>50</x:v>
      </x:c>
      <x:c r="D262" s="21" t="str">
        <x:v>Grupo I</x:v>
      </x:c>
      <x:c r="E262" s="21" t="str">
        <x:v>2026-06-16</x:v>
      </x:c>
      <x:c r="F262" s="21" t="str">
        <x:f>IFERROR(INDEX('Resultados'!$G$5:$G$108,MATCH($B262,'Resultados'!$A$5:$A$108,0)),"")</x:f>
        <x:v>Iraque</x:v>
      </x:c>
      <x:c r="G262" s="21" t="str">
        <x:f>IFERROR(INDEX('Resultados'!$J$5:$J$108,MATCH($B262,'Resultados'!$A$5:$A$108,0)),"")</x:f>
        <x:v>Noruega</x:v>
      </x:c>
      <x:c r="H262" s="21" t="str">
        <x:v>Não</x:v>
      </x:c>
      <x:c r="I262" s="22"/>
      <x:c r="J262" s="22"/>
      <x:c r="K262" s="23"/>
      <x:c r="L262" s="21" t="str">
        <x:f>IFERROR(INDEX('Resultados'!$H$5:$H$108,MATCH($B262,'Resultados'!$A$5:$A$108,0)),"")</x:f>
      </x:c>
      <x:c r="M262" s="21" t="str">
        <x:f>IFERROR(INDEX('Resultados'!$I$5:$I$108,MATCH($B262,'Resultados'!$A$5:$A$108,0)),"")</x:f>
      </x:c>
      <x:c r="N262" s="21" t="str">
        <x:f>IFERROR(INDEX('Resultados'!$L$5:$L$108,MATCH($B262,'Resultados'!$A$5:$A$108,0)),"")</x:f>
      </x:c>
      <x:c r="O262" s="59" t="str">
        <x:f>IF(OR($I262="",$J262="",$L262="",$M262=""),"",IF(AND($H262="Sim",$L262=$M262),IF($I262&lt;&gt;$J262,0,IF(AND($I262=$L262,$J262=$M262),2,1)),IF(AND($I262=$L262,$J262=$M262),3,IF(AND($I262&lt;&gt;$J262,$I262=$M262,$J262=$L262),-2,IF(SIGN($I262-$J262)=SIGN($L262-$M262),1,0)))))</x:f>
      </x:c>
      <x:c r="P262" s="59" t="str">
        <x:f>IF(OR($H262&lt;&gt;"Sim",$I262="",$J262="",$L262="",$M262=""),"",IF(AND(IF($I262&gt;$J262,$F262,IF($I262&lt;$J262,$G262,$K262))&lt;&gt;"",IF($L262&gt;$M262,$F262,IF($L262&lt;$M262,$G262,$N262))&lt;&gt;"",IF($I262&gt;$J262,$F262,IF($I262&lt;$J262,$G262,$K262))=IF($L262&gt;$M262,$F262,IF($L262&lt;$M262,$G262,$N262))),1,0))</x:f>
      </x:c>
      <x:c r="Q262" s="59" t="str">
        <x:f>IF($O262="","",$O262+$P262)</x:f>
      </x:c>
      <x:c r="R262" s="59" t="str">
        <x:f>IF($Q262="","",IF($O262=3,"Cravada",IF(AND($H262="Sim",$L262=$M262,$I262=$J262,$O262=2),"Empate cravado",IF($O262=1,"Resultado certo",IF($O262=-2,"Invertida",IF($P262=1,"Acertou quem passa","Erro"))))))</x:f>
      </x:c>
      <x:c r="S262" s="59" t="str">
        <x:f>IF($O262="","",--(OR($O262=3,AND($H262="Sim",$L262=$M262,$I262=$J262,$O262=2))))</x:f>
      </x:c>
      <x:c r="T262" s="59" t="str">
        <x:f>IF($O262="","",--($O262=-2))</x:f>
      </x:c>
      <x:c r="U262" s="59" t="str">
        <x:f>IF($O262="","",--($O262=1))</x:f>
      </x:c>
      <x:c r="V262" s="59" t="n">
        <x:f>--(AND($I262&lt;&gt;"",$J262&lt;&gt;""))</x:f>
        <x:v>0</x:v>
      </x:c>
    </x:row>
    <x:row r="263">
      <x:c r="A263" s="21" t="str">
        <x:f>INDEX(Config!$B$10:$B$16,INT((ROW()-5)/104)+1)</x:f>
        <x:v>Gabriel</x:v>
      </x:c>
      <x:c r="B263" s="21" t="str">
        <x:v>GI3</x:v>
      </x:c>
      <x:c r="C263" s="21" t="n">
        <x:v>51</x:v>
      </x:c>
      <x:c r="D263" s="21" t="str">
        <x:v>Grupo I</x:v>
      </x:c>
      <x:c r="E263" s="21" t="str">
        <x:v>2026-06-22</x:v>
      </x:c>
      <x:c r="F263" s="21" t="str">
        <x:f>IFERROR(INDEX('Resultados'!$G$5:$G$108,MATCH($B263,'Resultados'!$A$5:$A$108,0)),"")</x:f>
        <x:v>França</x:v>
      </x:c>
      <x:c r="G263" s="21" t="str">
        <x:f>IFERROR(INDEX('Resultados'!$J$5:$J$108,MATCH($B263,'Resultados'!$A$5:$A$108,0)),"")</x:f>
        <x:v>Iraque</x:v>
      </x:c>
      <x:c r="H263" s="21" t="str">
        <x:v>Não</x:v>
      </x:c>
      <x:c r="I263" s="22"/>
      <x:c r="J263" s="22"/>
      <x:c r="K263" s="23"/>
      <x:c r="L263" s="21" t="str">
        <x:f>IFERROR(INDEX('Resultados'!$H$5:$H$108,MATCH($B263,'Resultados'!$A$5:$A$108,0)),"")</x:f>
      </x:c>
      <x:c r="M263" s="21" t="str">
        <x:f>IFERROR(INDEX('Resultados'!$I$5:$I$108,MATCH($B263,'Resultados'!$A$5:$A$108,0)),"")</x:f>
      </x:c>
      <x:c r="N263" s="21" t="str">
        <x:f>IFERROR(INDEX('Resultados'!$L$5:$L$108,MATCH($B263,'Resultados'!$A$5:$A$108,0)),"")</x:f>
      </x:c>
      <x:c r="O263" s="59" t="str">
        <x:f>IF(OR($I263="",$J263="",$L263="",$M263=""),"",IF(AND($H263="Sim",$L263=$M263),IF($I263&lt;&gt;$J263,0,IF(AND($I263=$L263,$J263=$M263),2,1)),IF(AND($I263=$L263,$J263=$M263),3,IF(AND($I263&lt;&gt;$J263,$I263=$M263,$J263=$L263),-2,IF(SIGN($I263-$J263)=SIGN($L263-$M263),1,0)))))</x:f>
      </x:c>
      <x:c r="P263" s="59" t="str">
        <x:f>IF(OR($H263&lt;&gt;"Sim",$I263="",$J263="",$L263="",$M263=""),"",IF(AND(IF($I263&gt;$J263,$F263,IF($I263&lt;$J263,$G263,$K263))&lt;&gt;"",IF($L263&gt;$M263,$F263,IF($L263&lt;$M263,$G263,$N263))&lt;&gt;"",IF($I263&gt;$J263,$F263,IF($I263&lt;$J263,$G263,$K263))=IF($L263&gt;$M263,$F263,IF($L263&lt;$M263,$G263,$N263))),1,0))</x:f>
      </x:c>
      <x:c r="Q263" s="59" t="str">
        <x:f>IF($O263="","",$O263+$P263)</x:f>
      </x:c>
      <x:c r="R263" s="59" t="str">
        <x:f>IF($Q263="","",IF($O263=3,"Cravada",IF(AND($H263="Sim",$L263=$M263,$I263=$J263,$O263=2),"Empate cravado",IF($O263=1,"Resultado certo",IF($O263=-2,"Invertida",IF($P263=1,"Acertou quem passa","Erro"))))))</x:f>
      </x:c>
      <x:c r="S263" s="59" t="str">
        <x:f>IF($O263="","",--(OR($O263=3,AND($H263="Sim",$L263=$M263,$I263=$J263,$O263=2))))</x:f>
      </x:c>
      <x:c r="T263" s="59" t="str">
        <x:f>IF($O263="","",--($O263=-2))</x:f>
      </x:c>
      <x:c r="U263" s="59" t="str">
        <x:f>IF($O263="","",--($O263=1))</x:f>
      </x:c>
      <x:c r="V263" s="59" t="n">
        <x:f>--(AND($I263&lt;&gt;"",$J263&lt;&gt;""))</x:f>
        <x:v>0</x:v>
      </x:c>
    </x:row>
    <x:row r="264">
      <x:c r="A264" s="21" t="str">
        <x:f>INDEX(Config!$B$10:$B$16,INT((ROW()-5)/104)+1)</x:f>
        <x:v>Gabriel</x:v>
      </x:c>
      <x:c r="B264" s="21" t="str">
        <x:v>GI4</x:v>
      </x:c>
      <x:c r="C264" s="21" t="n">
        <x:v>52</x:v>
      </x:c>
      <x:c r="D264" s="21" t="str">
        <x:v>Grupo I</x:v>
      </x:c>
      <x:c r="E264" s="21" t="str">
        <x:v>2026-06-22</x:v>
      </x:c>
      <x:c r="F264" s="21" t="str">
        <x:f>IFERROR(INDEX('Resultados'!$G$5:$G$108,MATCH($B264,'Resultados'!$A$5:$A$108,0)),"")</x:f>
        <x:v>Senegal</x:v>
      </x:c>
      <x:c r="G264" s="21" t="str">
        <x:f>IFERROR(INDEX('Resultados'!$J$5:$J$108,MATCH($B264,'Resultados'!$A$5:$A$108,0)),"")</x:f>
        <x:v>Noruega</x:v>
      </x:c>
      <x:c r="H264" s="21" t="str">
        <x:v>Não</x:v>
      </x:c>
      <x:c r="I264" s="22"/>
      <x:c r="J264" s="22"/>
      <x:c r="K264" s="23"/>
      <x:c r="L264" s="21" t="str">
        <x:f>IFERROR(INDEX('Resultados'!$H$5:$H$108,MATCH($B264,'Resultados'!$A$5:$A$108,0)),"")</x:f>
      </x:c>
      <x:c r="M264" s="21" t="str">
        <x:f>IFERROR(INDEX('Resultados'!$I$5:$I$108,MATCH($B264,'Resultados'!$A$5:$A$108,0)),"")</x:f>
      </x:c>
      <x:c r="N264" s="21" t="str">
        <x:f>IFERROR(INDEX('Resultados'!$L$5:$L$108,MATCH($B264,'Resultados'!$A$5:$A$108,0)),"")</x:f>
      </x:c>
      <x:c r="O264" s="59" t="str">
        <x:f>IF(OR($I264="",$J264="",$L264="",$M264=""),"",IF(AND($H264="Sim",$L264=$M264),IF($I264&lt;&gt;$J264,0,IF(AND($I264=$L264,$J264=$M264),2,1)),IF(AND($I264=$L264,$J264=$M264),3,IF(AND($I264&lt;&gt;$J264,$I264=$M264,$J264=$L264),-2,IF(SIGN($I264-$J264)=SIGN($L264-$M264),1,0)))))</x:f>
      </x:c>
      <x:c r="P264" s="59" t="str">
        <x:f>IF(OR($H264&lt;&gt;"Sim",$I264="",$J264="",$L264="",$M264=""),"",IF(AND(IF($I264&gt;$J264,$F264,IF($I264&lt;$J264,$G264,$K264))&lt;&gt;"",IF($L264&gt;$M264,$F264,IF($L264&lt;$M264,$G264,$N264))&lt;&gt;"",IF($I264&gt;$J264,$F264,IF($I264&lt;$J264,$G264,$K264))=IF($L264&gt;$M264,$F264,IF($L264&lt;$M264,$G264,$N264))),1,0))</x:f>
      </x:c>
      <x:c r="Q264" s="59" t="str">
        <x:f>IF($O264="","",$O264+$P264)</x:f>
      </x:c>
      <x:c r="R264" s="59" t="str">
        <x:f>IF($Q264="","",IF($O264=3,"Cravada",IF(AND($H264="Sim",$L264=$M264,$I264=$J264,$O264=2),"Empate cravado",IF($O264=1,"Resultado certo",IF($O264=-2,"Invertida",IF($P264=1,"Acertou quem passa","Erro"))))))</x:f>
      </x:c>
      <x:c r="S264" s="59" t="str">
        <x:f>IF($O264="","",--(OR($O264=3,AND($H264="Sim",$L264=$M264,$I264=$J264,$O264=2))))</x:f>
      </x:c>
      <x:c r="T264" s="59" t="str">
        <x:f>IF($O264="","",--($O264=-2))</x:f>
      </x:c>
      <x:c r="U264" s="59" t="str">
        <x:f>IF($O264="","",--($O264=1))</x:f>
      </x:c>
      <x:c r="V264" s="59" t="n">
        <x:f>--(AND($I264&lt;&gt;"",$J264&lt;&gt;""))</x:f>
        <x:v>0</x:v>
      </x:c>
    </x:row>
    <x:row r="265">
      <x:c r="A265" s="21" t="str">
        <x:f>INDEX(Config!$B$10:$B$16,INT((ROW()-5)/104)+1)</x:f>
        <x:v>Gabriel</x:v>
      </x:c>
      <x:c r="B265" s="21" t="str">
        <x:v>GI5</x:v>
      </x:c>
      <x:c r="C265" s="21" t="n">
        <x:v>53</x:v>
      </x:c>
      <x:c r="D265" s="21" t="str">
        <x:v>Grupo I</x:v>
      </x:c>
      <x:c r="E265" s="21" t="str">
        <x:v>2026-06-26</x:v>
      </x:c>
      <x:c r="F265" s="21" t="str">
        <x:f>IFERROR(INDEX('Resultados'!$G$5:$G$108,MATCH($B265,'Resultados'!$A$5:$A$108,0)),"")</x:f>
        <x:v>França</x:v>
      </x:c>
      <x:c r="G265" s="21" t="str">
        <x:f>IFERROR(INDEX('Resultados'!$J$5:$J$108,MATCH($B265,'Resultados'!$A$5:$A$108,0)),"")</x:f>
        <x:v>Noruega</x:v>
      </x:c>
      <x:c r="H265" s="21" t="str">
        <x:v>Não</x:v>
      </x:c>
      <x:c r="I265" s="22"/>
      <x:c r="J265" s="22"/>
      <x:c r="K265" s="23"/>
      <x:c r="L265" s="21" t="str">
        <x:f>IFERROR(INDEX('Resultados'!$H$5:$H$108,MATCH($B265,'Resultados'!$A$5:$A$108,0)),"")</x:f>
      </x:c>
      <x:c r="M265" s="21" t="str">
        <x:f>IFERROR(INDEX('Resultados'!$I$5:$I$108,MATCH($B265,'Resultados'!$A$5:$A$108,0)),"")</x:f>
      </x:c>
      <x:c r="N265" s="21" t="str">
        <x:f>IFERROR(INDEX('Resultados'!$L$5:$L$108,MATCH($B265,'Resultados'!$A$5:$A$108,0)),"")</x:f>
      </x:c>
      <x:c r="O265" s="59" t="str">
        <x:f>IF(OR($I265="",$J265="",$L265="",$M265=""),"",IF(AND($H265="Sim",$L265=$M265),IF($I265&lt;&gt;$J265,0,IF(AND($I265=$L265,$J265=$M265),2,1)),IF(AND($I265=$L265,$J265=$M265),3,IF(AND($I265&lt;&gt;$J265,$I265=$M265,$J265=$L265),-2,IF(SIGN($I265-$J265)=SIGN($L265-$M265),1,0)))))</x:f>
      </x:c>
      <x:c r="P265" s="59" t="str">
        <x:f>IF(OR($H265&lt;&gt;"Sim",$I265="",$J265="",$L265="",$M265=""),"",IF(AND(IF($I265&gt;$J265,$F265,IF($I265&lt;$J265,$G265,$K265))&lt;&gt;"",IF($L265&gt;$M265,$F265,IF($L265&lt;$M265,$G265,$N265))&lt;&gt;"",IF($I265&gt;$J265,$F265,IF($I265&lt;$J265,$G265,$K265))=IF($L265&gt;$M265,$F265,IF($L265&lt;$M265,$G265,$N265))),1,0))</x:f>
      </x:c>
      <x:c r="Q265" s="59" t="str">
        <x:f>IF($O265="","",$O265+$P265)</x:f>
      </x:c>
      <x:c r="R265" s="59" t="str">
        <x:f>IF($Q265="","",IF($O265=3,"Cravada",IF(AND($H265="Sim",$L265=$M265,$I265=$J265,$O265=2),"Empate cravado",IF($O265=1,"Resultado certo",IF($O265=-2,"Invertida",IF($P265=1,"Acertou quem passa","Erro"))))))</x:f>
      </x:c>
      <x:c r="S265" s="59" t="str">
        <x:f>IF($O265="","",--(OR($O265=3,AND($H265="Sim",$L265=$M265,$I265=$J265,$O265=2))))</x:f>
      </x:c>
      <x:c r="T265" s="59" t="str">
        <x:f>IF($O265="","",--($O265=-2))</x:f>
      </x:c>
      <x:c r="U265" s="59" t="str">
        <x:f>IF($O265="","",--($O265=1))</x:f>
      </x:c>
      <x:c r="V265" s="59" t="n">
        <x:f>--(AND($I265&lt;&gt;"",$J265&lt;&gt;""))</x:f>
        <x:v>0</x:v>
      </x:c>
    </x:row>
    <x:row r="266">
      <x:c r="A266" s="21" t="str">
        <x:f>INDEX(Config!$B$10:$B$16,INT((ROW()-5)/104)+1)</x:f>
        <x:v>Gabriel</x:v>
      </x:c>
      <x:c r="B266" s="21" t="str">
        <x:v>GI6</x:v>
      </x:c>
      <x:c r="C266" s="21" t="n">
        <x:v>54</x:v>
      </x:c>
      <x:c r="D266" s="21" t="str">
        <x:v>Grupo I</x:v>
      </x:c>
      <x:c r="E266" s="21" t="str">
        <x:v>2026-06-26</x:v>
      </x:c>
      <x:c r="F266" s="21" t="str">
        <x:f>IFERROR(INDEX('Resultados'!$G$5:$G$108,MATCH($B266,'Resultados'!$A$5:$A$108,0)),"")</x:f>
        <x:v>Senegal</x:v>
      </x:c>
      <x:c r="G266" s="21" t="str">
        <x:f>IFERROR(INDEX('Resultados'!$J$5:$J$108,MATCH($B266,'Resultados'!$A$5:$A$108,0)),"")</x:f>
        <x:v>Iraque</x:v>
      </x:c>
      <x:c r="H266" s="21" t="str">
        <x:v>Não</x:v>
      </x:c>
      <x:c r="I266" s="22"/>
      <x:c r="J266" s="22"/>
      <x:c r="K266" s="23"/>
      <x:c r="L266" s="21" t="str">
        <x:f>IFERROR(INDEX('Resultados'!$H$5:$H$108,MATCH($B266,'Resultados'!$A$5:$A$108,0)),"")</x:f>
      </x:c>
      <x:c r="M266" s="21" t="str">
        <x:f>IFERROR(INDEX('Resultados'!$I$5:$I$108,MATCH($B266,'Resultados'!$A$5:$A$108,0)),"")</x:f>
      </x:c>
      <x:c r="N266" s="21" t="str">
        <x:f>IFERROR(INDEX('Resultados'!$L$5:$L$108,MATCH($B266,'Resultados'!$A$5:$A$108,0)),"")</x:f>
      </x:c>
      <x:c r="O266" s="59" t="str">
        <x:f>IF(OR($I266="",$J266="",$L266="",$M266=""),"",IF(AND($H266="Sim",$L266=$M266),IF($I266&lt;&gt;$J266,0,IF(AND($I266=$L266,$J266=$M266),2,1)),IF(AND($I266=$L266,$J266=$M266),3,IF(AND($I266&lt;&gt;$J266,$I266=$M266,$J266=$L266),-2,IF(SIGN($I266-$J266)=SIGN($L266-$M266),1,0)))))</x:f>
      </x:c>
      <x:c r="P266" s="59" t="str">
        <x:f>IF(OR($H266&lt;&gt;"Sim",$I266="",$J266="",$L266="",$M266=""),"",IF(AND(IF($I266&gt;$J266,$F266,IF($I266&lt;$J266,$G266,$K266))&lt;&gt;"",IF($L266&gt;$M266,$F266,IF($L266&lt;$M266,$G266,$N266))&lt;&gt;"",IF($I266&gt;$J266,$F266,IF($I266&lt;$J266,$G266,$K266))=IF($L266&gt;$M266,$F266,IF($L266&lt;$M266,$G266,$N266))),1,0))</x:f>
      </x:c>
      <x:c r="Q266" s="59" t="str">
        <x:f>IF($O266="","",$O266+$P266)</x:f>
      </x:c>
      <x:c r="R266" s="59" t="str">
        <x:f>IF($Q266="","",IF($O266=3,"Cravada",IF(AND($H266="Sim",$L266=$M266,$I266=$J266,$O266=2),"Empate cravado",IF($O266=1,"Resultado certo",IF($O266=-2,"Invertida",IF($P266=1,"Acertou quem passa","Erro"))))))</x:f>
      </x:c>
      <x:c r="S266" s="59" t="str">
        <x:f>IF($O266="","",--(OR($O266=3,AND($H266="Sim",$L266=$M266,$I266=$J266,$O266=2))))</x:f>
      </x:c>
      <x:c r="T266" s="59" t="str">
        <x:f>IF($O266="","",--($O266=-2))</x:f>
      </x:c>
      <x:c r="U266" s="59" t="str">
        <x:f>IF($O266="","",--($O266=1))</x:f>
      </x:c>
      <x:c r="V266" s="59" t="n">
        <x:f>--(AND($I266&lt;&gt;"",$J266&lt;&gt;""))</x:f>
        <x:v>0</x:v>
      </x:c>
    </x:row>
    <x:row r="267">
      <x:c r="A267" s="21" t="str">
        <x:f>INDEX(Config!$B$10:$B$16,INT((ROW()-5)/104)+1)</x:f>
        <x:v>Gabriel</x:v>
      </x:c>
      <x:c r="B267" s="21" t="str">
        <x:v>GJ1</x:v>
      </x:c>
      <x:c r="C267" s="21" t="n">
        <x:v>55</x:v>
      </x:c>
      <x:c r="D267" s="21" t="str">
        <x:v>Grupo J</x:v>
      </x:c>
      <x:c r="E267" s="21" t="str">
        <x:v>2026-06-16</x:v>
      </x:c>
      <x:c r="F267" s="21" t="str">
        <x:f>IFERROR(INDEX('Resultados'!$G$5:$G$108,MATCH($B267,'Resultados'!$A$5:$A$108,0)),"")</x:f>
        <x:v>Argentina</x:v>
      </x:c>
      <x:c r="G267" s="21" t="str">
        <x:f>IFERROR(INDEX('Resultados'!$J$5:$J$108,MATCH($B267,'Resultados'!$A$5:$A$108,0)),"")</x:f>
        <x:v>Argélia</x:v>
      </x:c>
      <x:c r="H267" s="21" t="str">
        <x:v>Não</x:v>
      </x:c>
      <x:c r="I267" s="22"/>
      <x:c r="J267" s="22"/>
      <x:c r="K267" s="23"/>
      <x:c r="L267" s="21" t="str">
        <x:f>IFERROR(INDEX('Resultados'!$H$5:$H$108,MATCH($B267,'Resultados'!$A$5:$A$108,0)),"")</x:f>
      </x:c>
      <x:c r="M267" s="21" t="str">
        <x:f>IFERROR(INDEX('Resultados'!$I$5:$I$108,MATCH($B267,'Resultados'!$A$5:$A$108,0)),"")</x:f>
      </x:c>
      <x:c r="N267" s="21" t="str">
        <x:f>IFERROR(INDEX('Resultados'!$L$5:$L$108,MATCH($B267,'Resultados'!$A$5:$A$108,0)),"")</x:f>
      </x:c>
      <x:c r="O267" s="59" t="str">
        <x:f>IF(OR($I267="",$J267="",$L267="",$M267=""),"",IF(AND($H267="Sim",$L267=$M267),IF($I267&lt;&gt;$J267,0,IF(AND($I267=$L267,$J267=$M267),2,1)),IF(AND($I267=$L267,$J267=$M267),3,IF(AND($I267&lt;&gt;$J267,$I267=$M267,$J267=$L267),-2,IF(SIGN($I267-$J267)=SIGN($L267-$M267),1,0)))))</x:f>
      </x:c>
      <x:c r="P267" s="59" t="str">
        <x:f>IF(OR($H267&lt;&gt;"Sim",$I267="",$J267="",$L267="",$M267=""),"",IF(AND(IF($I267&gt;$J267,$F267,IF($I267&lt;$J267,$G267,$K267))&lt;&gt;"",IF($L267&gt;$M267,$F267,IF($L267&lt;$M267,$G267,$N267))&lt;&gt;"",IF($I267&gt;$J267,$F267,IF($I267&lt;$J267,$G267,$K267))=IF($L267&gt;$M267,$F267,IF($L267&lt;$M267,$G267,$N267))),1,0))</x:f>
      </x:c>
      <x:c r="Q267" s="59" t="str">
        <x:f>IF($O267="","",$O267+$P267)</x:f>
      </x:c>
      <x:c r="R267" s="59" t="str">
        <x:f>IF($Q267="","",IF($O267=3,"Cravada",IF(AND($H267="Sim",$L267=$M267,$I267=$J267,$O267=2),"Empate cravado",IF($O267=1,"Resultado certo",IF($O267=-2,"Invertida",IF($P267=1,"Acertou quem passa","Erro"))))))</x:f>
      </x:c>
      <x:c r="S267" s="59" t="str">
        <x:f>IF($O267="","",--(OR($O267=3,AND($H267="Sim",$L267=$M267,$I267=$J267,$O267=2))))</x:f>
      </x:c>
      <x:c r="T267" s="59" t="str">
        <x:f>IF($O267="","",--($O267=-2))</x:f>
      </x:c>
      <x:c r="U267" s="59" t="str">
        <x:f>IF($O267="","",--($O267=1))</x:f>
      </x:c>
      <x:c r="V267" s="59" t="n">
        <x:f>--(AND($I267&lt;&gt;"",$J267&lt;&gt;""))</x:f>
        <x:v>0</x:v>
      </x:c>
    </x:row>
    <x:row r="268">
      <x:c r="A268" s="21" t="str">
        <x:f>INDEX(Config!$B$10:$B$16,INT((ROW()-5)/104)+1)</x:f>
        <x:v>Gabriel</x:v>
      </x:c>
      <x:c r="B268" s="21" t="str">
        <x:v>GJ2</x:v>
      </x:c>
      <x:c r="C268" s="21" t="n">
        <x:v>56</x:v>
      </x:c>
      <x:c r="D268" s="21" t="str">
        <x:v>Grupo J</x:v>
      </x:c>
      <x:c r="E268" s="21" t="str">
        <x:v>2026-06-17</x:v>
      </x:c>
      <x:c r="F268" s="21" t="str">
        <x:f>IFERROR(INDEX('Resultados'!$G$5:$G$108,MATCH($B268,'Resultados'!$A$5:$A$108,0)),"")</x:f>
        <x:v>Áustria</x:v>
      </x:c>
      <x:c r="G268" s="21" t="str">
        <x:f>IFERROR(INDEX('Resultados'!$J$5:$J$108,MATCH($B268,'Resultados'!$A$5:$A$108,0)),"")</x:f>
        <x:v>Jordânia</x:v>
      </x:c>
      <x:c r="H268" s="21" t="str">
        <x:v>Não</x:v>
      </x:c>
      <x:c r="I268" s="22"/>
      <x:c r="J268" s="22"/>
      <x:c r="K268" s="23"/>
      <x:c r="L268" s="21" t="str">
        <x:f>IFERROR(INDEX('Resultados'!$H$5:$H$108,MATCH($B268,'Resultados'!$A$5:$A$108,0)),"")</x:f>
      </x:c>
      <x:c r="M268" s="21" t="str">
        <x:f>IFERROR(INDEX('Resultados'!$I$5:$I$108,MATCH($B268,'Resultados'!$A$5:$A$108,0)),"")</x:f>
      </x:c>
      <x:c r="N268" s="21" t="str">
        <x:f>IFERROR(INDEX('Resultados'!$L$5:$L$108,MATCH($B268,'Resultados'!$A$5:$A$108,0)),"")</x:f>
      </x:c>
      <x:c r="O268" s="59" t="str">
        <x:f>IF(OR($I268="",$J268="",$L268="",$M268=""),"",IF(AND($H268="Sim",$L268=$M268),IF($I268&lt;&gt;$J268,0,IF(AND($I268=$L268,$J268=$M268),2,1)),IF(AND($I268=$L268,$J268=$M268),3,IF(AND($I268&lt;&gt;$J268,$I268=$M268,$J268=$L268),-2,IF(SIGN($I268-$J268)=SIGN($L268-$M268),1,0)))))</x:f>
      </x:c>
      <x:c r="P268" s="59" t="str">
        <x:f>IF(OR($H268&lt;&gt;"Sim",$I268="",$J268="",$L268="",$M268=""),"",IF(AND(IF($I268&gt;$J268,$F268,IF($I268&lt;$J268,$G268,$K268))&lt;&gt;"",IF($L268&gt;$M268,$F268,IF($L268&lt;$M268,$G268,$N268))&lt;&gt;"",IF($I268&gt;$J268,$F268,IF($I268&lt;$J268,$G268,$K268))=IF($L268&gt;$M268,$F268,IF($L268&lt;$M268,$G268,$N268))),1,0))</x:f>
      </x:c>
      <x:c r="Q268" s="59" t="str">
        <x:f>IF($O268="","",$O268+$P268)</x:f>
      </x:c>
      <x:c r="R268" s="59" t="str">
        <x:f>IF($Q268="","",IF($O268=3,"Cravada",IF(AND($H268="Sim",$L268=$M268,$I268=$J268,$O268=2),"Empate cravado",IF($O268=1,"Resultado certo",IF($O268=-2,"Invertida",IF($P268=1,"Acertou quem passa","Erro"))))))</x:f>
      </x:c>
      <x:c r="S268" s="59" t="str">
        <x:f>IF($O268="","",--(OR($O268=3,AND($H268="Sim",$L268=$M268,$I268=$J268,$O268=2))))</x:f>
      </x:c>
      <x:c r="T268" s="59" t="str">
        <x:f>IF($O268="","",--($O268=-2))</x:f>
      </x:c>
      <x:c r="U268" s="59" t="str">
        <x:f>IF($O268="","",--($O268=1))</x:f>
      </x:c>
      <x:c r="V268" s="59" t="n">
        <x:f>--(AND($I268&lt;&gt;"",$J268&lt;&gt;""))</x:f>
        <x:v>0</x:v>
      </x:c>
    </x:row>
    <x:row r="269">
      <x:c r="A269" s="21" t="str">
        <x:f>INDEX(Config!$B$10:$B$16,INT((ROW()-5)/104)+1)</x:f>
        <x:v>Gabriel</x:v>
      </x:c>
      <x:c r="B269" s="21" t="str">
        <x:v>GJ3</x:v>
      </x:c>
      <x:c r="C269" s="21" t="n">
        <x:v>57</x:v>
      </x:c>
      <x:c r="D269" s="21" t="str">
        <x:v>Grupo J</x:v>
      </x:c>
      <x:c r="E269" s="21" t="str">
        <x:v>2026-06-22</x:v>
      </x:c>
      <x:c r="F269" s="21" t="str">
        <x:f>IFERROR(INDEX('Resultados'!$G$5:$G$108,MATCH($B269,'Resultados'!$A$5:$A$108,0)),"")</x:f>
        <x:v>Argentina</x:v>
      </x:c>
      <x:c r="G269" s="21" t="str">
        <x:f>IFERROR(INDEX('Resultados'!$J$5:$J$108,MATCH($B269,'Resultados'!$A$5:$A$108,0)),"")</x:f>
        <x:v>Áustria</x:v>
      </x:c>
      <x:c r="H269" s="21" t="str">
        <x:v>Não</x:v>
      </x:c>
      <x:c r="I269" s="22"/>
      <x:c r="J269" s="22"/>
      <x:c r="K269" s="23"/>
      <x:c r="L269" s="21" t="str">
        <x:f>IFERROR(INDEX('Resultados'!$H$5:$H$108,MATCH($B269,'Resultados'!$A$5:$A$108,0)),"")</x:f>
      </x:c>
      <x:c r="M269" s="21" t="str">
        <x:f>IFERROR(INDEX('Resultados'!$I$5:$I$108,MATCH($B269,'Resultados'!$A$5:$A$108,0)),"")</x:f>
      </x:c>
      <x:c r="N269" s="21" t="str">
        <x:f>IFERROR(INDEX('Resultados'!$L$5:$L$108,MATCH($B269,'Resultados'!$A$5:$A$108,0)),"")</x:f>
      </x:c>
      <x:c r="O269" s="59" t="str">
        <x:f>IF(OR($I269="",$J269="",$L269="",$M269=""),"",IF(AND($H269="Sim",$L269=$M269),IF($I269&lt;&gt;$J269,0,IF(AND($I269=$L269,$J269=$M269),2,1)),IF(AND($I269=$L269,$J269=$M269),3,IF(AND($I269&lt;&gt;$J269,$I269=$M269,$J269=$L269),-2,IF(SIGN($I269-$J269)=SIGN($L269-$M269),1,0)))))</x:f>
      </x:c>
      <x:c r="P269" s="59" t="str">
        <x:f>IF(OR($H269&lt;&gt;"Sim",$I269="",$J269="",$L269="",$M269=""),"",IF(AND(IF($I269&gt;$J269,$F269,IF($I269&lt;$J269,$G269,$K269))&lt;&gt;"",IF($L269&gt;$M269,$F269,IF($L269&lt;$M269,$G269,$N269))&lt;&gt;"",IF($I269&gt;$J269,$F269,IF($I269&lt;$J269,$G269,$K269))=IF($L269&gt;$M269,$F269,IF($L269&lt;$M269,$G269,$N269))),1,0))</x:f>
      </x:c>
      <x:c r="Q269" s="59" t="str">
        <x:f>IF($O269="","",$O269+$P269)</x:f>
      </x:c>
      <x:c r="R269" s="59" t="str">
        <x:f>IF($Q269="","",IF($O269=3,"Cravada",IF(AND($H269="Sim",$L269=$M269,$I269=$J269,$O269=2),"Empate cravado",IF($O269=1,"Resultado certo",IF($O269=-2,"Invertida",IF($P269=1,"Acertou quem passa","Erro"))))))</x:f>
      </x:c>
      <x:c r="S269" s="59" t="str">
        <x:f>IF($O269="","",--(OR($O269=3,AND($H269="Sim",$L269=$M269,$I269=$J269,$O269=2))))</x:f>
      </x:c>
      <x:c r="T269" s="59" t="str">
        <x:f>IF($O269="","",--($O269=-2))</x:f>
      </x:c>
      <x:c r="U269" s="59" t="str">
        <x:f>IF($O269="","",--($O269=1))</x:f>
      </x:c>
      <x:c r="V269" s="59" t="n">
        <x:f>--(AND($I269&lt;&gt;"",$J269&lt;&gt;""))</x:f>
        <x:v>0</x:v>
      </x:c>
    </x:row>
    <x:row r="270">
      <x:c r="A270" s="21" t="str">
        <x:f>INDEX(Config!$B$10:$B$16,INT((ROW()-5)/104)+1)</x:f>
        <x:v>Gabriel</x:v>
      </x:c>
      <x:c r="B270" s="21" t="str">
        <x:v>GJ4</x:v>
      </x:c>
      <x:c r="C270" s="21" t="n">
        <x:v>58</x:v>
      </x:c>
      <x:c r="D270" s="21" t="str">
        <x:v>Grupo J</x:v>
      </x:c>
      <x:c r="E270" s="21" t="str">
        <x:v>2026-06-23</x:v>
      </x:c>
      <x:c r="F270" s="21" t="str">
        <x:f>IFERROR(INDEX('Resultados'!$G$5:$G$108,MATCH($B270,'Resultados'!$A$5:$A$108,0)),"")</x:f>
        <x:v>Argélia</x:v>
      </x:c>
      <x:c r="G270" s="21" t="str">
        <x:f>IFERROR(INDEX('Resultados'!$J$5:$J$108,MATCH($B270,'Resultados'!$A$5:$A$108,0)),"")</x:f>
        <x:v>Jordânia</x:v>
      </x:c>
      <x:c r="H270" s="21" t="str">
        <x:v>Não</x:v>
      </x:c>
      <x:c r="I270" s="22"/>
      <x:c r="J270" s="22"/>
      <x:c r="K270" s="23"/>
      <x:c r="L270" s="21" t="str">
        <x:f>IFERROR(INDEX('Resultados'!$H$5:$H$108,MATCH($B270,'Resultados'!$A$5:$A$108,0)),"")</x:f>
      </x:c>
      <x:c r="M270" s="21" t="str">
        <x:f>IFERROR(INDEX('Resultados'!$I$5:$I$108,MATCH($B270,'Resultados'!$A$5:$A$108,0)),"")</x:f>
      </x:c>
      <x:c r="N270" s="21" t="str">
        <x:f>IFERROR(INDEX('Resultados'!$L$5:$L$108,MATCH($B270,'Resultados'!$A$5:$A$108,0)),"")</x:f>
      </x:c>
      <x:c r="O270" s="59" t="str">
        <x:f>IF(OR($I270="",$J270="",$L270="",$M270=""),"",IF(AND($H270="Sim",$L270=$M270),IF($I270&lt;&gt;$J270,0,IF(AND($I270=$L270,$J270=$M270),2,1)),IF(AND($I270=$L270,$J270=$M270),3,IF(AND($I270&lt;&gt;$J270,$I270=$M270,$J270=$L270),-2,IF(SIGN($I270-$J270)=SIGN($L270-$M270),1,0)))))</x:f>
      </x:c>
      <x:c r="P270" s="59" t="str">
        <x:f>IF(OR($H270&lt;&gt;"Sim",$I270="",$J270="",$L270="",$M270=""),"",IF(AND(IF($I270&gt;$J270,$F270,IF($I270&lt;$J270,$G270,$K270))&lt;&gt;"",IF($L270&gt;$M270,$F270,IF($L270&lt;$M270,$G270,$N270))&lt;&gt;"",IF($I270&gt;$J270,$F270,IF($I270&lt;$J270,$G270,$K270))=IF($L270&gt;$M270,$F270,IF($L270&lt;$M270,$G270,$N270))),1,0))</x:f>
      </x:c>
      <x:c r="Q270" s="59" t="str">
        <x:f>IF($O270="","",$O270+$P270)</x:f>
      </x:c>
      <x:c r="R270" s="59" t="str">
        <x:f>IF($Q270="","",IF($O270=3,"Cravada",IF(AND($H270="Sim",$L270=$M270,$I270=$J270,$O270=2),"Empate cravado",IF($O270=1,"Resultado certo",IF($O270=-2,"Invertida",IF($P270=1,"Acertou quem passa","Erro"))))))</x:f>
      </x:c>
      <x:c r="S270" s="59" t="str">
        <x:f>IF($O270="","",--(OR($O270=3,AND($H270="Sim",$L270=$M270,$I270=$J270,$O270=2))))</x:f>
      </x:c>
      <x:c r="T270" s="59" t="str">
        <x:f>IF($O270="","",--($O270=-2))</x:f>
      </x:c>
      <x:c r="U270" s="59" t="str">
        <x:f>IF($O270="","",--($O270=1))</x:f>
      </x:c>
      <x:c r="V270" s="59" t="n">
        <x:f>--(AND($I270&lt;&gt;"",$J270&lt;&gt;""))</x:f>
        <x:v>0</x:v>
      </x:c>
    </x:row>
    <x:row r="271">
      <x:c r="A271" s="21" t="str">
        <x:f>INDEX(Config!$B$10:$B$16,INT((ROW()-5)/104)+1)</x:f>
        <x:v>Gabriel</x:v>
      </x:c>
      <x:c r="B271" s="21" t="str">
        <x:v>GJ5</x:v>
      </x:c>
      <x:c r="C271" s="21" t="n">
        <x:v>59</x:v>
      </x:c>
      <x:c r="D271" s="21" t="str">
        <x:v>Grupo J</x:v>
      </x:c>
      <x:c r="E271" s="21" t="str">
        <x:v>2026-06-27</x:v>
      </x:c>
      <x:c r="F271" s="21" t="str">
        <x:f>IFERROR(INDEX('Resultados'!$G$5:$G$108,MATCH($B271,'Resultados'!$A$5:$A$108,0)),"")</x:f>
        <x:v>Argentina</x:v>
      </x:c>
      <x:c r="G271" s="21" t="str">
        <x:f>IFERROR(INDEX('Resultados'!$J$5:$J$108,MATCH($B271,'Resultados'!$A$5:$A$108,0)),"")</x:f>
        <x:v>Jordânia</x:v>
      </x:c>
      <x:c r="H271" s="21" t="str">
        <x:v>Não</x:v>
      </x:c>
      <x:c r="I271" s="22"/>
      <x:c r="J271" s="22"/>
      <x:c r="K271" s="23"/>
      <x:c r="L271" s="21" t="str">
        <x:f>IFERROR(INDEX('Resultados'!$H$5:$H$108,MATCH($B271,'Resultados'!$A$5:$A$108,0)),"")</x:f>
      </x:c>
      <x:c r="M271" s="21" t="str">
        <x:f>IFERROR(INDEX('Resultados'!$I$5:$I$108,MATCH($B271,'Resultados'!$A$5:$A$108,0)),"")</x:f>
      </x:c>
      <x:c r="N271" s="21" t="str">
        <x:f>IFERROR(INDEX('Resultados'!$L$5:$L$108,MATCH($B271,'Resultados'!$A$5:$A$108,0)),"")</x:f>
      </x:c>
      <x:c r="O271" s="59" t="str">
        <x:f>IF(OR($I271="",$J271="",$L271="",$M271=""),"",IF(AND($H271="Sim",$L271=$M271),IF($I271&lt;&gt;$J271,0,IF(AND($I271=$L271,$J271=$M271),2,1)),IF(AND($I271=$L271,$J271=$M271),3,IF(AND($I271&lt;&gt;$J271,$I271=$M271,$J271=$L271),-2,IF(SIGN($I271-$J271)=SIGN($L271-$M271),1,0)))))</x:f>
      </x:c>
      <x:c r="P271" s="59" t="str">
        <x:f>IF(OR($H271&lt;&gt;"Sim",$I271="",$J271="",$L271="",$M271=""),"",IF(AND(IF($I271&gt;$J271,$F271,IF($I271&lt;$J271,$G271,$K271))&lt;&gt;"",IF($L271&gt;$M271,$F271,IF($L271&lt;$M271,$G271,$N271))&lt;&gt;"",IF($I271&gt;$J271,$F271,IF($I271&lt;$J271,$G271,$K271))=IF($L271&gt;$M271,$F271,IF($L271&lt;$M271,$G271,$N271))),1,0))</x:f>
      </x:c>
      <x:c r="Q271" s="59" t="str">
        <x:f>IF($O271="","",$O271+$P271)</x:f>
      </x:c>
      <x:c r="R271" s="59" t="str">
        <x:f>IF($Q271="","",IF($O271=3,"Cravada",IF(AND($H271="Sim",$L271=$M271,$I271=$J271,$O271=2),"Empate cravado",IF($O271=1,"Resultado certo",IF($O271=-2,"Invertida",IF($P271=1,"Acertou quem passa","Erro"))))))</x:f>
      </x:c>
      <x:c r="S271" s="59" t="str">
        <x:f>IF($O271="","",--(OR($O271=3,AND($H271="Sim",$L271=$M271,$I271=$J271,$O271=2))))</x:f>
      </x:c>
      <x:c r="T271" s="59" t="str">
        <x:f>IF($O271="","",--($O271=-2))</x:f>
      </x:c>
      <x:c r="U271" s="59" t="str">
        <x:f>IF($O271="","",--($O271=1))</x:f>
      </x:c>
      <x:c r="V271" s="59" t="n">
        <x:f>--(AND($I271&lt;&gt;"",$J271&lt;&gt;""))</x:f>
        <x:v>0</x:v>
      </x:c>
    </x:row>
    <x:row r="272">
      <x:c r="A272" s="21" t="str">
        <x:f>INDEX(Config!$B$10:$B$16,INT((ROW()-5)/104)+1)</x:f>
        <x:v>Gabriel</x:v>
      </x:c>
      <x:c r="B272" s="21" t="str">
        <x:v>GJ6</x:v>
      </x:c>
      <x:c r="C272" s="21" t="n">
        <x:v>60</x:v>
      </x:c>
      <x:c r="D272" s="21" t="str">
        <x:v>Grupo J</x:v>
      </x:c>
      <x:c r="E272" s="21" t="str">
        <x:v>2026-06-27</x:v>
      </x:c>
      <x:c r="F272" s="21" t="str">
        <x:f>IFERROR(INDEX('Resultados'!$G$5:$G$108,MATCH($B272,'Resultados'!$A$5:$A$108,0)),"")</x:f>
        <x:v>Argélia</x:v>
      </x:c>
      <x:c r="G272" s="21" t="str">
        <x:f>IFERROR(INDEX('Resultados'!$J$5:$J$108,MATCH($B272,'Resultados'!$A$5:$A$108,0)),"")</x:f>
        <x:v>Áustria</x:v>
      </x:c>
      <x:c r="H272" s="21" t="str">
        <x:v>Não</x:v>
      </x:c>
      <x:c r="I272" s="22"/>
      <x:c r="J272" s="22"/>
      <x:c r="K272" s="23"/>
      <x:c r="L272" s="21" t="str">
        <x:f>IFERROR(INDEX('Resultados'!$H$5:$H$108,MATCH($B272,'Resultados'!$A$5:$A$108,0)),"")</x:f>
      </x:c>
      <x:c r="M272" s="21" t="str">
        <x:f>IFERROR(INDEX('Resultados'!$I$5:$I$108,MATCH($B272,'Resultados'!$A$5:$A$108,0)),"")</x:f>
      </x:c>
      <x:c r="N272" s="21" t="str">
        <x:f>IFERROR(INDEX('Resultados'!$L$5:$L$108,MATCH($B272,'Resultados'!$A$5:$A$108,0)),"")</x:f>
      </x:c>
      <x:c r="O272" s="59" t="str">
        <x:f>IF(OR($I272="",$J272="",$L272="",$M272=""),"",IF(AND($H272="Sim",$L272=$M272),IF($I272&lt;&gt;$J272,0,IF(AND($I272=$L272,$J272=$M272),2,1)),IF(AND($I272=$L272,$J272=$M272),3,IF(AND($I272&lt;&gt;$J272,$I272=$M272,$J272=$L272),-2,IF(SIGN($I272-$J272)=SIGN($L272-$M272),1,0)))))</x:f>
      </x:c>
      <x:c r="P272" s="59" t="str">
        <x:f>IF(OR($H272&lt;&gt;"Sim",$I272="",$J272="",$L272="",$M272=""),"",IF(AND(IF($I272&gt;$J272,$F272,IF($I272&lt;$J272,$G272,$K272))&lt;&gt;"",IF($L272&gt;$M272,$F272,IF($L272&lt;$M272,$G272,$N272))&lt;&gt;"",IF($I272&gt;$J272,$F272,IF($I272&lt;$J272,$G272,$K272))=IF($L272&gt;$M272,$F272,IF($L272&lt;$M272,$G272,$N272))),1,0))</x:f>
      </x:c>
      <x:c r="Q272" s="59" t="str">
        <x:f>IF($O272="","",$O272+$P272)</x:f>
      </x:c>
      <x:c r="R272" s="59" t="str">
        <x:f>IF($Q272="","",IF($O272=3,"Cravada",IF(AND($H272="Sim",$L272=$M272,$I272=$J272,$O272=2),"Empate cravado",IF($O272=1,"Resultado certo",IF($O272=-2,"Invertida",IF($P272=1,"Acertou quem passa","Erro"))))))</x:f>
      </x:c>
      <x:c r="S272" s="59" t="str">
        <x:f>IF($O272="","",--(OR($O272=3,AND($H272="Sim",$L272=$M272,$I272=$J272,$O272=2))))</x:f>
      </x:c>
      <x:c r="T272" s="59" t="str">
        <x:f>IF($O272="","",--($O272=-2))</x:f>
      </x:c>
      <x:c r="U272" s="59" t="str">
        <x:f>IF($O272="","",--($O272=1))</x:f>
      </x:c>
      <x:c r="V272" s="59" t="n">
        <x:f>--(AND($I272&lt;&gt;"",$J272&lt;&gt;""))</x:f>
        <x:v>0</x:v>
      </x:c>
    </x:row>
    <x:row r="273">
      <x:c r="A273" s="21" t="str">
        <x:f>INDEX(Config!$B$10:$B$16,INT((ROW()-5)/104)+1)</x:f>
        <x:v>Gabriel</x:v>
      </x:c>
      <x:c r="B273" s="21" t="str">
        <x:v>GK1</x:v>
      </x:c>
      <x:c r="C273" s="21" t="n">
        <x:v>61</x:v>
      </x:c>
      <x:c r="D273" s="21" t="str">
        <x:v>Grupo K</x:v>
      </x:c>
      <x:c r="E273" s="21" t="str">
        <x:v>2026-06-17</x:v>
      </x:c>
      <x:c r="F273" s="21" t="str">
        <x:f>IFERROR(INDEX('Resultados'!$G$5:$G$108,MATCH($B273,'Resultados'!$A$5:$A$108,0)),"")</x:f>
        <x:v>Portugal</x:v>
      </x:c>
      <x:c r="G273" s="21" t="str">
        <x:f>IFERROR(INDEX('Resultados'!$J$5:$J$108,MATCH($B273,'Resultados'!$A$5:$A$108,0)),"")</x:f>
        <x:v>Rep. D. do Congo</x:v>
      </x:c>
      <x:c r="H273" s="21" t="str">
        <x:v>Não</x:v>
      </x:c>
      <x:c r="I273" s="22"/>
      <x:c r="J273" s="22"/>
      <x:c r="K273" s="23"/>
      <x:c r="L273" s="21" t="str">
        <x:f>IFERROR(INDEX('Resultados'!$H$5:$H$108,MATCH($B273,'Resultados'!$A$5:$A$108,0)),"")</x:f>
      </x:c>
      <x:c r="M273" s="21" t="str">
        <x:f>IFERROR(INDEX('Resultados'!$I$5:$I$108,MATCH($B273,'Resultados'!$A$5:$A$108,0)),"")</x:f>
      </x:c>
      <x:c r="N273" s="21" t="str">
        <x:f>IFERROR(INDEX('Resultados'!$L$5:$L$108,MATCH($B273,'Resultados'!$A$5:$A$108,0)),"")</x:f>
      </x:c>
      <x:c r="O273" s="59" t="str">
        <x:f>IF(OR($I273="",$J273="",$L273="",$M273=""),"",IF(AND($H273="Sim",$L273=$M273),IF($I273&lt;&gt;$J273,0,IF(AND($I273=$L273,$J273=$M273),2,1)),IF(AND($I273=$L273,$J273=$M273),3,IF(AND($I273&lt;&gt;$J273,$I273=$M273,$J273=$L273),-2,IF(SIGN($I273-$J273)=SIGN($L273-$M273),1,0)))))</x:f>
      </x:c>
      <x:c r="P273" s="59" t="str">
        <x:f>IF(OR($H273&lt;&gt;"Sim",$I273="",$J273="",$L273="",$M273=""),"",IF(AND(IF($I273&gt;$J273,$F273,IF($I273&lt;$J273,$G273,$K273))&lt;&gt;"",IF($L273&gt;$M273,$F273,IF($L273&lt;$M273,$G273,$N273))&lt;&gt;"",IF($I273&gt;$J273,$F273,IF($I273&lt;$J273,$G273,$K273))=IF($L273&gt;$M273,$F273,IF($L273&lt;$M273,$G273,$N273))),1,0))</x:f>
      </x:c>
      <x:c r="Q273" s="59" t="str">
        <x:f>IF($O273="","",$O273+$P273)</x:f>
      </x:c>
      <x:c r="R273" s="59" t="str">
        <x:f>IF($Q273="","",IF($O273=3,"Cravada",IF(AND($H273="Sim",$L273=$M273,$I273=$J273,$O273=2),"Empate cravado",IF($O273=1,"Resultado certo",IF($O273=-2,"Invertida",IF($P273=1,"Acertou quem passa","Erro"))))))</x:f>
      </x:c>
      <x:c r="S273" s="59" t="str">
        <x:f>IF($O273="","",--(OR($O273=3,AND($H273="Sim",$L273=$M273,$I273=$J273,$O273=2))))</x:f>
      </x:c>
      <x:c r="T273" s="59" t="str">
        <x:f>IF($O273="","",--($O273=-2))</x:f>
      </x:c>
      <x:c r="U273" s="59" t="str">
        <x:f>IF($O273="","",--($O273=1))</x:f>
      </x:c>
      <x:c r="V273" s="59" t="n">
        <x:f>--(AND($I273&lt;&gt;"",$J273&lt;&gt;""))</x:f>
        <x:v>0</x:v>
      </x:c>
    </x:row>
    <x:row r="274">
      <x:c r="A274" s="21" t="str">
        <x:f>INDEX(Config!$B$10:$B$16,INT((ROW()-5)/104)+1)</x:f>
        <x:v>Gabriel</x:v>
      </x:c>
      <x:c r="B274" s="21" t="str">
        <x:v>GK2</x:v>
      </x:c>
      <x:c r="C274" s="21" t="n">
        <x:v>62</x:v>
      </x:c>
      <x:c r="D274" s="21" t="str">
        <x:v>Grupo K</x:v>
      </x:c>
      <x:c r="E274" s="21" t="str">
        <x:v>2026-06-17</x:v>
      </x:c>
      <x:c r="F274" s="21" t="str">
        <x:f>IFERROR(INDEX('Resultados'!$G$5:$G$108,MATCH($B274,'Resultados'!$A$5:$A$108,0)),"")</x:f>
        <x:v>Uzbequistão</x:v>
      </x:c>
      <x:c r="G274" s="21" t="str">
        <x:f>IFERROR(INDEX('Resultados'!$J$5:$J$108,MATCH($B274,'Resultados'!$A$5:$A$108,0)),"")</x:f>
        <x:v>Colômbia</x:v>
      </x:c>
      <x:c r="H274" s="21" t="str">
        <x:v>Não</x:v>
      </x:c>
      <x:c r="I274" s="22"/>
      <x:c r="J274" s="22"/>
      <x:c r="K274" s="23"/>
      <x:c r="L274" s="21" t="str">
        <x:f>IFERROR(INDEX('Resultados'!$H$5:$H$108,MATCH($B274,'Resultados'!$A$5:$A$108,0)),"")</x:f>
      </x:c>
      <x:c r="M274" s="21" t="str">
        <x:f>IFERROR(INDEX('Resultados'!$I$5:$I$108,MATCH($B274,'Resultados'!$A$5:$A$108,0)),"")</x:f>
      </x:c>
      <x:c r="N274" s="21" t="str">
        <x:f>IFERROR(INDEX('Resultados'!$L$5:$L$108,MATCH($B274,'Resultados'!$A$5:$A$108,0)),"")</x:f>
      </x:c>
      <x:c r="O274" s="59" t="str">
        <x:f>IF(OR($I274="",$J274="",$L274="",$M274=""),"",IF(AND($H274="Sim",$L274=$M274),IF($I274&lt;&gt;$J274,0,IF(AND($I274=$L274,$J274=$M274),2,1)),IF(AND($I274=$L274,$J274=$M274),3,IF(AND($I274&lt;&gt;$J274,$I274=$M274,$J274=$L274),-2,IF(SIGN($I274-$J274)=SIGN($L274-$M274),1,0)))))</x:f>
      </x:c>
      <x:c r="P274" s="59" t="str">
        <x:f>IF(OR($H274&lt;&gt;"Sim",$I274="",$J274="",$L274="",$M274=""),"",IF(AND(IF($I274&gt;$J274,$F274,IF($I274&lt;$J274,$G274,$K274))&lt;&gt;"",IF($L274&gt;$M274,$F274,IF($L274&lt;$M274,$G274,$N274))&lt;&gt;"",IF($I274&gt;$J274,$F274,IF($I274&lt;$J274,$G274,$K274))=IF($L274&gt;$M274,$F274,IF($L274&lt;$M274,$G274,$N274))),1,0))</x:f>
      </x:c>
      <x:c r="Q274" s="59" t="str">
        <x:f>IF($O274="","",$O274+$P274)</x:f>
      </x:c>
      <x:c r="R274" s="59" t="str">
        <x:f>IF($Q274="","",IF($O274=3,"Cravada",IF(AND($H274="Sim",$L274=$M274,$I274=$J274,$O274=2),"Empate cravado",IF($O274=1,"Resultado certo",IF($O274=-2,"Invertida",IF($P274=1,"Acertou quem passa","Erro"))))))</x:f>
      </x:c>
      <x:c r="S274" s="59" t="str">
        <x:f>IF($O274="","",--(OR($O274=3,AND($H274="Sim",$L274=$M274,$I274=$J274,$O274=2))))</x:f>
      </x:c>
      <x:c r="T274" s="59" t="str">
        <x:f>IF($O274="","",--($O274=-2))</x:f>
      </x:c>
      <x:c r="U274" s="59" t="str">
        <x:f>IF($O274="","",--($O274=1))</x:f>
      </x:c>
      <x:c r="V274" s="59" t="n">
        <x:f>--(AND($I274&lt;&gt;"",$J274&lt;&gt;""))</x:f>
        <x:v>0</x:v>
      </x:c>
    </x:row>
    <x:row r="275">
      <x:c r="A275" s="21" t="str">
        <x:f>INDEX(Config!$B$10:$B$16,INT((ROW()-5)/104)+1)</x:f>
        <x:v>Gabriel</x:v>
      </x:c>
      <x:c r="B275" s="21" t="str">
        <x:v>GK3</x:v>
      </x:c>
      <x:c r="C275" s="21" t="n">
        <x:v>63</x:v>
      </x:c>
      <x:c r="D275" s="21" t="str">
        <x:v>Grupo K</x:v>
      </x:c>
      <x:c r="E275" s="21" t="str">
        <x:v>2026-06-23</x:v>
      </x:c>
      <x:c r="F275" s="21" t="str">
        <x:f>IFERROR(INDEX('Resultados'!$G$5:$G$108,MATCH($B275,'Resultados'!$A$5:$A$108,0)),"")</x:f>
        <x:v>Portugal</x:v>
      </x:c>
      <x:c r="G275" s="21" t="str">
        <x:f>IFERROR(INDEX('Resultados'!$J$5:$J$108,MATCH($B275,'Resultados'!$A$5:$A$108,0)),"")</x:f>
        <x:v>Uzbequistão</x:v>
      </x:c>
      <x:c r="H275" s="21" t="str">
        <x:v>Não</x:v>
      </x:c>
      <x:c r="I275" s="22"/>
      <x:c r="J275" s="22"/>
      <x:c r="K275" s="23"/>
      <x:c r="L275" s="21" t="str">
        <x:f>IFERROR(INDEX('Resultados'!$H$5:$H$108,MATCH($B275,'Resultados'!$A$5:$A$108,0)),"")</x:f>
      </x:c>
      <x:c r="M275" s="21" t="str">
        <x:f>IFERROR(INDEX('Resultados'!$I$5:$I$108,MATCH($B275,'Resultados'!$A$5:$A$108,0)),"")</x:f>
      </x:c>
      <x:c r="N275" s="21" t="str">
        <x:f>IFERROR(INDEX('Resultados'!$L$5:$L$108,MATCH($B275,'Resultados'!$A$5:$A$108,0)),"")</x:f>
      </x:c>
      <x:c r="O275" s="59" t="str">
        <x:f>IF(OR($I275="",$J275="",$L275="",$M275=""),"",IF(AND($H275="Sim",$L275=$M275),IF($I275&lt;&gt;$J275,0,IF(AND($I275=$L275,$J275=$M275),2,1)),IF(AND($I275=$L275,$J275=$M275),3,IF(AND($I275&lt;&gt;$J275,$I275=$M275,$J275=$L275),-2,IF(SIGN($I275-$J275)=SIGN($L275-$M275),1,0)))))</x:f>
      </x:c>
      <x:c r="P275" s="59" t="str">
        <x:f>IF(OR($H275&lt;&gt;"Sim",$I275="",$J275="",$L275="",$M275=""),"",IF(AND(IF($I275&gt;$J275,$F275,IF($I275&lt;$J275,$G275,$K275))&lt;&gt;"",IF($L275&gt;$M275,$F275,IF($L275&lt;$M275,$G275,$N275))&lt;&gt;"",IF($I275&gt;$J275,$F275,IF($I275&lt;$J275,$G275,$K275))=IF($L275&gt;$M275,$F275,IF($L275&lt;$M275,$G275,$N275))),1,0))</x:f>
      </x:c>
      <x:c r="Q275" s="59" t="str">
        <x:f>IF($O275="","",$O275+$P275)</x:f>
      </x:c>
      <x:c r="R275" s="59" t="str">
        <x:f>IF($Q275="","",IF($O275=3,"Cravada",IF(AND($H275="Sim",$L275=$M275,$I275=$J275,$O275=2),"Empate cravado",IF($O275=1,"Resultado certo",IF($O275=-2,"Invertida",IF($P275=1,"Acertou quem passa","Erro"))))))</x:f>
      </x:c>
      <x:c r="S275" s="59" t="str">
        <x:f>IF($O275="","",--(OR($O275=3,AND($H275="Sim",$L275=$M275,$I275=$J275,$O275=2))))</x:f>
      </x:c>
      <x:c r="T275" s="59" t="str">
        <x:f>IF($O275="","",--($O275=-2))</x:f>
      </x:c>
      <x:c r="U275" s="59" t="str">
        <x:f>IF($O275="","",--($O275=1))</x:f>
      </x:c>
      <x:c r="V275" s="59" t="n">
        <x:f>--(AND($I275&lt;&gt;"",$J275&lt;&gt;""))</x:f>
        <x:v>0</x:v>
      </x:c>
    </x:row>
    <x:row r="276">
      <x:c r="A276" s="21" t="str">
        <x:f>INDEX(Config!$B$10:$B$16,INT((ROW()-5)/104)+1)</x:f>
        <x:v>Gabriel</x:v>
      </x:c>
      <x:c r="B276" s="21" t="str">
        <x:v>GK4</x:v>
      </x:c>
      <x:c r="C276" s="21" t="n">
        <x:v>64</x:v>
      </x:c>
      <x:c r="D276" s="21" t="str">
        <x:v>Grupo K</x:v>
      </x:c>
      <x:c r="E276" s="21" t="str">
        <x:v>2026-06-23</x:v>
      </x:c>
      <x:c r="F276" s="21" t="str">
        <x:f>IFERROR(INDEX('Resultados'!$G$5:$G$108,MATCH($B276,'Resultados'!$A$5:$A$108,0)),"")</x:f>
        <x:v>Rep. D. do Congo</x:v>
      </x:c>
      <x:c r="G276" s="21" t="str">
        <x:f>IFERROR(INDEX('Resultados'!$J$5:$J$108,MATCH($B276,'Resultados'!$A$5:$A$108,0)),"")</x:f>
        <x:v>Colômbia</x:v>
      </x:c>
      <x:c r="H276" s="21" t="str">
        <x:v>Não</x:v>
      </x:c>
      <x:c r="I276" s="22"/>
      <x:c r="J276" s="22"/>
      <x:c r="K276" s="23"/>
      <x:c r="L276" s="21" t="str">
        <x:f>IFERROR(INDEX('Resultados'!$H$5:$H$108,MATCH($B276,'Resultados'!$A$5:$A$108,0)),"")</x:f>
      </x:c>
      <x:c r="M276" s="21" t="str">
        <x:f>IFERROR(INDEX('Resultados'!$I$5:$I$108,MATCH($B276,'Resultados'!$A$5:$A$108,0)),"")</x:f>
      </x:c>
      <x:c r="N276" s="21" t="str">
        <x:f>IFERROR(INDEX('Resultados'!$L$5:$L$108,MATCH($B276,'Resultados'!$A$5:$A$108,0)),"")</x:f>
      </x:c>
      <x:c r="O276" s="59" t="str">
        <x:f>IF(OR($I276="",$J276="",$L276="",$M276=""),"",IF(AND($H276="Sim",$L276=$M276),IF($I276&lt;&gt;$J276,0,IF(AND($I276=$L276,$J276=$M276),2,1)),IF(AND($I276=$L276,$J276=$M276),3,IF(AND($I276&lt;&gt;$J276,$I276=$M276,$J276=$L276),-2,IF(SIGN($I276-$J276)=SIGN($L276-$M276),1,0)))))</x:f>
      </x:c>
      <x:c r="P276" s="59" t="str">
        <x:f>IF(OR($H276&lt;&gt;"Sim",$I276="",$J276="",$L276="",$M276=""),"",IF(AND(IF($I276&gt;$J276,$F276,IF($I276&lt;$J276,$G276,$K276))&lt;&gt;"",IF($L276&gt;$M276,$F276,IF($L276&lt;$M276,$G276,$N276))&lt;&gt;"",IF($I276&gt;$J276,$F276,IF($I276&lt;$J276,$G276,$K276))=IF($L276&gt;$M276,$F276,IF($L276&lt;$M276,$G276,$N276))),1,0))</x:f>
      </x:c>
      <x:c r="Q276" s="59" t="str">
        <x:f>IF($O276="","",$O276+$P276)</x:f>
      </x:c>
      <x:c r="R276" s="59" t="str">
        <x:f>IF($Q276="","",IF($O276=3,"Cravada",IF(AND($H276="Sim",$L276=$M276,$I276=$J276,$O276=2),"Empate cravado",IF($O276=1,"Resultado certo",IF($O276=-2,"Invertida",IF($P276=1,"Acertou quem passa","Erro"))))))</x:f>
      </x:c>
      <x:c r="S276" s="59" t="str">
        <x:f>IF($O276="","",--(OR($O276=3,AND($H276="Sim",$L276=$M276,$I276=$J276,$O276=2))))</x:f>
      </x:c>
      <x:c r="T276" s="59" t="str">
        <x:f>IF($O276="","",--($O276=-2))</x:f>
      </x:c>
      <x:c r="U276" s="59" t="str">
        <x:f>IF($O276="","",--($O276=1))</x:f>
      </x:c>
      <x:c r="V276" s="59" t="n">
        <x:f>--(AND($I276&lt;&gt;"",$J276&lt;&gt;""))</x:f>
        <x:v>0</x:v>
      </x:c>
    </x:row>
    <x:row r="277">
      <x:c r="A277" s="21" t="str">
        <x:f>INDEX(Config!$B$10:$B$16,INT((ROW()-5)/104)+1)</x:f>
        <x:v>Gabriel</x:v>
      </x:c>
      <x:c r="B277" s="21" t="str">
        <x:v>GK5</x:v>
      </x:c>
      <x:c r="C277" s="21" t="n">
        <x:v>65</x:v>
      </x:c>
      <x:c r="D277" s="21" t="str">
        <x:v>Grupo K</x:v>
      </x:c>
      <x:c r="E277" s="21" t="str">
        <x:v>2026-06-27</x:v>
      </x:c>
      <x:c r="F277" s="21" t="str">
        <x:f>IFERROR(INDEX('Resultados'!$G$5:$G$108,MATCH($B277,'Resultados'!$A$5:$A$108,0)),"")</x:f>
        <x:v>Portugal</x:v>
      </x:c>
      <x:c r="G277" s="21" t="str">
        <x:f>IFERROR(INDEX('Resultados'!$J$5:$J$108,MATCH($B277,'Resultados'!$A$5:$A$108,0)),"")</x:f>
        <x:v>Colômbia</x:v>
      </x:c>
      <x:c r="H277" s="21" t="str">
        <x:v>Não</x:v>
      </x:c>
      <x:c r="I277" s="22"/>
      <x:c r="J277" s="22"/>
      <x:c r="K277" s="23"/>
      <x:c r="L277" s="21" t="str">
        <x:f>IFERROR(INDEX('Resultados'!$H$5:$H$108,MATCH($B277,'Resultados'!$A$5:$A$108,0)),"")</x:f>
      </x:c>
      <x:c r="M277" s="21" t="str">
        <x:f>IFERROR(INDEX('Resultados'!$I$5:$I$108,MATCH($B277,'Resultados'!$A$5:$A$108,0)),"")</x:f>
      </x:c>
      <x:c r="N277" s="21" t="str">
        <x:f>IFERROR(INDEX('Resultados'!$L$5:$L$108,MATCH($B277,'Resultados'!$A$5:$A$108,0)),"")</x:f>
      </x:c>
      <x:c r="O277" s="59" t="str">
        <x:f>IF(OR($I277="",$J277="",$L277="",$M277=""),"",IF(AND($H277="Sim",$L277=$M277),IF($I277&lt;&gt;$J277,0,IF(AND($I277=$L277,$J277=$M277),2,1)),IF(AND($I277=$L277,$J277=$M277),3,IF(AND($I277&lt;&gt;$J277,$I277=$M277,$J277=$L277),-2,IF(SIGN($I277-$J277)=SIGN($L277-$M277),1,0)))))</x:f>
      </x:c>
      <x:c r="P277" s="59" t="str">
        <x:f>IF(OR($H277&lt;&gt;"Sim",$I277="",$J277="",$L277="",$M277=""),"",IF(AND(IF($I277&gt;$J277,$F277,IF($I277&lt;$J277,$G277,$K277))&lt;&gt;"",IF($L277&gt;$M277,$F277,IF($L277&lt;$M277,$G277,$N277))&lt;&gt;"",IF($I277&gt;$J277,$F277,IF($I277&lt;$J277,$G277,$K277))=IF($L277&gt;$M277,$F277,IF($L277&lt;$M277,$G277,$N277))),1,0))</x:f>
      </x:c>
      <x:c r="Q277" s="59" t="str">
        <x:f>IF($O277="","",$O277+$P277)</x:f>
      </x:c>
      <x:c r="R277" s="59" t="str">
        <x:f>IF($Q277="","",IF($O277=3,"Cravada",IF(AND($H277="Sim",$L277=$M277,$I277=$J277,$O277=2),"Empate cravado",IF($O277=1,"Resultado certo",IF($O277=-2,"Invertida",IF($P277=1,"Acertou quem passa","Erro"))))))</x:f>
      </x:c>
      <x:c r="S277" s="59" t="str">
        <x:f>IF($O277="","",--(OR($O277=3,AND($H277="Sim",$L277=$M277,$I277=$J277,$O277=2))))</x:f>
      </x:c>
      <x:c r="T277" s="59" t="str">
        <x:f>IF($O277="","",--($O277=-2))</x:f>
      </x:c>
      <x:c r="U277" s="59" t="str">
        <x:f>IF($O277="","",--($O277=1))</x:f>
      </x:c>
      <x:c r="V277" s="59" t="n">
        <x:f>--(AND($I277&lt;&gt;"",$J277&lt;&gt;""))</x:f>
        <x:v>0</x:v>
      </x:c>
    </x:row>
    <x:row r="278">
      <x:c r="A278" s="21" t="str">
        <x:f>INDEX(Config!$B$10:$B$16,INT((ROW()-5)/104)+1)</x:f>
        <x:v>Gabriel</x:v>
      </x:c>
      <x:c r="B278" s="21" t="str">
        <x:v>GK6</x:v>
      </x:c>
      <x:c r="C278" s="21" t="n">
        <x:v>66</x:v>
      </x:c>
      <x:c r="D278" s="21" t="str">
        <x:v>Grupo K</x:v>
      </x:c>
      <x:c r="E278" s="21" t="str">
        <x:v>2026-06-27</x:v>
      </x:c>
      <x:c r="F278" s="21" t="str">
        <x:f>IFERROR(INDEX('Resultados'!$G$5:$G$108,MATCH($B278,'Resultados'!$A$5:$A$108,0)),"")</x:f>
        <x:v>Rep. D. do Congo</x:v>
      </x:c>
      <x:c r="G278" s="21" t="str">
        <x:f>IFERROR(INDEX('Resultados'!$J$5:$J$108,MATCH($B278,'Resultados'!$A$5:$A$108,0)),"")</x:f>
        <x:v>Uzbequistão</x:v>
      </x:c>
      <x:c r="H278" s="21" t="str">
        <x:v>Não</x:v>
      </x:c>
      <x:c r="I278" s="22"/>
      <x:c r="J278" s="22"/>
      <x:c r="K278" s="23"/>
      <x:c r="L278" s="21" t="str">
        <x:f>IFERROR(INDEX('Resultados'!$H$5:$H$108,MATCH($B278,'Resultados'!$A$5:$A$108,0)),"")</x:f>
      </x:c>
      <x:c r="M278" s="21" t="str">
        <x:f>IFERROR(INDEX('Resultados'!$I$5:$I$108,MATCH($B278,'Resultados'!$A$5:$A$108,0)),"")</x:f>
      </x:c>
      <x:c r="N278" s="21" t="str">
        <x:f>IFERROR(INDEX('Resultados'!$L$5:$L$108,MATCH($B278,'Resultados'!$A$5:$A$108,0)),"")</x:f>
      </x:c>
      <x:c r="O278" s="59" t="str">
        <x:f>IF(OR($I278="",$J278="",$L278="",$M278=""),"",IF(AND($H278="Sim",$L278=$M278),IF($I278&lt;&gt;$J278,0,IF(AND($I278=$L278,$J278=$M278),2,1)),IF(AND($I278=$L278,$J278=$M278),3,IF(AND($I278&lt;&gt;$J278,$I278=$M278,$J278=$L278),-2,IF(SIGN($I278-$J278)=SIGN($L278-$M278),1,0)))))</x:f>
      </x:c>
      <x:c r="P278" s="59" t="str">
        <x:f>IF(OR($H278&lt;&gt;"Sim",$I278="",$J278="",$L278="",$M278=""),"",IF(AND(IF($I278&gt;$J278,$F278,IF($I278&lt;$J278,$G278,$K278))&lt;&gt;"",IF($L278&gt;$M278,$F278,IF($L278&lt;$M278,$G278,$N278))&lt;&gt;"",IF($I278&gt;$J278,$F278,IF($I278&lt;$J278,$G278,$K278))=IF($L278&gt;$M278,$F278,IF($L278&lt;$M278,$G278,$N278))),1,0))</x:f>
      </x:c>
      <x:c r="Q278" s="59" t="str">
        <x:f>IF($O278="","",$O278+$P278)</x:f>
      </x:c>
      <x:c r="R278" s="59" t="str">
        <x:f>IF($Q278="","",IF($O278=3,"Cravada",IF(AND($H278="Sim",$L278=$M278,$I278=$J278,$O278=2),"Empate cravado",IF($O278=1,"Resultado certo",IF($O278=-2,"Invertida",IF($P278=1,"Acertou quem passa","Erro"))))))</x:f>
      </x:c>
      <x:c r="S278" s="59" t="str">
        <x:f>IF($O278="","",--(OR($O278=3,AND($H278="Sim",$L278=$M278,$I278=$J278,$O278=2))))</x:f>
      </x:c>
      <x:c r="T278" s="59" t="str">
        <x:f>IF($O278="","",--($O278=-2))</x:f>
      </x:c>
      <x:c r="U278" s="59" t="str">
        <x:f>IF($O278="","",--($O278=1))</x:f>
      </x:c>
      <x:c r="V278" s="59" t="n">
        <x:f>--(AND($I278&lt;&gt;"",$J278&lt;&gt;""))</x:f>
        <x:v>0</x:v>
      </x:c>
    </x:row>
    <x:row r="279">
      <x:c r="A279" s="21" t="str">
        <x:f>INDEX(Config!$B$10:$B$16,INT((ROW()-5)/104)+1)</x:f>
        <x:v>Gabriel</x:v>
      </x:c>
      <x:c r="B279" s="21" t="str">
        <x:v>GL1</x:v>
      </x:c>
      <x:c r="C279" s="21" t="n">
        <x:v>67</x:v>
      </x:c>
      <x:c r="D279" s="21" t="str">
        <x:v>Grupo L</x:v>
      </x:c>
      <x:c r="E279" s="21" t="str">
        <x:v>2026-06-17</x:v>
      </x:c>
      <x:c r="F279" s="21" t="str">
        <x:f>IFERROR(INDEX('Resultados'!$G$5:$G$108,MATCH($B279,'Resultados'!$A$5:$A$108,0)),"")</x:f>
        <x:v>Inglaterra</x:v>
      </x:c>
      <x:c r="G279" s="21" t="str">
        <x:f>IFERROR(INDEX('Resultados'!$J$5:$J$108,MATCH($B279,'Resultados'!$A$5:$A$108,0)),"")</x:f>
        <x:v>Croácia</x:v>
      </x:c>
      <x:c r="H279" s="21" t="str">
        <x:v>Não</x:v>
      </x:c>
      <x:c r="I279" s="22"/>
      <x:c r="J279" s="22"/>
      <x:c r="K279" s="23"/>
      <x:c r="L279" s="21" t="str">
        <x:f>IFERROR(INDEX('Resultados'!$H$5:$H$108,MATCH($B279,'Resultados'!$A$5:$A$108,0)),"")</x:f>
      </x:c>
      <x:c r="M279" s="21" t="str">
        <x:f>IFERROR(INDEX('Resultados'!$I$5:$I$108,MATCH($B279,'Resultados'!$A$5:$A$108,0)),"")</x:f>
      </x:c>
      <x:c r="N279" s="21" t="str">
        <x:f>IFERROR(INDEX('Resultados'!$L$5:$L$108,MATCH($B279,'Resultados'!$A$5:$A$108,0)),"")</x:f>
      </x:c>
      <x:c r="O279" s="59" t="str">
        <x:f>IF(OR($I279="",$J279="",$L279="",$M279=""),"",IF(AND($H279="Sim",$L279=$M279),IF($I279&lt;&gt;$J279,0,IF(AND($I279=$L279,$J279=$M279),2,1)),IF(AND($I279=$L279,$J279=$M279),3,IF(AND($I279&lt;&gt;$J279,$I279=$M279,$J279=$L279),-2,IF(SIGN($I279-$J279)=SIGN($L279-$M279),1,0)))))</x:f>
      </x:c>
      <x:c r="P279" s="59" t="str">
        <x:f>IF(OR($H279&lt;&gt;"Sim",$I279="",$J279="",$L279="",$M279=""),"",IF(AND(IF($I279&gt;$J279,$F279,IF($I279&lt;$J279,$G279,$K279))&lt;&gt;"",IF($L279&gt;$M279,$F279,IF($L279&lt;$M279,$G279,$N279))&lt;&gt;"",IF($I279&gt;$J279,$F279,IF($I279&lt;$J279,$G279,$K279))=IF($L279&gt;$M279,$F279,IF($L279&lt;$M279,$G279,$N279))),1,0))</x:f>
      </x:c>
      <x:c r="Q279" s="59" t="str">
        <x:f>IF($O279="","",$O279+$P279)</x:f>
      </x:c>
      <x:c r="R279" s="59" t="str">
        <x:f>IF($Q279="","",IF($O279=3,"Cravada",IF(AND($H279="Sim",$L279=$M279,$I279=$J279,$O279=2),"Empate cravado",IF($O279=1,"Resultado certo",IF($O279=-2,"Invertida",IF($P279=1,"Acertou quem passa","Erro"))))))</x:f>
      </x:c>
      <x:c r="S279" s="59" t="str">
        <x:f>IF($O279="","",--(OR($O279=3,AND($H279="Sim",$L279=$M279,$I279=$J279,$O279=2))))</x:f>
      </x:c>
      <x:c r="T279" s="59" t="str">
        <x:f>IF($O279="","",--($O279=-2))</x:f>
      </x:c>
      <x:c r="U279" s="59" t="str">
        <x:f>IF($O279="","",--($O279=1))</x:f>
      </x:c>
      <x:c r="V279" s="59" t="n">
        <x:f>--(AND($I279&lt;&gt;"",$J279&lt;&gt;""))</x:f>
        <x:v>0</x:v>
      </x:c>
    </x:row>
    <x:row r="280">
      <x:c r="A280" s="21" t="str">
        <x:f>INDEX(Config!$B$10:$B$16,INT((ROW()-5)/104)+1)</x:f>
        <x:v>Gabriel</x:v>
      </x:c>
      <x:c r="B280" s="21" t="str">
        <x:v>GL2</x:v>
      </x:c>
      <x:c r="C280" s="21" t="n">
        <x:v>68</x:v>
      </x:c>
      <x:c r="D280" s="21" t="str">
        <x:v>Grupo L</x:v>
      </x:c>
      <x:c r="E280" s="21" t="str">
        <x:v>2026-06-17</x:v>
      </x:c>
      <x:c r="F280" s="21" t="str">
        <x:f>IFERROR(INDEX('Resultados'!$G$5:$G$108,MATCH($B280,'Resultados'!$A$5:$A$108,0)),"")</x:f>
        <x:v>Gana</x:v>
      </x:c>
      <x:c r="G280" s="21" t="str">
        <x:f>IFERROR(INDEX('Resultados'!$J$5:$J$108,MATCH($B280,'Resultados'!$A$5:$A$108,0)),"")</x:f>
        <x:v>Panamá</x:v>
      </x:c>
      <x:c r="H280" s="21" t="str">
        <x:v>Não</x:v>
      </x:c>
      <x:c r="I280" s="22"/>
      <x:c r="J280" s="22"/>
      <x:c r="K280" s="23"/>
      <x:c r="L280" s="21" t="str">
        <x:f>IFERROR(INDEX('Resultados'!$H$5:$H$108,MATCH($B280,'Resultados'!$A$5:$A$108,0)),"")</x:f>
      </x:c>
      <x:c r="M280" s="21" t="str">
        <x:f>IFERROR(INDEX('Resultados'!$I$5:$I$108,MATCH($B280,'Resultados'!$A$5:$A$108,0)),"")</x:f>
      </x:c>
      <x:c r="N280" s="21" t="str">
        <x:f>IFERROR(INDEX('Resultados'!$L$5:$L$108,MATCH($B280,'Resultados'!$A$5:$A$108,0)),"")</x:f>
      </x:c>
      <x:c r="O280" s="59" t="str">
        <x:f>IF(OR($I280="",$J280="",$L280="",$M280=""),"",IF(AND($H280="Sim",$L280=$M280),IF($I280&lt;&gt;$J280,0,IF(AND($I280=$L280,$J280=$M280),2,1)),IF(AND($I280=$L280,$J280=$M280),3,IF(AND($I280&lt;&gt;$J280,$I280=$M280,$J280=$L280),-2,IF(SIGN($I280-$J280)=SIGN($L280-$M280),1,0)))))</x:f>
      </x:c>
      <x:c r="P280" s="59" t="str">
        <x:f>IF(OR($H280&lt;&gt;"Sim",$I280="",$J280="",$L280="",$M280=""),"",IF(AND(IF($I280&gt;$J280,$F280,IF($I280&lt;$J280,$G280,$K280))&lt;&gt;"",IF($L280&gt;$M280,$F280,IF($L280&lt;$M280,$G280,$N280))&lt;&gt;"",IF($I280&gt;$J280,$F280,IF($I280&lt;$J280,$G280,$K280))=IF($L280&gt;$M280,$F280,IF($L280&lt;$M280,$G280,$N280))),1,0))</x:f>
      </x:c>
      <x:c r="Q280" s="59" t="str">
        <x:f>IF($O280="","",$O280+$P280)</x:f>
      </x:c>
      <x:c r="R280" s="59" t="str">
        <x:f>IF($Q280="","",IF($O280=3,"Cravada",IF(AND($H280="Sim",$L280=$M280,$I280=$J280,$O280=2),"Empate cravado",IF($O280=1,"Resultado certo",IF($O280=-2,"Invertida",IF($P280=1,"Acertou quem passa","Erro"))))))</x:f>
      </x:c>
      <x:c r="S280" s="59" t="str">
        <x:f>IF($O280="","",--(OR($O280=3,AND($H280="Sim",$L280=$M280,$I280=$J280,$O280=2))))</x:f>
      </x:c>
      <x:c r="T280" s="59" t="str">
        <x:f>IF($O280="","",--($O280=-2))</x:f>
      </x:c>
      <x:c r="U280" s="59" t="str">
        <x:f>IF($O280="","",--($O280=1))</x:f>
      </x:c>
      <x:c r="V280" s="59" t="n">
        <x:f>--(AND($I280&lt;&gt;"",$J280&lt;&gt;""))</x:f>
        <x:v>0</x:v>
      </x:c>
    </x:row>
    <x:row r="281">
      <x:c r="A281" s="21" t="str">
        <x:f>INDEX(Config!$B$10:$B$16,INT((ROW()-5)/104)+1)</x:f>
        <x:v>Gabriel</x:v>
      </x:c>
      <x:c r="B281" s="21" t="str">
        <x:v>GL3</x:v>
      </x:c>
      <x:c r="C281" s="21" t="n">
        <x:v>69</x:v>
      </x:c>
      <x:c r="D281" s="21" t="str">
        <x:v>Grupo L</x:v>
      </x:c>
      <x:c r="E281" s="21" t="str">
        <x:v>2026-06-23</x:v>
      </x:c>
      <x:c r="F281" s="21" t="str">
        <x:f>IFERROR(INDEX('Resultados'!$G$5:$G$108,MATCH($B281,'Resultados'!$A$5:$A$108,0)),"")</x:f>
        <x:v>Inglaterra</x:v>
      </x:c>
      <x:c r="G281" s="21" t="str">
        <x:f>IFERROR(INDEX('Resultados'!$J$5:$J$108,MATCH($B281,'Resultados'!$A$5:$A$108,0)),"")</x:f>
        <x:v>Gana</x:v>
      </x:c>
      <x:c r="H281" s="21" t="str">
        <x:v>Não</x:v>
      </x:c>
      <x:c r="I281" s="22"/>
      <x:c r="J281" s="22"/>
      <x:c r="K281" s="23"/>
      <x:c r="L281" s="21" t="str">
        <x:f>IFERROR(INDEX('Resultados'!$H$5:$H$108,MATCH($B281,'Resultados'!$A$5:$A$108,0)),"")</x:f>
      </x:c>
      <x:c r="M281" s="21" t="str">
        <x:f>IFERROR(INDEX('Resultados'!$I$5:$I$108,MATCH($B281,'Resultados'!$A$5:$A$108,0)),"")</x:f>
      </x:c>
      <x:c r="N281" s="21" t="str">
        <x:f>IFERROR(INDEX('Resultados'!$L$5:$L$108,MATCH($B281,'Resultados'!$A$5:$A$108,0)),"")</x:f>
      </x:c>
      <x:c r="O281" s="59" t="str">
        <x:f>IF(OR($I281="",$J281="",$L281="",$M281=""),"",IF(AND($H281="Sim",$L281=$M281),IF($I281&lt;&gt;$J281,0,IF(AND($I281=$L281,$J281=$M281),2,1)),IF(AND($I281=$L281,$J281=$M281),3,IF(AND($I281&lt;&gt;$J281,$I281=$M281,$J281=$L281),-2,IF(SIGN($I281-$J281)=SIGN($L281-$M281),1,0)))))</x:f>
      </x:c>
      <x:c r="P281" s="59" t="str">
        <x:f>IF(OR($H281&lt;&gt;"Sim",$I281="",$J281="",$L281="",$M281=""),"",IF(AND(IF($I281&gt;$J281,$F281,IF($I281&lt;$J281,$G281,$K281))&lt;&gt;"",IF($L281&gt;$M281,$F281,IF($L281&lt;$M281,$G281,$N281))&lt;&gt;"",IF($I281&gt;$J281,$F281,IF($I281&lt;$J281,$G281,$K281))=IF($L281&gt;$M281,$F281,IF($L281&lt;$M281,$G281,$N281))),1,0))</x:f>
      </x:c>
      <x:c r="Q281" s="59" t="str">
        <x:f>IF($O281="","",$O281+$P281)</x:f>
      </x:c>
      <x:c r="R281" s="59" t="str">
        <x:f>IF($Q281="","",IF($O281=3,"Cravada",IF(AND($H281="Sim",$L281=$M281,$I281=$J281,$O281=2),"Empate cravado",IF($O281=1,"Resultado certo",IF($O281=-2,"Invertida",IF($P281=1,"Acertou quem passa","Erro"))))))</x:f>
      </x:c>
      <x:c r="S281" s="59" t="str">
        <x:f>IF($O281="","",--(OR($O281=3,AND($H281="Sim",$L281=$M281,$I281=$J281,$O281=2))))</x:f>
      </x:c>
      <x:c r="T281" s="59" t="str">
        <x:f>IF($O281="","",--($O281=-2))</x:f>
      </x:c>
      <x:c r="U281" s="59" t="str">
        <x:f>IF($O281="","",--($O281=1))</x:f>
      </x:c>
      <x:c r="V281" s="59" t="n">
        <x:f>--(AND($I281&lt;&gt;"",$J281&lt;&gt;""))</x:f>
        <x:v>0</x:v>
      </x:c>
    </x:row>
    <x:row r="282">
      <x:c r="A282" s="21" t="str">
        <x:f>INDEX(Config!$B$10:$B$16,INT((ROW()-5)/104)+1)</x:f>
        <x:v>Gabriel</x:v>
      </x:c>
      <x:c r="B282" s="21" t="str">
        <x:v>GL4</x:v>
      </x:c>
      <x:c r="C282" s="21" t="n">
        <x:v>70</x:v>
      </x:c>
      <x:c r="D282" s="21" t="str">
        <x:v>Grupo L</x:v>
      </x:c>
      <x:c r="E282" s="21" t="str">
        <x:v>2026-06-23</x:v>
      </x:c>
      <x:c r="F282" s="21" t="str">
        <x:f>IFERROR(INDEX('Resultados'!$G$5:$G$108,MATCH($B282,'Resultados'!$A$5:$A$108,0)),"")</x:f>
        <x:v>Croácia</x:v>
      </x:c>
      <x:c r="G282" s="21" t="str">
        <x:f>IFERROR(INDEX('Resultados'!$J$5:$J$108,MATCH($B282,'Resultados'!$A$5:$A$108,0)),"")</x:f>
        <x:v>Panamá</x:v>
      </x:c>
      <x:c r="H282" s="21" t="str">
        <x:v>Não</x:v>
      </x:c>
      <x:c r="I282" s="22"/>
      <x:c r="J282" s="22"/>
      <x:c r="K282" s="23"/>
      <x:c r="L282" s="21" t="str">
        <x:f>IFERROR(INDEX('Resultados'!$H$5:$H$108,MATCH($B282,'Resultados'!$A$5:$A$108,0)),"")</x:f>
      </x:c>
      <x:c r="M282" s="21" t="str">
        <x:f>IFERROR(INDEX('Resultados'!$I$5:$I$108,MATCH($B282,'Resultados'!$A$5:$A$108,0)),"")</x:f>
      </x:c>
      <x:c r="N282" s="21" t="str">
        <x:f>IFERROR(INDEX('Resultados'!$L$5:$L$108,MATCH($B282,'Resultados'!$A$5:$A$108,0)),"")</x:f>
      </x:c>
      <x:c r="O282" s="59" t="str">
        <x:f>IF(OR($I282="",$J282="",$L282="",$M282=""),"",IF(AND($H282="Sim",$L282=$M282),IF($I282&lt;&gt;$J282,0,IF(AND($I282=$L282,$J282=$M282),2,1)),IF(AND($I282=$L282,$J282=$M282),3,IF(AND($I282&lt;&gt;$J282,$I282=$M282,$J282=$L282),-2,IF(SIGN($I282-$J282)=SIGN($L282-$M282),1,0)))))</x:f>
      </x:c>
      <x:c r="P282" s="59" t="str">
        <x:f>IF(OR($H282&lt;&gt;"Sim",$I282="",$J282="",$L282="",$M282=""),"",IF(AND(IF($I282&gt;$J282,$F282,IF($I282&lt;$J282,$G282,$K282))&lt;&gt;"",IF($L282&gt;$M282,$F282,IF($L282&lt;$M282,$G282,$N282))&lt;&gt;"",IF($I282&gt;$J282,$F282,IF($I282&lt;$J282,$G282,$K282))=IF($L282&gt;$M282,$F282,IF($L282&lt;$M282,$G282,$N282))),1,0))</x:f>
      </x:c>
      <x:c r="Q282" s="59" t="str">
        <x:f>IF($O282="","",$O282+$P282)</x:f>
      </x:c>
      <x:c r="R282" s="59" t="str">
        <x:f>IF($Q282="","",IF($O282=3,"Cravada",IF(AND($H282="Sim",$L282=$M282,$I282=$J282,$O282=2),"Empate cravado",IF($O282=1,"Resultado certo",IF($O282=-2,"Invertida",IF($P282=1,"Acertou quem passa","Erro"))))))</x:f>
      </x:c>
      <x:c r="S282" s="59" t="str">
        <x:f>IF($O282="","",--(OR($O282=3,AND($H282="Sim",$L282=$M282,$I282=$J282,$O282=2))))</x:f>
      </x:c>
      <x:c r="T282" s="59" t="str">
        <x:f>IF($O282="","",--($O282=-2))</x:f>
      </x:c>
      <x:c r="U282" s="59" t="str">
        <x:f>IF($O282="","",--($O282=1))</x:f>
      </x:c>
      <x:c r="V282" s="59" t="n">
        <x:f>--(AND($I282&lt;&gt;"",$J282&lt;&gt;""))</x:f>
        <x:v>0</x:v>
      </x:c>
    </x:row>
    <x:row r="283">
      <x:c r="A283" s="21" t="str">
        <x:f>INDEX(Config!$B$10:$B$16,INT((ROW()-5)/104)+1)</x:f>
        <x:v>Gabriel</x:v>
      </x:c>
      <x:c r="B283" s="21" t="str">
        <x:v>GL5</x:v>
      </x:c>
      <x:c r="C283" s="21" t="n">
        <x:v>71</x:v>
      </x:c>
      <x:c r="D283" s="21" t="str">
        <x:v>Grupo L</x:v>
      </x:c>
      <x:c r="E283" s="21" t="str">
        <x:v>2026-06-27</x:v>
      </x:c>
      <x:c r="F283" s="21" t="str">
        <x:f>IFERROR(INDEX('Resultados'!$G$5:$G$108,MATCH($B283,'Resultados'!$A$5:$A$108,0)),"")</x:f>
        <x:v>Inglaterra</x:v>
      </x:c>
      <x:c r="G283" s="21" t="str">
        <x:f>IFERROR(INDEX('Resultados'!$J$5:$J$108,MATCH($B283,'Resultados'!$A$5:$A$108,0)),"")</x:f>
        <x:v>Panamá</x:v>
      </x:c>
      <x:c r="H283" s="21" t="str">
        <x:v>Não</x:v>
      </x:c>
      <x:c r="I283" s="22"/>
      <x:c r="J283" s="22"/>
      <x:c r="K283" s="23"/>
      <x:c r="L283" s="21" t="str">
        <x:f>IFERROR(INDEX('Resultados'!$H$5:$H$108,MATCH($B283,'Resultados'!$A$5:$A$108,0)),"")</x:f>
      </x:c>
      <x:c r="M283" s="21" t="str">
        <x:f>IFERROR(INDEX('Resultados'!$I$5:$I$108,MATCH($B283,'Resultados'!$A$5:$A$108,0)),"")</x:f>
      </x:c>
      <x:c r="N283" s="21" t="str">
        <x:f>IFERROR(INDEX('Resultados'!$L$5:$L$108,MATCH($B283,'Resultados'!$A$5:$A$108,0)),"")</x:f>
      </x:c>
      <x:c r="O283" s="59" t="str">
        <x:f>IF(OR($I283="",$J283="",$L283="",$M283=""),"",IF(AND($H283="Sim",$L283=$M283),IF($I283&lt;&gt;$J283,0,IF(AND($I283=$L283,$J283=$M283),2,1)),IF(AND($I283=$L283,$J283=$M283),3,IF(AND($I283&lt;&gt;$J283,$I283=$M283,$J283=$L283),-2,IF(SIGN($I283-$J283)=SIGN($L283-$M283),1,0)))))</x:f>
      </x:c>
      <x:c r="P283" s="59" t="str">
        <x:f>IF(OR($H283&lt;&gt;"Sim",$I283="",$J283="",$L283="",$M283=""),"",IF(AND(IF($I283&gt;$J283,$F283,IF($I283&lt;$J283,$G283,$K283))&lt;&gt;"",IF($L283&gt;$M283,$F283,IF($L283&lt;$M283,$G283,$N283))&lt;&gt;"",IF($I283&gt;$J283,$F283,IF($I283&lt;$J283,$G283,$K283))=IF($L283&gt;$M283,$F283,IF($L283&lt;$M283,$G283,$N283))),1,0))</x:f>
      </x:c>
      <x:c r="Q283" s="59" t="str">
        <x:f>IF($O283="","",$O283+$P283)</x:f>
      </x:c>
      <x:c r="R283" s="59" t="str">
        <x:f>IF($Q283="","",IF($O283=3,"Cravada",IF(AND($H283="Sim",$L283=$M283,$I283=$J283,$O283=2),"Empate cravado",IF($O283=1,"Resultado certo",IF($O283=-2,"Invertida",IF($P283=1,"Acertou quem passa","Erro"))))))</x:f>
      </x:c>
      <x:c r="S283" s="59" t="str">
        <x:f>IF($O283="","",--(OR($O283=3,AND($H283="Sim",$L283=$M283,$I283=$J283,$O283=2))))</x:f>
      </x:c>
      <x:c r="T283" s="59" t="str">
        <x:f>IF($O283="","",--($O283=-2))</x:f>
      </x:c>
      <x:c r="U283" s="59" t="str">
        <x:f>IF($O283="","",--($O283=1))</x:f>
      </x:c>
      <x:c r="V283" s="59" t="n">
        <x:f>--(AND($I283&lt;&gt;"",$J283&lt;&gt;""))</x:f>
        <x:v>0</x:v>
      </x:c>
    </x:row>
    <x:row r="284">
      <x:c r="A284" s="21" t="str">
        <x:f>INDEX(Config!$B$10:$B$16,INT((ROW()-5)/104)+1)</x:f>
        <x:v>Gabriel</x:v>
      </x:c>
      <x:c r="B284" s="21" t="str">
        <x:v>GL6</x:v>
      </x:c>
      <x:c r="C284" s="21" t="n">
        <x:v>72</x:v>
      </x:c>
      <x:c r="D284" s="21" t="str">
        <x:v>Grupo L</x:v>
      </x:c>
      <x:c r="E284" s="21" t="str">
        <x:v>2026-06-27</x:v>
      </x:c>
      <x:c r="F284" s="21" t="str">
        <x:f>IFERROR(INDEX('Resultados'!$G$5:$G$108,MATCH($B284,'Resultados'!$A$5:$A$108,0)),"")</x:f>
        <x:v>Croácia</x:v>
      </x:c>
      <x:c r="G284" s="21" t="str">
        <x:f>IFERROR(INDEX('Resultados'!$J$5:$J$108,MATCH($B284,'Resultados'!$A$5:$A$108,0)),"")</x:f>
        <x:v>Gana</x:v>
      </x:c>
      <x:c r="H284" s="21" t="str">
        <x:v>Não</x:v>
      </x:c>
      <x:c r="I284" s="22"/>
      <x:c r="J284" s="22"/>
      <x:c r="K284" s="23"/>
      <x:c r="L284" s="21" t="str">
        <x:f>IFERROR(INDEX('Resultados'!$H$5:$H$108,MATCH($B284,'Resultados'!$A$5:$A$108,0)),"")</x:f>
      </x:c>
      <x:c r="M284" s="21" t="str">
        <x:f>IFERROR(INDEX('Resultados'!$I$5:$I$108,MATCH($B284,'Resultados'!$A$5:$A$108,0)),"")</x:f>
      </x:c>
      <x:c r="N284" s="21" t="str">
        <x:f>IFERROR(INDEX('Resultados'!$L$5:$L$108,MATCH($B284,'Resultados'!$A$5:$A$108,0)),"")</x:f>
      </x:c>
      <x:c r="O284" s="59" t="str">
        <x:f>IF(OR($I284="",$J284="",$L284="",$M284=""),"",IF(AND($H284="Sim",$L284=$M284),IF($I284&lt;&gt;$J284,0,IF(AND($I284=$L284,$J284=$M284),2,1)),IF(AND($I284=$L284,$J284=$M284),3,IF(AND($I284&lt;&gt;$J284,$I284=$M284,$J284=$L284),-2,IF(SIGN($I284-$J284)=SIGN($L284-$M284),1,0)))))</x:f>
      </x:c>
      <x:c r="P284" s="59" t="str">
        <x:f>IF(OR($H284&lt;&gt;"Sim",$I284="",$J284="",$L284="",$M284=""),"",IF(AND(IF($I284&gt;$J284,$F284,IF($I284&lt;$J284,$G284,$K284))&lt;&gt;"",IF($L284&gt;$M284,$F284,IF($L284&lt;$M284,$G284,$N284))&lt;&gt;"",IF($I284&gt;$J284,$F284,IF($I284&lt;$J284,$G284,$K284))=IF($L284&gt;$M284,$F284,IF($L284&lt;$M284,$G284,$N284))),1,0))</x:f>
      </x:c>
      <x:c r="Q284" s="59" t="str">
        <x:f>IF($O284="","",$O284+$P284)</x:f>
      </x:c>
      <x:c r="R284" s="59" t="str">
        <x:f>IF($Q284="","",IF($O284=3,"Cravada",IF(AND($H284="Sim",$L284=$M284,$I284=$J284,$O284=2),"Empate cravado",IF($O284=1,"Resultado certo",IF($O284=-2,"Invertida",IF($P284=1,"Acertou quem passa","Erro"))))))</x:f>
      </x:c>
      <x:c r="S284" s="59" t="str">
        <x:f>IF($O284="","",--(OR($O284=3,AND($H284="Sim",$L284=$M284,$I284=$J284,$O284=2))))</x:f>
      </x:c>
      <x:c r="T284" s="59" t="str">
        <x:f>IF($O284="","",--($O284=-2))</x:f>
      </x:c>
      <x:c r="U284" s="59" t="str">
        <x:f>IF($O284="","",--($O284=1))</x:f>
      </x:c>
      <x:c r="V284" s="59" t="n">
        <x:f>--(AND($I284&lt;&gt;"",$J284&lt;&gt;""))</x:f>
        <x:v>0</x:v>
      </x:c>
    </x:row>
    <x:row r="285">
      <x:c r="A285" s="21" t="str">
        <x:f>INDEX(Config!$B$10:$B$16,INT((ROW()-5)/104)+1)</x:f>
        <x:v>Gabriel</x:v>
      </x:c>
      <x:c r="B285" s="21" t="str">
        <x:v>R32_01</x:v>
      </x:c>
      <x:c r="C285" s="21" t="n">
        <x:v>73</x:v>
      </x:c>
      <x:c r="D285" s="21" t="str">
        <x:v>16-avos de final</x:v>
      </x:c>
      <x:c r="E285" s="21" t="str">
        <x:v>2026-06-28</x:v>
      </x:c>
      <x:c r="F285" s="21" t="str">
        <x:f>IFERROR(INDEX('Resultados'!$G$5:$G$108,MATCH($B285,'Resultados'!$A$5:$A$108,0)),"")</x:f>
        <x:v>2º Grupo A</x:v>
      </x:c>
      <x:c r="G285" s="21" t="str">
        <x:f>IFERROR(INDEX('Resultados'!$J$5:$J$108,MATCH($B285,'Resultados'!$A$5:$A$108,0)),"")</x:f>
        <x:v>2º Grupo B</x:v>
      </x:c>
      <x:c r="H285" s="21" t="str">
        <x:v>Sim</x:v>
      </x:c>
      <x:c r="I285" s="22"/>
      <x:c r="J285" s="22"/>
      <x:c r="K285" s="23"/>
      <x:c r="L285" s="21" t="str">
        <x:f>IFERROR(INDEX('Resultados'!$H$5:$H$108,MATCH($B285,'Resultados'!$A$5:$A$108,0)),"")</x:f>
      </x:c>
      <x:c r="M285" s="21" t="str">
        <x:f>IFERROR(INDEX('Resultados'!$I$5:$I$108,MATCH($B285,'Resultados'!$A$5:$A$108,0)),"")</x:f>
      </x:c>
      <x:c r="N285" s="21" t="str">
        <x:f>IFERROR(INDEX('Resultados'!$L$5:$L$108,MATCH($B285,'Resultados'!$A$5:$A$108,0)),"")</x:f>
      </x:c>
      <x:c r="O285" s="59" t="str">
        <x:f>IF(OR($I285="",$J285="",$L285="",$M285=""),"",IF(AND($H285="Sim",$L285=$M285),IF($I285&lt;&gt;$J285,0,IF(AND($I285=$L285,$J285=$M285),2,1)),IF(AND($I285=$L285,$J285=$M285),3,IF(AND($I285&lt;&gt;$J285,$I285=$M285,$J285=$L285),-2,IF(SIGN($I285-$J285)=SIGN($L285-$M285),1,0)))))</x:f>
      </x:c>
      <x:c r="P285" s="59" t="str">
        <x:f>IF(OR($H285&lt;&gt;"Sim",$I285="",$J285="",$L285="",$M285=""),"",IF(AND(IF($I285&gt;$J285,$F285,IF($I285&lt;$J285,$G285,$K285))&lt;&gt;"",IF($L285&gt;$M285,$F285,IF($L285&lt;$M285,$G285,$N285))&lt;&gt;"",IF($I285&gt;$J285,$F285,IF($I285&lt;$J285,$G285,$K285))=IF($L285&gt;$M285,$F285,IF($L285&lt;$M285,$G285,$N285))),1,0))</x:f>
      </x:c>
      <x:c r="Q285" s="59" t="str">
        <x:f>IF($O285="","",$O285+$P285)</x:f>
      </x:c>
      <x:c r="R285" s="59" t="str">
        <x:f>IF($Q285="","",IF($O285=3,"Cravada",IF(AND($H285="Sim",$L285=$M285,$I285=$J285,$O285=2),"Empate cravado",IF($O285=1,"Resultado certo",IF($O285=-2,"Invertida",IF($P285=1,"Acertou quem passa","Erro"))))))</x:f>
      </x:c>
      <x:c r="S285" s="59" t="str">
        <x:f>IF($O285="","",--(OR($O285=3,AND($H285="Sim",$L285=$M285,$I285=$J285,$O285=2))))</x:f>
      </x:c>
      <x:c r="T285" s="59" t="str">
        <x:f>IF($O285="","",--($O285=-2))</x:f>
      </x:c>
      <x:c r="U285" s="59" t="str">
        <x:f>IF($O285="","",--($O285=1))</x:f>
      </x:c>
      <x:c r="V285" s="59" t="n">
        <x:f>--(AND($I285&lt;&gt;"",$J285&lt;&gt;""))</x:f>
        <x:v>0</x:v>
      </x:c>
    </x:row>
    <x:row r="286">
      <x:c r="A286" s="21" t="str">
        <x:f>INDEX(Config!$B$10:$B$16,INT((ROW()-5)/104)+1)</x:f>
        <x:v>Gabriel</x:v>
      </x:c>
      <x:c r="B286" s="21" t="str">
        <x:v>R32_02</x:v>
      </x:c>
      <x:c r="C286" s="21" t="n">
        <x:v>74</x:v>
      </x:c>
      <x:c r="D286" s="21" t="str">
        <x:v>16-avos de final</x:v>
      </x:c>
      <x:c r="E286" s="21" t="str">
        <x:v>2026-06-29</x:v>
      </x:c>
      <x:c r="F286" s="21" t="str">
        <x:f>IFERROR(INDEX('Resultados'!$G$5:$G$108,MATCH($B286,'Resultados'!$A$5:$A$108,0)),"")</x:f>
        <x:v>1º Grupo E</x:v>
      </x:c>
      <x:c r="G286" s="21" t="str">
        <x:f>IFERROR(INDEX('Resultados'!$J$5:$J$108,MATCH($B286,'Resultados'!$A$5:$A$108,0)),"")</x:f>
        <x:v>3º A/B/C/D/F</x:v>
      </x:c>
      <x:c r="H286" s="21" t="str">
        <x:v>Sim</x:v>
      </x:c>
      <x:c r="I286" s="22"/>
      <x:c r="J286" s="22"/>
      <x:c r="K286" s="23"/>
      <x:c r="L286" s="21" t="str">
        <x:f>IFERROR(INDEX('Resultados'!$H$5:$H$108,MATCH($B286,'Resultados'!$A$5:$A$108,0)),"")</x:f>
      </x:c>
      <x:c r="M286" s="21" t="str">
        <x:f>IFERROR(INDEX('Resultados'!$I$5:$I$108,MATCH($B286,'Resultados'!$A$5:$A$108,0)),"")</x:f>
      </x:c>
      <x:c r="N286" s="21" t="str">
        <x:f>IFERROR(INDEX('Resultados'!$L$5:$L$108,MATCH($B286,'Resultados'!$A$5:$A$108,0)),"")</x:f>
      </x:c>
      <x:c r="O286" s="59" t="str">
        <x:f>IF(OR($I286="",$J286="",$L286="",$M286=""),"",IF(AND($H286="Sim",$L286=$M286),IF($I286&lt;&gt;$J286,0,IF(AND($I286=$L286,$J286=$M286),2,1)),IF(AND($I286=$L286,$J286=$M286),3,IF(AND($I286&lt;&gt;$J286,$I286=$M286,$J286=$L286),-2,IF(SIGN($I286-$J286)=SIGN($L286-$M286),1,0)))))</x:f>
      </x:c>
      <x:c r="P286" s="59" t="str">
        <x:f>IF(OR($H286&lt;&gt;"Sim",$I286="",$J286="",$L286="",$M286=""),"",IF(AND(IF($I286&gt;$J286,$F286,IF($I286&lt;$J286,$G286,$K286))&lt;&gt;"",IF($L286&gt;$M286,$F286,IF($L286&lt;$M286,$G286,$N286))&lt;&gt;"",IF($I286&gt;$J286,$F286,IF($I286&lt;$J286,$G286,$K286))=IF($L286&gt;$M286,$F286,IF($L286&lt;$M286,$G286,$N286))),1,0))</x:f>
      </x:c>
      <x:c r="Q286" s="59" t="str">
        <x:f>IF($O286="","",$O286+$P286)</x:f>
      </x:c>
      <x:c r="R286" s="59" t="str">
        <x:f>IF($Q286="","",IF($O286=3,"Cravada",IF(AND($H286="Sim",$L286=$M286,$I286=$J286,$O286=2),"Empate cravado",IF($O286=1,"Resultado certo",IF($O286=-2,"Invertida",IF($P286=1,"Acertou quem passa","Erro"))))))</x:f>
      </x:c>
      <x:c r="S286" s="59" t="str">
        <x:f>IF($O286="","",--(OR($O286=3,AND($H286="Sim",$L286=$M286,$I286=$J286,$O286=2))))</x:f>
      </x:c>
      <x:c r="T286" s="59" t="str">
        <x:f>IF($O286="","",--($O286=-2))</x:f>
      </x:c>
      <x:c r="U286" s="59" t="str">
        <x:f>IF($O286="","",--($O286=1))</x:f>
      </x:c>
      <x:c r="V286" s="59" t="n">
        <x:f>--(AND($I286&lt;&gt;"",$J286&lt;&gt;""))</x:f>
        <x:v>0</x:v>
      </x:c>
    </x:row>
    <x:row r="287">
      <x:c r="A287" s="21" t="str">
        <x:f>INDEX(Config!$B$10:$B$16,INT((ROW()-5)/104)+1)</x:f>
        <x:v>Gabriel</x:v>
      </x:c>
      <x:c r="B287" s="21" t="str">
        <x:v>R32_03</x:v>
      </x:c>
      <x:c r="C287" s="21" t="n">
        <x:v>75</x:v>
      </x:c>
      <x:c r="D287" s="21" t="str">
        <x:v>16-avos de final</x:v>
      </x:c>
      <x:c r="E287" s="21" t="str">
        <x:v>2026-06-29</x:v>
      </x:c>
      <x:c r="F287" s="21" t="str">
        <x:f>IFERROR(INDEX('Resultados'!$G$5:$G$108,MATCH($B287,'Resultados'!$A$5:$A$108,0)),"")</x:f>
        <x:v>1º Grupo F</x:v>
      </x:c>
      <x:c r="G287" s="21" t="str">
        <x:f>IFERROR(INDEX('Resultados'!$J$5:$J$108,MATCH($B287,'Resultados'!$A$5:$A$108,0)),"")</x:f>
        <x:v>2º Grupo C</x:v>
      </x:c>
      <x:c r="H287" s="21" t="str">
        <x:v>Sim</x:v>
      </x:c>
      <x:c r="I287" s="22"/>
      <x:c r="J287" s="22"/>
      <x:c r="K287" s="23"/>
      <x:c r="L287" s="21" t="str">
        <x:f>IFERROR(INDEX('Resultados'!$H$5:$H$108,MATCH($B287,'Resultados'!$A$5:$A$108,0)),"")</x:f>
      </x:c>
      <x:c r="M287" s="21" t="str">
        <x:f>IFERROR(INDEX('Resultados'!$I$5:$I$108,MATCH($B287,'Resultados'!$A$5:$A$108,0)),"")</x:f>
      </x:c>
      <x:c r="N287" s="21" t="str">
        <x:f>IFERROR(INDEX('Resultados'!$L$5:$L$108,MATCH($B287,'Resultados'!$A$5:$A$108,0)),"")</x:f>
      </x:c>
      <x:c r="O287" s="59" t="str">
        <x:f>IF(OR($I287="",$J287="",$L287="",$M287=""),"",IF(AND($H287="Sim",$L287=$M287),IF($I287&lt;&gt;$J287,0,IF(AND($I287=$L287,$J287=$M287),2,1)),IF(AND($I287=$L287,$J287=$M287),3,IF(AND($I287&lt;&gt;$J287,$I287=$M287,$J287=$L287),-2,IF(SIGN($I287-$J287)=SIGN($L287-$M287),1,0)))))</x:f>
      </x:c>
      <x:c r="P287" s="59" t="str">
        <x:f>IF(OR($H287&lt;&gt;"Sim",$I287="",$J287="",$L287="",$M287=""),"",IF(AND(IF($I287&gt;$J287,$F287,IF($I287&lt;$J287,$G287,$K287))&lt;&gt;"",IF($L287&gt;$M287,$F287,IF($L287&lt;$M287,$G287,$N287))&lt;&gt;"",IF($I287&gt;$J287,$F287,IF($I287&lt;$J287,$G287,$K287))=IF($L287&gt;$M287,$F287,IF($L287&lt;$M287,$G287,$N287))),1,0))</x:f>
      </x:c>
      <x:c r="Q287" s="59" t="str">
        <x:f>IF($O287="","",$O287+$P287)</x:f>
      </x:c>
      <x:c r="R287" s="59" t="str">
        <x:f>IF($Q287="","",IF($O287=3,"Cravada",IF(AND($H287="Sim",$L287=$M287,$I287=$J287,$O287=2),"Empate cravado",IF($O287=1,"Resultado certo",IF($O287=-2,"Invertida",IF($P287=1,"Acertou quem passa","Erro"))))))</x:f>
      </x:c>
      <x:c r="S287" s="59" t="str">
        <x:f>IF($O287="","",--(OR($O287=3,AND($H287="Sim",$L287=$M287,$I287=$J287,$O287=2))))</x:f>
      </x:c>
      <x:c r="T287" s="59" t="str">
        <x:f>IF($O287="","",--($O287=-2))</x:f>
      </x:c>
      <x:c r="U287" s="59" t="str">
        <x:f>IF($O287="","",--($O287=1))</x:f>
      </x:c>
      <x:c r="V287" s="59" t="n">
        <x:f>--(AND($I287&lt;&gt;"",$J287&lt;&gt;""))</x:f>
        <x:v>0</x:v>
      </x:c>
    </x:row>
    <x:row r="288">
      <x:c r="A288" s="21" t="str">
        <x:f>INDEX(Config!$B$10:$B$16,INT((ROW()-5)/104)+1)</x:f>
        <x:v>Gabriel</x:v>
      </x:c>
      <x:c r="B288" s="21" t="str">
        <x:v>R32_04</x:v>
      </x:c>
      <x:c r="C288" s="21" t="n">
        <x:v>76</x:v>
      </x:c>
      <x:c r="D288" s="21" t="str">
        <x:v>16-avos de final</x:v>
      </x:c>
      <x:c r="E288" s="21" t="str">
        <x:v>2026-06-29</x:v>
      </x:c>
      <x:c r="F288" s="21" t="str">
        <x:f>IFERROR(INDEX('Resultados'!$G$5:$G$108,MATCH($B288,'Resultados'!$A$5:$A$108,0)),"")</x:f>
        <x:v>1º Grupo C</x:v>
      </x:c>
      <x:c r="G288" s="21" t="str">
        <x:f>IFERROR(INDEX('Resultados'!$J$5:$J$108,MATCH($B288,'Resultados'!$A$5:$A$108,0)),"")</x:f>
        <x:v>2º Grupo F</x:v>
      </x:c>
      <x:c r="H288" s="21" t="str">
        <x:v>Sim</x:v>
      </x:c>
      <x:c r="I288" s="22"/>
      <x:c r="J288" s="22"/>
      <x:c r="K288" s="23"/>
      <x:c r="L288" s="21" t="str">
        <x:f>IFERROR(INDEX('Resultados'!$H$5:$H$108,MATCH($B288,'Resultados'!$A$5:$A$108,0)),"")</x:f>
      </x:c>
      <x:c r="M288" s="21" t="str">
        <x:f>IFERROR(INDEX('Resultados'!$I$5:$I$108,MATCH($B288,'Resultados'!$A$5:$A$108,0)),"")</x:f>
      </x:c>
      <x:c r="N288" s="21" t="str">
        <x:f>IFERROR(INDEX('Resultados'!$L$5:$L$108,MATCH($B288,'Resultados'!$A$5:$A$108,0)),"")</x:f>
      </x:c>
      <x:c r="O288" s="59" t="str">
        <x:f>IF(OR($I288="",$J288="",$L288="",$M288=""),"",IF(AND($H288="Sim",$L288=$M288),IF($I288&lt;&gt;$J288,0,IF(AND($I288=$L288,$J288=$M288),2,1)),IF(AND($I288=$L288,$J288=$M288),3,IF(AND($I288&lt;&gt;$J288,$I288=$M288,$J288=$L288),-2,IF(SIGN($I288-$J288)=SIGN($L288-$M288),1,0)))))</x:f>
      </x:c>
      <x:c r="P288" s="59" t="str">
        <x:f>IF(OR($H288&lt;&gt;"Sim",$I288="",$J288="",$L288="",$M288=""),"",IF(AND(IF($I288&gt;$J288,$F288,IF($I288&lt;$J288,$G288,$K288))&lt;&gt;"",IF($L288&gt;$M288,$F288,IF($L288&lt;$M288,$G288,$N288))&lt;&gt;"",IF($I288&gt;$J288,$F288,IF($I288&lt;$J288,$G288,$K288))=IF($L288&gt;$M288,$F288,IF($L288&lt;$M288,$G288,$N288))),1,0))</x:f>
      </x:c>
      <x:c r="Q288" s="59" t="str">
        <x:f>IF($O288="","",$O288+$P288)</x:f>
      </x:c>
      <x:c r="R288" s="59" t="str">
        <x:f>IF($Q288="","",IF($O288=3,"Cravada",IF(AND($H288="Sim",$L288=$M288,$I288=$J288,$O288=2),"Empate cravado",IF($O288=1,"Resultado certo",IF($O288=-2,"Invertida",IF($P288=1,"Acertou quem passa","Erro"))))))</x:f>
      </x:c>
      <x:c r="S288" s="59" t="str">
        <x:f>IF($O288="","",--(OR($O288=3,AND($H288="Sim",$L288=$M288,$I288=$J288,$O288=2))))</x:f>
      </x:c>
      <x:c r="T288" s="59" t="str">
        <x:f>IF($O288="","",--($O288=-2))</x:f>
      </x:c>
      <x:c r="U288" s="59" t="str">
        <x:f>IF($O288="","",--($O288=1))</x:f>
      </x:c>
      <x:c r="V288" s="59" t="n">
        <x:f>--(AND($I288&lt;&gt;"",$J288&lt;&gt;""))</x:f>
        <x:v>0</x:v>
      </x:c>
    </x:row>
    <x:row r="289">
      <x:c r="A289" s="21" t="str">
        <x:f>INDEX(Config!$B$10:$B$16,INT((ROW()-5)/104)+1)</x:f>
        <x:v>Gabriel</x:v>
      </x:c>
      <x:c r="B289" s="21" t="str">
        <x:v>R32_05</x:v>
      </x:c>
      <x:c r="C289" s="21" t="n">
        <x:v>77</x:v>
      </x:c>
      <x:c r="D289" s="21" t="str">
        <x:v>16-avos de final</x:v>
      </x:c>
      <x:c r="E289" s="21" t="str">
        <x:v>2026-06-30</x:v>
      </x:c>
      <x:c r="F289" s="21" t="str">
        <x:f>IFERROR(INDEX('Resultados'!$G$5:$G$108,MATCH($B289,'Resultados'!$A$5:$A$108,0)),"")</x:f>
        <x:v>1º Grupo I</x:v>
      </x:c>
      <x:c r="G289" s="21" t="str">
        <x:f>IFERROR(INDEX('Resultados'!$J$5:$J$108,MATCH($B289,'Resultados'!$A$5:$A$108,0)),"")</x:f>
        <x:v>3º C/D/F/G/H</x:v>
      </x:c>
      <x:c r="H289" s="21" t="str">
        <x:v>Sim</x:v>
      </x:c>
      <x:c r="I289" s="22"/>
      <x:c r="J289" s="22"/>
      <x:c r="K289" s="23"/>
      <x:c r="L289" s="21" t="str">
        <x:f>IFERROR(INDEX('Resultados'!$H$5:$H$108,MATCH($B289,'Resultados'!$A$5:$A$108,0)),"")</x:f>
      </x:c>
      <x:c r="M289" s="21" t="str">
        <x:f>IFERROR(INDEX('Resultados'!$I$5:$I$108,MATCH($B289,'Resultados'!$A$5:$A$108,0)),"")</x:f>
      </x:c>
      <x:c r="N289" s="21" t="str">
        <x:f>IFERROR(INDEX('Resultados'!$L$5:$L$108,MATCH($B289,'Resultados'!$A$5:$A$108,0)),"")</x:f>
      </x:c>
      <x:c r="O289" s="59" t="str">
        <x:f>IF(OR($I289="",$J289="",$L289="",$M289=""),"",IF(AND($H289="Sim",$L289=$M289),IF($I289&lt;&gt;$J289,0,IF(AND($I289=$L289,$J289=$M289),2,1)),IF(AND($I289=$L289,$J289=$M289),3,IF(AND($I289&lt;&gt;$J289,$I289=$M289,$J289=$L289),-2,IF(SIGN($I289-$J289)=SIGN($L289-$M289),1,0)))))</x:f>
      </x:c>
      <x:c r="P289" s="59" t="str">
        <x:f>IF(OR($H289&lt;&gt;"Sim",$I289="",$J289="",$L289="",$M289=""),"",IF(AND(IF($I289&gt;$J289,$F289,IF($I289&lt;$J289,$G289,$K289))&lt;&gt;"",IF($L289&gt;$M289,$F289,IF($L289&lt;$M289,$G289,$N289))&lt;&gt;"",IF($I289&gt;$J289,$F289,IF($I289&lt;$J289,$G289,$K289))=IF($L289&gt;$M289,$F289,IF($L289&lt;$M289,$G289,$N289))),1,0))</x:f>
      </x:c>
      <x:c r="Q289" s="59" t="str">
        <x:f>IF($O289="","",$O289+$P289)</x:f>
      </x:c>
      <x:c r="R289" s="59" t="str">
        <x:f>IF($Q289="","",IF($O289=3,"Cravada",IF(AND($H289="Sim",$L289=$M289,$I289=$J289,$O289=2),"Empate cravado",IF($O289=1,"Resultado certo",IF($O289=-2,"Invertida",IF($P289=1,"Acertou quem passa","Erro"))))))</x:f>
      </x:c>
      <x:c r="S289" s="59" t="str">
        <x:f>IF($O289="","",--(OR($O289=3,AND($H289="Sim",$L289=$M289,$I289=$J289,$O289=2))))</x:f>
      </x:c>
      <x:c r="T289" s="59" t="str">
        <x:f>IF($O289="","",--($O289=-2))</x:f>
      </x:c>
      <x:c r="U289" s="59" t="str">
        <x:f>IF($O289="","",--($O289=1))</x:f>
      </x:c>
      <x:c r="V289" s="59" t="n">
        <x:f>--(AND($I289&lt;&gt;"",$J289&lt;&gt;""))</x:f>
        <x:v>0</x:v>
      </x:c>
    </x:row>
    <x:row r="290">
      <x:c r="A290" s="21" t="str">
        <x:f>INDEX(Config!$B$10:$B$16,INT((ROW()-5)/104)+1)</x:f>
        <x:v>Gabriel</x:v>
      </x:c>
      <x:c r="B290" s="21" t="str">
        <x:v>R32_06</x:v>
      </x:c>
      <x:c r="C290" s="21" t="n">
        <x:v>78</x:v>
      </x:c>
      <x:c r="D290" s="21" t="str">
        <x:v>16-avos de final</x:v>
      </x:c>
      <x:c r="E290" s="21" t="str">
        <x:v>2026-06-30</x:v>
      </x:c>
      <x:c r="F290" s="21" t="str">
        <x:f>IFERROR(INDEX('Resultados'!$G$5:$G$108,MATCH($B290,'Resultados'!$A$5:$A$108,0)),"")</x:f>
        <x:v>2º Grupo E</x:v>
      </x:c>
      <x:c r="G290" s="21" t="str">
        <x:f>IFERROR(INDEX('Resultados'!$J$5:$J$108,MATCH($B290,'Resultados'!$A$5:$A$108,0)),"")</x:f>
        <x:v>2º Grupo I</x:v>
      </x:c>
      <x:c r="H290" s="21" t="str">
        <x:v>Sim</x:v>
      </x:c>
      <x:c r="I290" s="22"/>
      <x:c r="J290" s="22"/>
      <x:c r="K290" s="23"/>
      <x:c r="L290" s="21" t="str">
        <x:f>IFERROR(INDEX('Resultados'!$H$5:$H$108,MATCH($B290,'Resultados'!$A$5:$A$108,0)),"")</x:f>
      </x:c>
      <x:c r="M290" s="21" t="str">
        <x:f>IFERROR(INDEX('Resultados'!$I$5:$I$108,MATCH($B290,'Resultados'!$A$5:$A$108,0)),"")</x:f>
      </x:c>
      <x:c r="N290" s="21" t="str">
        <x:f>IFERROR(INDEX('Resultados'!$L$5:$L$108,MATCH($B290,'Resultados'!$A$5:$A$108,0)),"")</x:f>
      </x:c>
      <x:c r="O290" s="59" t="str">
        <x:f>IF(OR($I290="",$J290="",$L290="",$M290=""),"",IF(AND($H290="Sim",$L290=$M290),IF($I290&lt;&gt;$J290,0,IF(AND($I290=$L290,$J290=$M290),2,1)),IF(AND($I290=$L290,$J290=$M290),3,IF(AND($I290&lt;&gt;$J290,$I290=$M290,$J290=$L290),-2,IF(SIGN($I290-$J290)=SIGN($L290-$M290),1,0)))))</x:f>
      </x:c>
      <x:c r="P290" s="59" t="str">
        <x:f>IF(OR($H290&lt;&gt;"Sim",$I290="",$J290="",$L290="",$M290=""),"",IF(AND(IF($I290&gt;$J290,$F290,IF($I290&lt;$J290,$G290,$K290))&lt;&gt;"",IF($L290&gt;$M290,$F290,IF($L290&lt;$M290,$G290,$N290))&lt;&gt;"",IF($I290&gt;$J290,$F290,IF($I290&lt;$J290,$G290,$K290))=IF($L290&gt;$M290,$F290,IF($L290&lt;$M290,$G290,$N290))),1,0))</x:f>
      </x:c>
      <x:c r="Q290" s="59" t="str">
        <x:f>IF($O290="","",$O290+$P290)</x:f>
      </x:c>
      <x:c r="R290" s="59" t="str">
        <x:f>IF($Q290="","",IF($O290=3,"Cravada",IF(AND($H290="Sim",$L290=$M290,$I290=$J290,$O290=2),"Empate cravado",IF($O290=1,"Resultado certo",IF($O290=-2,"Invertida",IF($P290=1,"Acertou quem passa","Erro"))))))</x:f>
      </x:c>
      <x:c r="S290" s="59" t="str">
        <x:f>IF($O290="","",--(OR($O290=3,AND($H290="Sim",$L290=$M290,$I290=$J290,$O290=2))))</x:f>
      </x:c>
      <x:c r="T290" s="59" t="str">
        <x:f>IF($O290="","",--($O290=-2))</x:f>
      </x:c>
      <x:c r="U290" s="59" t="str">
        <x:f>IF($O290="","",--($O290=1))</x:f>
      </x:c>
      <x:c r="V290" s="59" t="n">
        <x:f>--(AND($I290&lt;&gt;"",$J290&lt;&gt;""))</x:f>
        <x:v>0</x:v>
      </x:c>
    </x:row>
    <x:row r="291">
      <x:c r="A291" s="21" t="str">
        <x:f>INDEX(Config!$B$10:$B$16,INT((ROW()-5)/104)+1)</x:f>
        <x:v>Gabriel</x:v>
      </x:c>
      <x:c r="B291" s="21" t="str">
        <x:v>R32_07</x:v>
      </x:c>
      <x:c r="C291" s="21" t="n">
        <x:v>79</x:v>
      </x:c>
      <x:c r="D291" s="21" t="str">
        <x:v>16-avos de final</x:v>
      </x:c>
      <x:c r="E291" s="21" t="str">
        <x:v>2026-06-30</x:v>
      </x:c>
      <x:c r="F291" s="21" t="str">
        <x:f>IFERROR(INDEX('Resultados'!$G$5:$G$108,MATCH($B291,'Resultados'!$A$5:$A$108,0)),"")</x:f>
        <x:v>1º Grupo A</x:v>
      </x:c>
      <x:c r="G291" s="21" t="str">
        <x:f>IFERROR(INDEX('Resultados'!$J$5:$J$108,MATCH($B291,'Resultados'!$A$5:$A$108,0)),"")</x:f>
        <x:v>3º C/E/F/H/I</x:v>
      </x:c>
      <x:c r="H291" s="21" t="str">
        <x:v>Sim</x:v>
      </x:c>
      <x:c r="I291" s="22"/>
      <x:c r="J291" s="22"/>
      <x:c r="K291" s="23"/>
      <x:c r="L291" s="21" t="str">
        <x:f>IFERROR(INDEX('Resultados'!$H$5:$H$108,MATCH($B291,'Resultados'!$A$5:$A$108,0)),"")</x:f>
      </x:c>
      <x:c r="M291" s="21" t="str">
        <x:f>IFERROR(INDEX('Resultados'!$I$5:$I$108,MATCH($B291,'Resultados'!$A$5:$A$108,0)),"")</x:f>
      </x:c>
      <x:c r="N291" s="21" t="str">
        <x:f>IFERROR(INDEX('Resultados'!$L$5:$L$108,MATCH($B291,'Resultados'!$A$5:$A$108,0)),"")</x:f>
      </x:c>
      <x:c r="O291" s="59" t="str">
        <x:f>IF(OR($I291="",$J291="",$L291="",$M291=""),"",IF(AND($H291="Sim",$L291=$M291),IF($I291&lt;&gt;$J291,0,IF(AND($I291=$L291,$J291=$M291),2,1)),IF(AND($I291=$L291,$J291=$M291),3,IF(AND($I291&lt;&gt;$J291,$I291=$M291,$J291=$L291),-2,IF(SIGN($I291-$J291)=SIGN($L291-$M291),1,0)))))</x:f>
      </x:c>
      <x:c r="P291" s="59" t="str">
        <x:f>IF(OR($H291&lt;&gt;"Sim",$I291="",$J291="",$L291="",$M291=""),"",IF(AND(IF($I291&gt;$J291,$F291,IF($I291&lt;$J291,$G291,$K291))&lt;&gt;"",IF($L291&gt;$M291,$F291,IF($L291&lt;$M291,$G291,$N291))&lt;&gt;"",IF($I291&gt;$J291,$F291,IF($I291&lt;$J291,$G291,$K291))=IF($L291&gt;$M291,$F291,IF($L291&lt;$M291,$G291,$N291))),1,0))</x:f>
      </x:c>
      <x:c r="Q291" s="59" t="str">
        <x:f>IF($O291="","",$O291+$P291)</x:f>
      </x:c>
      <x:c r="R291" s="59" t="str">
        <x:f>IF($Q291="","",IF($O291=3,"Cravada",IF(AND($H291="Sim",$L291=$M291,$I291=$J291,$O291=2),"Empate cravado",IF($O291=1,"Resultado certo",IF($O291=-2,"Invertida",IF($P291=1,"Acertou quem passa","Erro"))))))</x:f>
      </x:c>
      <x:c r="S291" s="59" t="str">
        <x:f>IF($O291="","",--(OR($O291=3,AND($H291="Sim",$L291=$M291,$I291=$J291,$O291=2))))</x:f>
      </x:c>
      <x:c r="T291" s="59" t="str">
        <x:f>IF($O291="","",--($O291=-2))</x:f>
      </x:c>
      <x:c r="U291" s="59" t="str">
        <x:f>IF($O291="","",--($O291=1))</x:f>
      </x:c>
      <x:c r="V291" s="59" t="n">
        <x:f>--(AND($I291&lt;&gt;"",$J291&lt;&gt;""))</x:f>
        <x:v>0</x:v>
      </x:c>
    </x:row>
    <x:row r="292">
      <x:c r="A292" s="21" t="str">
        <x:f>INDEX(Config!$B$10:$B$16,INT((ROW()-5)/104)+1)</x:f>
        <x:v>Gabriel</x:v>
      </x:c>
      <x:c r="B292" s="21" t="str">
        <x:v>R32_08</x:v>
      </x:c>
      <x:c r="C292" s="21" t="n">
        <x:v>80</x:v>
      </x:c>
      <x:c r="D292" s="21" t="str">
        <x:v>16-avos de final</x:v>
      </x:c>
      <x:c r="E292" s="21" t="str">
        <x:v>2026-07-01</x:v>
      </x:c>
      <x:c r="F292" s="21" t="str">
        <x:f>IFERROR(INDEX('Resultados'!$G$5:$G$108,MATCH($B292,'Resultados'!$A$5:$A$108,0)),"")</x:f>
        <x:v>1º Grupo L</x:v>
      </x:c>
      <x:c r="G292" s="21" t="str">
        <x:f>IFERROR(INDEX('Resultados'!$J$5:$J$108,MATCH($B292,'Resultados'!$A$5:$A$108,0)),"")</x:f>
        <x:v>3º E/H/I/J/K</x:v>
      </x:c>
      <x:c r="H292" s="21" t="str">
        <x:v>Sim</x:v>
      </x:c>
      <x:c r="I292" s="22"/>
      <x:c r="J292" s="22"/>
      <x:c r="K292" s="23"/>
      <x:c r="L292" s="21" t="str">
        <x:f>IFERROR(INDEX('Resultados'!$H$5:$H$108,MATCH($B292,'Resultados'!$A$5:$A$108,0)),"")</x:f>
      </x:c>
      <x:c r="M292" s="21" t="str">
        <x:f>IFERROR(INDEX('Resultados'!$I$5:$I$108,MATCH($B292,'Resultados'!$A$5:$A$108,0)),"")</x:f>
      </x:c>
      <x:c r="N292" s="21" t="str">
        <x:f>IFERROR(INDEX('Resultados'!$L$5:$L$108,MATCH($B292,'Resultados'!$A$5:$A$108,0)),"")</x:f>
      </x:c>
      <x:c r="O292" s="59" t="str">
        <x:f>IF(OR($I292="",$J292="",$L292="",$M292=""),"",IF(AND($H292="Sim",$L292=$M292),IF($I292&lt;&gt;$J292,0,IF(AND($I292=$L292,$J292=$M292),2,1)),IF(AND($I292=$L292,$J292=$M292),3,IF(AND($I292&lt;&gt;$J292,$I292=$M292,$J292=$L292),-2,IF(SIGN($I292-$J292)=SIGN($L292-$M292),1,0)))))</x:f>
      </x:c>
      <x:c r="P292" s="59" t="str">
        <x:f>IF(OR($H292&lt;&gt;"Sim",$I292="",$J292="",$L292="",$M292=""),"",IF(AND(IF($I292&gt;$J292,$F292,IF($I292&lt;$J292,$G292,$K292))&lt;&gt;"",IF($L292&gt;$M292,$F292,IF($L292&lt;$M292,$G292,$N292))&lt;&gt;"",IF($I292&gt;$J292,$F292,IF($I292&lt;$J292,$G292,$K292))=IF($L292&gt;$M292,$F292,IF($L292&lt;$M292,$G292,$N292))),1,0))</x:f>
      </x:c>
      <x:c r="Q292" s="59" t="str">
        <x:f>IF($O292="","",$O292+$P292)</x:f>
      </x:c>
      <x:c r="R292" s="59" t="str">
        <x:f>IF($Q292="","",IF($O292=3,"Cravada",IF(AND($H292="Sim",$L292=$M292,$I292=$J292,$O292=2),"Empate cravado",IF($O292=1,"Resultado certo",IF($O292=-2,"Invertida",IF($P292=1,"Acertou quem passa","Erro"))))))</x:f>
      </x:c>
      <x:c r="S292" s="59" t="str">
        <x:f>IF($O292="","",--(OR($O292=3,AND($H292="Sim",$L292=$M292,$I292=$J292,$O292=2))))</x:f>
      </x:c>
      <x:c r="T292" s="59" t="str">
        <x:f>IF($O292="","",--($O292=-2))</x:f>
      </x:c>
      <x:c r="U292" s="59" t="str">
        <x:f>IF($O292="","",--($O292=1))</x:f>
      </x:c>
      <x:c r="V292" s="59" t="n">
        <x:f>--(AND($I292&lt;&gt;"",$J292&lt;&gt;""))</x:f>
        <x:v>0</x:v>
      </x:c>
    </x:row>
    <x:row r="293">
      <x:c r="A293" s="21" t="str">
        <x:f>INDEX(Config!$B$10:$B$16,INT((ROW()-5)/104)+1)</x:f>
        <x:v>Gabriel</x:v>
      </x:c>
      <x:c r="B293" s="21" t="str">
        <x:v>R32_09</x:v>
      </x:c>
      <x:c r="C293" s="21" t="n">
        <x:v>81</x:v>
      </x:c>
      <x:c r="D293" s="21" t="str">
        <x:v>16-avos de final</x:v>
      </x:c>
      <x:c r="E293" s="21" t="str">
        <x:v>2026-07-01</x:v>
      </x:c>
      <x:c r="F293" s="21" t="str">
        <x:f>IFERROR(INDEX('Resultados'!$G$5:$G$108,MATCH($B293,'Resultados'!$A$5:$A$108,0)),"")</x:f>
        <x:v>1º Grupo D</x:v>
      </x:c>
      <x:c r="G293" s="21" t="str">
        <x:f>IFERROR(INDEX('Resultados'!$J$5:$J$108,MATCH($B293,'Resultados'!$A$5:$A$108,0)),"")</x:f>
        <x:v>3º B/E/F/I/J</x:v>
      </x:c>
      <x:c r="H293" s="21" t="str">
        <x:v>Sim</x:v>
      </x:c>
      <x:c r="I293" s="22"/>
      <x:c r="J293" s="22"/>
      <x:c r="K293" s="23"/>
      <x:c r="L293" s="21" t="str">
        <x:f>IFERROR(INDEX('Resultados'!$H$5:$H$108,MATCH($B293,'Resultados'!$A$5:$A$108,0)),"")</x:f>
      </x:c>
      <x:c r="M293" s="21" t="str">
        <x:f>IFERROR(INDEX('Resultados'!$I$5:$I$108,MATCH($B293,'Resultados'!$A$5:$A$108,0)),"")</x:f>
      </x:c>
      <x:c r="N293" s="21" t="str">
        <x:f>IFERROR(INDEX('Resultados'!$L$5:$L$108,MATCH($B293,'Resultados'!$A$5:$A$108,0)),"")</x:f>
      </x:c>
      <x:c r="O293" s="59" t="str">
        <x:f>IF(OR($I293="",$J293="",$L293="",$M293=""),"",IF(AND($H293="Sim",$L293=$M293),IF($I293&lt;&gt;$J293,0,IF(AND($I293=$L293,$J293=$M293),2,1)),IF(AND($I293=$L293,$J293=$M293),3,IF(AND($I293&lt;&gt;$J293,$I293=$M293,$J293=$L293),-2,IF(SIGN($I293-$J293)=SIGN($L293-$M293),1,0)))))</x:f>
      </x:c>
      <x:c r="P293" s="59" t="str">
        <x:f>IF(OR($H293&lt;&gt;"Sim",$I293="",$J293="",$L293="",$M293=""),"",IF(AND(IF($I293&gt;$J293,$F293,IF($I293&lt;$J293,$G293,$K293))&lt;&gt;"",IF($L293&gt;$M293,$F293,IF($L293&lt;$M293,$G293,$N293))&lt;&gt;"",IF($I293&gt;$J293,$F293,IF($I293&lt;$J293,$G293,$K293))=IF($L293&gt;$M293,$F293,IF($L293&lt;$M293,$G293,$N293))),1,0))</x:f>
      </x:c>
      <x:c r="Q293" s="59" t="str">
        <x:f>IF($O293="","",$O293+$P293)</x:f>
      </x:c>
      <x:c r="R293" s="59" t="str">
        <x:f>IF($Q293="","",IF($O293=3,"Cravada",IF(AND($H293="Sim",$L293=$M293,$I293=$J293,$O293=2),"Empate cravado",IF($O293=1,"Resultado certo",IF($O293=-2,"Invertida",IF($P293=1,"Acertou quem passa","Erro"))))))</x:f>
      </x:c>
      <x:c r="S293" s="59" t="str">
        <x:f>IF($O293="","",--(OR($O293=3,AND($H293="Sim",$L293=$M293,$I293=$J293,$O293=2))))</x:f>
      </x:c>
      <x:c r="T293" s="59" t="str">
        <x:f>IF($O293="","",--($O293=-2))</x:f>
      </x:c>
      <x:c r="U293" s="59" t="str">
        <x:f>IF($O293="","",--($O293=1))</x:f>
      </x:c>
      <x:c r="V293" s="59" t="n">
        <x:f>--(AND($I293&lt;&gt;"",$J293&lt;&gt;""))</x:f>
        <x:v>0</x:v>
      </x:c>
    </x:row>
    <x:row r="294">
      <x:c r="A294" s="21" t="str">
        <x:f>INDEX(Config!$B$10:$B$16,INT((ROW()-5)/104)+1)</x:f>
        <x:v>Gabriel</x:v>
      </x:c>
      <x:c r="B294" s="21" t="str">
        <x:v>R32_10</x:v>
      </x:c>
      <x:c r="C294" s="21" t="n">
        <x:v>82</x:v>
      </x:c>
      <x:c r="D294" s="21" t="str">
        <x:v>16-avos de final</x:v>
      </x:c>
      <x:c r="E294" s="21" t="str">
        <x:v>2026-07-01</x:v>
      </x:c>
      <x:c r="F294" s="21" t="str">
        <x:f>IFERROR(INDEX('Resultados'!$G$5:$G$108,MATCH($B294,'Resultados'!$A$5:$A$108,0)),"")</x:f>
        <x:v>1º Grupo G</x:v>
      </x:c>
      <x:c r="G294" s="21" t="str">
        <x:f>IFERROR(INDEX('Resultados'!$J$5:$J$108,MATCH($B294,'Resultados'!$A$5:$A$108,0)),"")</x:f>
        <x:v>3º A/E/H/I/J</x:v>
      </x:c>
      <x:c r="H294" s="21" t="str">
        <x:v>Sim</x:v>
      </x:c>
      <x:c r="I294" s="22"/>
      <x:c r="J294" s="22"/>
      <x:c r="K294" s="23"/>
      <x:c r="L294" s="21" t="str">
        <x:f>IFERROR(INDEX('Resultados'!$H$5:$H$108,MATCH($B294,'Resultados'!$A$5:$A$108,0)),"")</x:f>
      </x:c>
      <x:c r="M294" s="21" t="str">
        <x:f>IFERROR(INDEX('Resultados'!$I$5:$I$108,MATCH($B294,'Resultados'!$A$5:$A$108,0)),"")</x:f>
      </x:c>
      <x:c r="N294" s="21" t="str">
        <x:f>IFERROR(INDEX('Resultados'!$L$5:$L$108,MATCH($B294,'Resultados'!$A$5:$A$108,0)),"")</x:f>
      </x:c>
      <x:c r="O294" s="59" t="str">
        <x:f>IF(OR($I294="",$J294="",$L294="",$M294=""),"",IF(AND($H294="Sim",$L294=$M294),IF($I294&lt;&gt;$J294,0,IF(AND($I294=$L294,$J294=$M294),2,1)),IF(AND($I294=$L294,$J294=$M294),3,IF(AND($I294&lt;&gt;$J294,$I294=$M294,$J294=$L294),-2,IF(SIGN($I294-$J294)=SIGN($L294-$M294),1,0)))))</x:f>
      </x:c>
      <x:c r="P294" s="59" t="str">
        <x:f>IF(OR($H294&lt;&gt;"Sim",$I294="",$J294="",$L294="",$M294=""),"",IF(AND(IF($I294&gt;$J294,$F294,IF($I294&lt;$J294,$G294,$K294))&lt;&gt;"",IF($L294&gt;$M294,$F294,IF($L294&lt;$M294,$G294,$N294))&lt;&gt;"",IF($I294&gt;$J294,$F294,IF($I294&lt;$J294,$G294,$K294))=IF($L294&gt;$M294,$F294,IF($L294&lt;$M294,$G294,$N294))),1,0))</x:f>
      </x:c>
      <x:c r="Q294" s="59" t="str">
        <x:f>IF($O294="","",$O294+$P294)</x:f>
      </x:c>
      <x:c r="R294" s="59" t="str">
        <x:f>IF($Q294="","",IF($O294=3,"Cravada",IF(AND($H294="Sim",$L294=$M294,$I294=$J294,$O294=2),"Empate cravado",IF($O294=1,"Resultado certo",IF($O294=-2,"Invertida",IF($P294=1,"Acertou quem passa","Erro"))))))</x:f>
      </x:c>
      <x:c r="S294" s="59" t="str">
        <x:f>IF($O294="","",--(OR($O294=3,AND($H294="Sim",$L294=$M294,$I294=$J294,$O294=2))))</x:f>
      </x:c>
      <x:c r="T294" s="59" t="str">
        <x:f>IF($O294="","",--($O294=-2))</x:f>
      </x:c>
      <x:c r="U294" s="59" t="str">
        <x:f>IF($O294="","",--($O294=1))</x:f>
      </x:c>
      <x:c r="V294" s="59" t="n">
        <x:f>--(AND($I294&lt;&gt;"",$J294&lt;&gt;""))</x:f>
        <x:v>0</x:v>
      </x:c>
    </x:row>
    <x:row r="295">
      <x:c r="A295" s="21" t="str">
        <x:f>INDEX(Config!$B$10:$B$16,INT((ROW()-5)/104)+1)</x:f>
        <x:v>Gabriel</x:v>
      </x:c>
      <x:c r="B295" s="21" t="str">
        <x:v>R32_11</x:v>
      </x:c>
      <x:c r="C295" s="21" t="n">
        <x:v>83</x:v>
      </x:c>
      <x:c r="D295" s="21" t="str">
        <x:v>16-avos de final</x:v>
      </x:c>
      <x:c r="E295" s="21" t="str">
        <x:v>2026-07-02</x:v>
      </x:c>
      <x:c r="F295" s="21" t="str">
        <x:f>IFERROR(INDEX('Resultados'!$G$5:$G$108,MATCH($B295,'Resultados'!$A$5:$A$108,0)),"")</x:f>
        <x:v>2º Grupo K</x:v>
      </x:c>
      <x:c r="G295" s="21" t="str">
        <x:f>IFERROR(INDEX('Resultados'!$J$5:$J$108,MATCH($B295,'Resultados'!$A$5:$A$108,0)),"")</x:f>
        <x:v>2º Grupo L</x:v>
      </x:c>
      <x:c r="H295" s="21" t="str">
        <x:v>Sim</x:v>
      </x:c>
      <x:c r="I295" s="22"/>
      <x:c r="J295" s="22"/>
      <x:c r="K295" s="23"/>
      <x:c r="L295" s="21" t="str">
        <x:f>IFERROR(INDEX('Resultados'!$H$5:$H$108,MATCH($B295,'Resultados'!$A$5:$A$108,0)),"")</x:f>
      </x:c>
      <x:c r="M295" s="21" t="str">
        <x:f>IFERROR(INDEX('Resultados'!$I$5:$I$108,MATCH($B295,'Resultados'!$A$5:$A$108,0)),"")</x:f>
      </x:c>
      <x:c r="N295" s="21" t="str">
        <x:f>IFERROR(INDEX('Resultados'!$L$5:$L$108,MATCH($B295,'Resultados'!$A$5:$A$108,0)),"")</x:f>
      </x:c>
      <x:c r="O295" s="59" t="str">
        <x:f>IF(OR($I295="",$J295="",$L295="",$M295=""),"",IF(AND($H295="Sim",$L295=$M295),IF($I295&lt;&gt;$J295,0,IF(AND($I295=$L295,$J295=$M295),2,1)),IF(AND($I295=$L295,$J295=$M295),3,IF(AND($I295&lt;&gt;$J295,$I295=$M295,$J295=$L295),-2,IF(SIGN($I295-$J295)=SIGN($L295-$M295),1,0)))))</x:f>
      </x:c>
      <x:c r="P295" s="59" t="str">
        <x:f>IF(OR($H295&lt;&gt;"Sim",$I295="",$J295="",$L295="",$M295=""),"",IF(AND(IF($I295&gt;$J295,$F295,IF($I295&lt;$J295,$G295,$K295))&lt;&gt;"",IF($L295&gt;$M295,$F295,IF($L295&lt;$M295,$G295,$N295))&lt;&gt;"",IF($I295&gt;$J295,$F295,IF($I295&lt;$J295,$G295,$K295))=IF($L295&gt;$M295,$F295,IF($L295&lt;$M295,$G295,$N295))),1,0))</x:f>
      </x:c>
      <x:c r="Q295" s="59" t="str">
        <x:f>IF($O295="","",$O295+$P295)</x:f>
      </x:c>
      <x:c r="R295" s="59" t="str">
        <x:f>IF($Q295="","",IF($O295=3,"Cravada",IF(AND($H295="Sim",$L295=$M295,$I295=$J295,$O295=2),"Empate cravado",IF($O295=1,"Resultado certo",IF($O295=-2,"Invertida",IF($P295=1,"Acertou quem passa","Erro"))))))</x:f>
      </x:c>
      <x:c r="S295" s="59" t="str">
        <x:f>IF($O295="","",--(OR($O295=3,AND($H295="Sim",$L295=$M295,$I295=$J295,$O295=2))))</x:f>
      </x:c>
      <x:c r="T295" s="59" t="str">
        <x:f>IF($O295="","",--($O295=-2))</x:f>
      </x:c>
      <x:c r="U295" s="59" t="str">
        <x:f>IF($O295="","",--($O295=1))</x:f>
      </x:c>
      <x:c r="V295" s="59" t="n">
        <x:f>--(AND($I295&lt;&gt;"",$J295&lt;&gt;""))</x:f>
        <x:v>0</x:v>
      </x:c>
    </x:row>
    <x:row r="296">
      <x:c r="A296" s="21" t="str">
        <x:f>INDEX(Config!$B$10:$B$16,INT((ROW()-5)/104)+1)</x:f>
        <x:v>Gabriel</x:v>
      </x:c>
      <x:c r="B296" s="21" t="str">
        <x:v>R32_12</x:v>
      </x:c>
      <x:c r="C296" s="21" t="n">
        <x:v>84</x:v>
      </x:c>
      <x:c r="D296" s="21" t="str">
        <x:v>16-avos de final</x:v>
      </x:c>
      <x:c r="E296" s="21" t="str">
        <x:v>2026-07-02</x:v>
      </x:c>
      <x:c r="F296" s="21" t="str">
        <x:f>IFERROR(INDEX('Resultados'!$G$5:$G$108,MATCH($B296,'Resultados'!$A$5:$A$108,0)),"")</x:f>
        <x:v>1º Grupo H</x:v>
      </x:c>
      <x:c r="G296" s="21" t="str">
        <x:f>IFERROR(INDEX('Resultados'!$J$5:$J$108,MATCH($B296,'Resultados'!$A$5:$A$108,0)),"")</x:f>
        <x:v>2º Grupo J</x:v>
      </x:c>
      <x:c r="H296" s="21" t="str">
        <x:v>Sim</x:v>
      </x:c>
      <x:c r="I296" s="22"/>
      <x:c r="J296" s="22"/>
      <x:c r="K296" s="23"/>
      <x:c r="L296" s="21" t="str">
        <x:f>IFERROR(INDEX('Resultados'!$H$5:$H$108,MATCH($B296,'Resultados'!$A$5:$A$108,0)),"")</x:f>
      </x:c>
      <x:c r="M296" s="21" t="str">
        <x:f>IFERROR(INDEX('Resultados'!$I$5:$I$108,MATCH($B296,'Resultados'!$A$5:$A$108,0)),"")</x:f>
      </x:c>
      <x:c r="N296" s="21" t="str">
        <x:f>IFERROR(INDEX('Resultados'!$L$5:$L$108,MATCH($B296,'Resultados'!$A$5:$A$108,0)),"")</x:f>
      </x:c>
      <x:c r="O296" s="59" t="str">
        <x:f>IF(OR($I296="",$J296="",$L296="",$M296=""),"",IF(AND($H296="Sim",$L296=$M296),IF($I296&lt;&gt;$J296,0,IF(AND($I296=$L296,$J296=$M296),2,1)),IF(AND($I296=$L296,$J296=$M296),3,IF(AND($I296&lt;&gt;$J296,$I296=$M296,$J296=$L296),-2,IF(SIGN($I296-$J296)=SIGN($L296-$M296),1,0)))))</x:f>
      </x:c>
      <x:c r="P296" s="59" t="str">
        <x:f>IF(OR($H296&lt;&gt;"Sim",$I296="",$J296="",$L296="",$M296=""),"",IF(AND(IF($I296&gt;$J296,$F296,IF($I296&lt;$J296,$G296,$K296))&lt;&gt;"",IF($L296&gt;$M296,$F296,IF($L296&lt;$M296,$G296,$N296))&lt;&gt;"",IF($I296&gt;$J296,$F296,IF($I296&lt;$J296,$G296,$K296))=IF($L296&gt;$M296,$F296,IF($L296&lt;$M296,$G296,$N296))),1,0))</x:f>
      </x:c>
      <x:c r="Q296" s="59" t="str">
        <x:f>IF($O296="","",$O296+$P296)</x:f>
      </x:c>
      <x:c r="R296" s="59" t="str">
        <x:f>IF($Q296="","",IF($O296=3,"Cravada",IF(AND($H296="Sim",$L296=$M296,$I296=$J296,$O296=2),"Empate cravado",IF($O296=1,"Resultado certo",IF($O296=-2,"Invertida",IF($P296=1,"Acertou quem passa","Erro"))))))</x:f>
      </x:c>
      <x:c r="S296" s="59" t="str">
        <x:f>IF($O296="","",--(OR($O296=3,AND($H296="Sim",$L296=$M296,$I296=$J296,$O296=2))))</x:f>
      </x:c>
      <x:c r="T296" s="59" t="str">
        <x:f>IF($O296="","",--($O296=-2))</x:f>
      </x:c>
      <x:c r="U296" s="59" t="str">
        <x:f>IF($O296="","",--($O296=1))</x:f>
      </x:c>
      <x:c r="V296" s="59" t="n">
        <x:f>--(AND($I296&lt;&gt;"",$J296&lt;&gt;""))</x:f>
        <x:v>0</x:v>
      </x:c>
    </x:row>
    <x:row r="297">
      <x:c r="A297" s="21" t="str">
        <x:f>INDEX(Config!$B$10:$B$16,INT((ROW()-5)/104)+1)</x:f>
        <x:v>Gabriel</x:v>
      </x:c>
      <x:c r="B297" s="21" t="str">
        <x:v>R32_13</x:v>
      </x:c>
      <x:c r="C297" s="21" t="n">
        <x:v>85</x:v>
      </x:c>
      <x:c r="D297" s="21" t="str">
        <x:v>16-avos de final</x:v>
      </x:c>
      <x:c r="E297" s="21" t="str">
        <x:v>2026-07-03</x:v>
      </x:c>
      <x:c r="F297" s="21" t="str">
        <x:f>IFERROR(INDEX('Resultados'!$G$5:$G$108,MATCH($B297,'Resultados'!$A$5:$A$108,0)),"")</x:f>
        <x:v>1º Grupo B</x:v>
      </x:c>
      <x:c r="G297" s="21" t="str">
        <x:f>IFERROR(INDEX('Resultados'!$J$5:$J$108,MATCH($B297,'Resultados'!$A$5:$A$108,0)),"")</x:f>
        <x:v>3º E/F/G/I/J</x:v>
      </x:c>
      <x:c r="H297" s="21" t="str">
        <x:v>Sim</x:v>
      </x:c>
      <x:c r="I297" s="22"/>
      <x:c r="J297" s="22"/>
      <x:c r="K297" s="23"/>
      <x:c r="L297" s="21" t="str">
        <x:f>IFERROR(INDEX('Resultados'!$H$5:$H$108,MATCH($B297,'Resultados'!$A$5:$A$108,0)),"")</x:f>
      </x:c>
      <x:c r="M297" s="21" t="str">
        <x:f>IFERROR(INDEX('Resultados'!$I$5:$I$108,MATCH($B297,'Resultados'!$A$5:$A$108,0)),"")</x:f>
      </x:c>
      <x:c r="N297" s="21" t="str">
        <x:f>IFERROR(INDEX('Resultados'!$L$5:$L$108,MATCH($B297,'Resultados'!$A$5:$A$108,0)),"")</x:f>
      </x:c>
      <x:c r="O297" s="59" t="str">
        <x:f>IF(OR($I297="",$J297="",$L297="",$M297=""),"",IF(AND($H297="Sim",$L297=$M297),IF($I297&lt;&gt;$J297,0,IF(AND($I297=$L297,$J297=$M297),2,1)),IF(AND($I297=$L297,$J297=$M297),3,IF(AND($I297&lt;&gt;$J297,$I297=$M297,$J297=$L297),-2,IF(SIGN($I297-$J297)=SIGN($L297-$M297),1,0)))))</x:f>
      </x:c>
      <x:c r="P297" s="59" t="str">
        <x:f>IF(OR($H297&lt;&gt;"Sim",$I297="",$J297="",$L297="",$M297=""),"",IF(AND(IF($I297&gt;$J297,$F297,IF($I297&lt;$J297,$G297,$K297))&lt;&gt;"",IF($L297&gt;$M297,$F297,IF($L297&lt;$M297,$G297,$N297))&lt;&gt;"",IF($I297&gt;$J297,$F297,IF($I297&lt;$J297,$G297,$K297))=IF($L297&gt;$M297,$F297,IF($L297&lt;$M297,$G297,$N297))),1,0))</x:f>
      </x:c>
      <x:c r="Q297" s="59" t="str">
        <x:f>IF($O297="","",$O297+$P297)</x:f>
      </x:c>
      <x:c r="R297" s="59" t="str">
        <x:f>IF($Q297="","",IF($O297=3,"Cravada",IF(AND($H297="Sim",$L297=$M297,$I297=$J297,$O297=2),"Empate cravado",IF($O297=1,"Resultado certo",IF($O297=-2,"Invertida",IF($P297=1,"Acertou quem passa","Erro"))))))</x:f>
      </x:c>
      <x:c r="S297" s="59" t="str">
        <x:f>IF($O297="","",--(OR($O297=3,AND($H297="Sim",$L297=$M297,$I297=$J297,$O297=2))))</x:f>
      </x:c>
      <x:c r="T297" s="59" t="str">
        <x:f>IF($O297="","",--($O297=-2))</x:f>
      </x:c>
      <x:c r="U297" s="59" t="str">
        <x:f>IF($O297="","",--($O297=1))</x:f>
      </x:c>
      <x:c r="V297" s="59" t="n">
        <x:f>--(AND($I297&lt;&gt;"",$J297&lt;&gt;""))</x:f>
        <x:v>0</x:v>
      </x:c>
    </x:row>
    <x:row r="298">
      <x:c r="A298" s="21" t="str">
        <x:f>INDEX(Config!$B$10:$B$16,INT((ROW()-5)/104)+1)</x:f>
        <x:v>Gabriel</x:v>
      </x:c>
      <x:c r="B298" s="21" t="str">
        <x:v>R32_14</x:v>
      </x:c>
      <x:c r="C298" s="21" t="n">
        <x:v>86</x:v>
      </x:c>
      <x:c r="D298" s="21" t="str">
        <x:v>16-avos de final</x:v>
      </x:c>
      <x:c r="E298" s="21" t="str">
        <x:v>2026-07-03</x:v>
      </x:c>
      <x:c r="F298" s="21" t="str">
        <x:f>IFERROR(INDEX('Resultados'!$G$5:$G$108,MATCH($B298,'Resultados'!$A$5:$A$108,0)),"")</x:f>
        <x:v>1º Grupo J</x:v>
      </x:c>
      <x:c r="G298" s="21" t="str">
        <x:f>IFERROR(INDEX('Resultados'!$J$5:$J$108,MATCH($B298,'Resultados'!$A$5:$A$108,0)),"")</x:f>
        <x:v>2º Grupo H</x:v>
      </x:c>
      <x:c r="H298" s="21" t="str">
        <x:v>Sim</x:v>
      </x:c>
      <x:c r="I298" s="22"/>
      <x:c r="J298" s="22"/>
      <x:c r="K298" s="23"/>
      <x:c r="L298" s="21" t="str">
        <x:f>IFERROR(INDEX('Resultados'!$H$5:$H$108,MATCH($B298,'Resultados'!$A$5:$A$108,0)),"")</x:f>
      </x:c>
      <x:c r="M298" s="21" t="str">
        <x:f>IFERROR(INDEX('Resultados'!$I$5:$I$108,MATCH($B298,'Resultados'!$A$5:$A$108,0)),"")</x:f>
      </x:c>
      <x:c r="N298" s="21" t="str">
        <x:f>IFERROR(INDEX('Resultados'!$L$5:$L$108,MATCH($B298,'Resultados'!$A$5:$A$108,0)),"")</x:f>
      </x:c>
      <x:c r="O298" s="59" t="str">
        <x:f>IF(OR($I298="",$J298="",$L298="",$M298=""),"",IF(AND($H298="Sim",$L298=$M298),IF($I298&lt;&gt;$J298,0,IF(AND($I298=$L298,$J298=$M298),2,1)),IF(AND($I298=$L298,$J298=$M298),3,IF(AND($I298&lt;&gt;$J298,$I298=$M298,$J298=$L298),-2,IF(SIGN($I298-$J298)=SIGN($L298-$M298),1,0)))))</x:f>
      </x:c>
      <x:c r="P298" s="59" t="str">
        <x:f>IF(OR($H298&lt;&gt;"Sim",$I298="",$J298="",$L298="",$M298=""),"",IF(AND(IF($I298&gt;$J298,$F298,IF($I298&lt;$J298,$G298,$K298))&lt;&gt;"",IF($L298&gt;$M298,$F298,IF($L298&lt;$M298,$G298,$N298))&lt;&gt;"",IF($I298&gt;$J298,$F298,IF($I298&lt;$J298,$G298,$K298))=IF($L298&gt;$M298,$F298,IF($L298&lt;$M298,$G298,$N298))),1,0))</x:f>
      </x:c>
      <x:c r="Q298" s="59" t="str">
        <x:f>IF($O298="","",$O298+$P298)</x:f>
      </x:c>
      <x:c r="R298" s="59" t="str">
        <x:f>IF($Q298="","",IF($O298=3,"Cravada",IF(AND($H298="Sim",$L298=$M298,$I298=$J298,$O298=2),"Empate cravado",IF($O298=1,"Resultado certo",IF($O298=-2,"Invertida",IF($P298=1,"Acertou quem passa","Erro"))))))</x:f>
      </x:c>
      <x:c r="S298" s="59" t="str">
        <x:f>IF($O298="","",--(OR($O298=3,AND($H298="Sim",$L298=$M298,$I298=$J298,$O298=2))))</x:f>
      </x:c>
      <x:c r="T298" s="59" t="str">
        <x:f>IF($O298="","",--($O298=-2))</x:f>
      </x:c>
      <x:c r="U298" s="59" t="str">
        <x:f>IF($O298="","",--($O298=1))</x:f>
      </x:c>
      <x:c r="V298" s="59" t="n">
        <x:f>--(AND($I298&lt;&gt;"",$J298&lt;&gt;""))</x:f>
        <x:v>0</x:v>
      </x:c>
    </x:row>
    <x:row r="299">
      <x:c r="A299" s="21" t="str">
        <x:f>INDEX(Config!$B$10:$B$16,INT((ROW()-5)/104)+1)</x:f>
        <x:v>Gabriel</x:v>
      </x:c>
      <x:c r="B299" s="21" t="str">
        <x:v>R32_15</x:v>
      </x:c>
      <x:c r="C299" s="21" t="n">
        <x:v>87</x:v>
      </x:c>
      <x:c r="D299" s="21" t="str">
        <x:v>16-avos de final</x:v>
      </x:c>
      <x:c r="E299" s="21" t="str">
        <x:v>2026-07-03</x:v>
      </x:c>
      <x:c r="F299" s="21" t="str">
        <x:f>IFERROR(INDEX('Resultados'!$G$5:$G$108,MATCH($B299,'Resultados'!$A$5:$A$108,0)),"")</x:f>
        <x:v>1º Grupo K</x:v>
      </x:c>
      <x:c r="G299" s="21" t="str">
        <x:f>IFERROR(INDEX('Resultados'!$J$5:$J$108,MATCH($B299,'Resultados'!$A$5:$A$108,0)),"")</x:f>
        <x:v>3º D/E/I/J/L</x:v>
      </x:c>
      <x:c r="H299" s="21" t="str">
        <x:v>Sim</x:v>
      </x:c>
      <x:c r="I299" s="22"/>
      <x:c r="J299" s="22"/>
      <x:c r="K299" s="23"/>
      <x:c r="L299" s="21" t="str">
        <x:f>IFERROR(INDEX('Resultados'!$H$5:$H$108,MATCH($B299,'Resultados'!$A$5:$A$108,0)),"")</x:f>
      </x:c>
      <x:c r="M299" s="21" t="str">
        <x:f>IFERROR(INDEX('Resultados'!$I$5:$I$108,MATCH($B299,'Resultados'!$A$5:$A$108,0)),"")</x:f>
      </x:c>
      <x:c r="N299" s="21" t="str">
        <x:f>IFERROR(INDEX('Resultados'!$L$5:$L$108,MATCH($B299,'Resultados'!$A$5:$A$108,0)),"")</x:f>
      </x:c>
      <x:c r="O299" s="59" t="str">
        <x:f>IF(OR($I299="",$J299="",$L299="",$M299=""),"",IF(AND($H299="Sim",$L299=$M299),IF($I299&lt;&gt;$J299,0,IF(AND($I299=$L299,$J299=$M299),2,1)),IF(AND($I299=$L299,$J299=$M299),3,IF(AND($I299&lt;&gt;$J299,$I299=$M299,$J299=$L299),-2,IF(SIGN($I299-$J299)=SIGN($L299-$M299),1,0)))))</x:f>
      </x:c>
      <x:c r="P299" s="59" t="str">
        <x:f>IF(OR($H299&lt;&gt;"Sim",$I299="",$J299="",$L299="",$M299=""),"",IF(AND(IF($I299&gt;$J299,$F299,IF($I299&lt;$J299,$G299,$K299))&lt;&gt;"",IF($L299&gt;$M299,$F299,IF($L299&lt;$M299,$G299,$N299))&lt;&gt;"",IF($I299&gt;$J299,$F299,IF($I299&lt;$J299,$G299,$K299))=IF($L299&gt;$M299,$F299,IF($L299&lt;$M299,$G299,$N299))),1,0))</x:f>
      </x:c>
      <x:c r="Q299" s="59" t="str">
        <x:f>IF($O299="","",$O299+$P299)</x:f>
      </x:c>
      <x:c r="R299" s="59" t="str">
        <x:f>IF($Q299="","",IF($O299=3,"Cravada",IF(AND($H299="Sim",$L299=$M299,$I299=$J299,$O299=2),"Empate cravado",IF($O299=1,"Resultado certo",IF($O299=-2,"Invertida",IF($P299=1,"Acertou quem passa","Erro"))))))</x:f>
      </x:c>
      <x:c r="S299" s="59" t="str">
        <x:f>IF($O299="","",--(OR($O299=3,AND($H299="Sim",$L299=$M299,$I299=$J299,$O299=2))))</x:f>
      </x:c>
      <x:c r="T299" s="59" t="str">
        <x:f>IF($O299="","",--($O299=-2))</x:f>
      </x:c>
      <x:c r="U299" s="59" t="str">
        <x:f>IF($O299="","",--($O299=1))</x:f>
      </x:c>
      <x:c r="V299" s="59" t="n">
        <x:f>--(AND($I299&lt;&gt;"",$J299&lt;&gt;""))</x:f>
        <x:v>0</x:v>
      </x:c>
    </x:row>
    <x:row r="300">
      <x:c r="A300" s="21" t="str">
        <x:f>INDEX(Config!$B$10:$B$16,INT((ROW()-5)/104)+1)</x:f>
        <x:v>Gabriel</x:v>
      </x:c>
      <x:c r="B300" s="21" t="str">
        <x:v>R32_16</x:v>
      </x:c>
      <x:c r="C300" s="21" t="n">
        <x:v>88</x:v>
      </x:c>
      <x:c r="D300" s="21" t="str">
        <x:v>16-avos de final</x:v>
      </x:c>
      <x:c r="E300" s="21" t="str">
        <x:v>2026-07-03</x:v>
      </x:c>
      <x:c r="F300" s="21" t="str">
        <x:f>IFERROR(INDEX('Resultados'!$G$5:$G$108,MATCH($B300,'Resultados'!$A$5:$A$108,0)),"")</x:f>
        <x:v>2º Grupo D</x:v>
      </x:c>
      <x:c r="G300" s="21" t="str">
        <x:f>IFERROR(INDEX('Resultados'!$J$5:$J$108,MATCH($B300,'Resultados'!$A$5:$A$108,0)),"")</x:f>
        <x:v>2º Grupo G</x:v>
      </x:c>
      <x:c r="H300" s="21" t="str">
        <x:v>Sim</x:v>
      </x:c>
      <x:c r="I300" s="22"/>
      <x:c r="J300" s="22"/>
      <x:c r="K300" s="23"/>
      <x:c r="L300" s="21" t="str">
        <x:f>IFERROR(INDEX('Resultados'!$H$5:$H$108,MATCH($B300,'Resultados'!$A$5:$A$108,0)),"")</x:f>
      </x:c>
      <x:c r="M300" s="21" t="str">
        <x:f>IFERROR(INDEX('Resultados'!$I$5:$I$108,MATCH($B300,'Resultados'!$A$5:$A$108,0)),"")</x:f>
      </x:c>
      <x:c r="N300" s="21" t="str">
        <x:f>IFERROR(INDEX('Resultados'!$L$5:$L$108,MATCH($B300,'Resultados'!$A$5:$A$108,0)),"")</x:f>
      </x:c>
      <x:c r="O300" s="59" t="str">
        <x:f>IF(OR($I300="",$J300="",$L300="",$M300=""),"",IF(AND($H300="Sim",$L300=$M300),IF($I300&lt;&gt;$J300,0,IF(AND($I300=$L300,$J300=$M300),2,1)),IF(AND($I300=$L300,$J300=$M300),3,IF(AND($I300&lt;&gt;$J300,$I300=$M300,$J300=$L300),-2,IF(SIGN($I300-$J300)=SIGN($L300-$M300),1,0)))))</x:f>
      </x:c>
      <x:c r="P300" s="59" t="str">
        <x:f>IF(OR($H300&lt;&gt;"Sim",$I300="",$J300="",$L300="",$M300=""),"",IF(AND(IF($I300&gt;$J300,$F300,IF($I300&lt;$J300,$G300,$K300))&lt;&gt;"",IF($L300&gt;$M300,$F300,IF($L300&lt;$M300,$G300,$N300))&lt;&gt;"",IF($I300&gt;$J300,$F300,IF($I300&lt;$J300,$G300,$K300))=IF($L300&gt;$M300,$F300,IF($L300&lt;$M300,$G300,$N300))),1,0))</x:f>
      </x:c>
      <x:c r="Q300" s="59" t="str">
        <x:f>IF($O300="","",$O300+$P300)</x:f>
      </x:c>
      <x:c r="R300" s="59" t="str">
        <x:f>IF($Q300="","",IF($O300=3,"Cravada",IF(AND($H300="Sim",$L300=$M300,$I300=$J300,$O300=2),"Empate cravado",IF($O300=1,"Resultado certo",IF($O300=-2,"Invertida",IF($P300=1,"Acertou quem passa","Erro"))))))</x:f>
      </x:c>
      <x:c r="S300" s="59" t="str">
        <x:f>IF($O300="","",--(OR($O300=3,AND($H300="Sim",$L300=$M300,$I300=$J300,$O300=2))))</x:f>
      </x:c>
      <x:c r="T300" s="59" t="str">
        <x:f>IF($O300="","",--($O300=-2))</x:f>
      </x:c>
      <x:c r="U300" s="59" t="str">
        <x:f>IF($O300="","",--($O300=1))</x:f>
      </x:c>
      <x:c r="V300" s="59" t="n">
        <x:f>--(AND($I300&lt;&gt;"",$J300&lt;&gt;""))</x:f>
        <x:v>0</x:v>
      </x:c>
    </x:row>
    <x:row r="301">
      <x:c r="A301" s="21" t="str">
        <x:f>INDEX(Config!$B$10:$B$16,INT((ROW()-5)/104)+1)</x:f>
        <x:v>Gabriel</x:v>
      </x:c>
      <x:c r="B301" s="21" t="str">
        <x:v>R16_01</x:v>
      </x:c>
      <x:c r="C301" s="21" t="n">
        <x:v>89</x:v>
      </x:c>
      <x:c r="D301" s="21" t="str">
        <x:v>Oitavas de final</x:v>
      </x:c>
      <x:c r="E301" s="21" t="str">
        <x:v>2026-07-04</x:v>
      </x:c>
      <x:c r="F301" s="21" t="str">
        <x:f>IFERROR(INDEX('Resultados'!$G$5:$G$108,MATCH($B301,'Resultados'!$A$5:$A$108,0)),"")</x:f>
        <x:v>Vencedor M74</x:v>
      </x:c>
      <x:c r="G301" s="21" t="str">
        <x:f>IFERROR(INDEX('Resultados'!$J$5:$J$108,MATCH($B301,'Resultados'!$A$5:$A$108,0)),"")</x:f>
        <x:v>Vencedor M77</x:v>
      </x:c>
      <x:c r="H301" s="21" t="str">
        <x:v>Sim</x:v>
      </x:c>
      <x:c r="I301" s="22"/>
      <x:c r="J301" s="22"/>
      <x:c r="K301" s="23"/>
      <x:c r="L301" s="21" t="str">
        <x:f>IFERROR(INDEX('Resultados'!$H$5:$H$108,MATCH($B301,'Resultados'!$A$5:$A$108,0)),"")</x:f>
      </x:c>
      <x:c r="M301" s="21" t="str">
        <x:f>IFERROR(INDEX('Resultados'!$I$5:$I$108,MATCH($B301,'Resultados'!$A$5:$A$108,0)),"")</x:f>
      </x:c>
      <x:c r="N301" s="21" t="str">
        <x:f>IFERROR(INDEX('Resultados'!$L$5:$L$108,MATCH($B301,'Resultados'!$A$5:$A$108,0)),"")</x:f>
      </x:c>
      <x:c r="O301" s="59" t="str">
        <x:f>IF(OR($I301="",$J301="",$L301="",$M301=""),"",IF(AND($H301="Sim",$L301=$M301),IF($I301&lt;&gt;$J301,0,IF(AND($I301=$L301,$J301=$M301),2,1)),IF(AND($I301=$L301,$J301=$M301),3,IF(AND($I301&lt;&gt;$J301,$I301=$M301,$J301=$L301),-2,IF(SIGN($I301-$J301)=SIGN($L301-$M301),1,0)))))</x:f>
      </x:c>
      <x:c r="P301" s="59" t="str">
        <x:f>IF(OR($H301&lt;&gt;"Sim",$I301="",$J301="",$L301="",$M301=""),"",IF(AND(IF($I301&gt;$J301,$F301,IF($I301&lt;$J301,$G301,$K301))&lt;&gt;"",IF($L301&gt;$M301,$F301,IF($L301&lt;$M301,$G301,$N301))&lt;&gt;"",IF($I301&gt;$J301,$F301,IF($I301&lt;$J301,$G301,$K301))=IF($L301&gt;$M301,$F301,IF($L301&lt;$M301,$G301,$N301))),1,0))</x:f>
      </x:c>
      <x:c r="Q301" s="59" t="str">
        <x:f>IF($O301="","",$O301+$P301)</x:f>
      </x:c>
      <x:c r="R301" s="59" t="str">
        <x:f>IF($Q301="","",IF($O301=3,"Cravada",IF(AND($H301="Sim",$L301=$M301,$I301=$J301,$O301=2),"Empate cravado",IF($O301=1,"Resultado certo",IF($O301=-2,"Invertida",IF($P301=1,"Acertou quem passa","Erro"))))))</x:f>
      </x:c>
      <x:c r="S301" s="59" t="str">
        <x:f>IF($O301="","",--(OR($O301=3,AND($H301="Sim",$L301=$M301,$I301=$J301,$O301=2))))</x:f>
      </x:c>
      <x:c r="T301" s="59" t="str">
        <x:f>IF($O301="","",--($O301=-2))</x:f>
      </x:c>
      <x:c r="U301" s="59" t="str">
        <x:f>IF($O301="","",--($O301=1))</x:f>
      </x:c>
      <x:c r="V301" s="59" t="n">
        <x:f>--(AND($I301&lt;&gt;"",$J301&lt;&gt;""))</x:f>
        <x:v>0</x:v>
      </x:c>
    </x:row>
    <x:row r="302">
      <x:c r="A302" s="21" t="str">
        <x:f>INDEX(Config!$B$10:$B$16,INT((ROW()-5)/104)+1)</x:f>
        <x:v>Gabriel</x:v>
      </x:c>
      <x:c r="B302" s="21" t="str">
        <x:v>R16_02</x:v>
      </x:c>
      <x:c r="C302" s="21" t="n">
        <x:v>90</x:v>
      </x:c>
      <x:c r="D302" s="21" t="str">
        <x:v>Oitavas de final</x:v>
      </x:c>
      <x:c r="E302" s="21" t="str">
        <x:v>2026-07-04</x:v>
      </x:c>
      <x:c r="F302" s="21" t="str">
        <x:f>IFERROR(INDEX('Resultados'!$G$5:$G$108,MATCH($B302,'Resultados'!$A$5:$A$108,0)),"")</x:f>
        <x:v>Vencedor M73</x:v>
      </x:c>
      <x:c r="G302" s="21" t="str">
        <x:f>IFERROR(INDEX('Resultados'!$J$5:$J$108,MATCH($B302,'Resultados'!$A$5:$A$108,0)),"")</x:f>
        <x:v>Vencedor M75</x:v>
      </x:c>
      <x:c r="H302" s="21" t="str">
        <x:v>Sim</x:v>
      </x:c>
      <x:c r="I302" s="22"/>
      <x:c r="J302" s="22"/>
      <x:c r="K302" s="23"/>
      <x:c r="L302" s="21" t="str">
        <x:f>IFERROR(INDEX('Resultados'!$H$5:$H$108,MATCH($B302,'Resultados'!$A$5:$A$108,0)),"")</x:f>
      </x:c>
      <x:c r="M302" s="21" t="str">
        <x:f>IFERROR(INDEX('Resultados'!$I$5:$I$108,MATCH($B302,'Resultados'!$A$5:$A$108,0)),"")</x:f>
      </x:c>
      <x:c r="N302" s="21" t="str">
        <x:f>IFERROR(INDEX('Resultados'!$L$5:$L$108,MATCH($B302,'Resultados'!$A$5:$A$108,0)),"")</x:f>
      </x:c>
      <x:c r="O302" s="59" t="str">
        <x:f>IF(OR($I302="",$J302="",$L302="",$M302=""),"",IF(AND($H302="Sim",$L302=$M302),IF($I302&lt;&gt;$J302,0,IF(AND($I302=$L302,$J302=$M302),2,1)),IF(AND($I302=$L302,$J302=$M302),3,IF(AND($I302&lt;&gt;$J302,$I302=$M302,$J302=$L302),-2,IF(SIGN($I302-$J302)=SIGN($L302-$M302),1,0)))))</x:f>
      </x:c>
      <x:c r="P302" s="59" t="str">
        <x:f>IF(OR($H302&lt;&gt;"Sim",$I302="",$J302="",$L302="",$M302=""),"",IF(AND(IF($I302&gt;$J302,$F302,IF($I302&lt;$J302,$G302,$K302))&lt;&gt;"",IF($L302&gt;$M302,$F302,IF($L302&lt;$M302,$G302,$N302))&lt;&gt;"",IF($I302&gt;$J302,$F302,IF($I302&lt;$J302,$G302,$K302))=IF($L302&gt;$M302,$F302,IF($L302&lt;$M302,$G302,$N302))),1,0))</x:f>
      </x:c>
      <x:c r="Q302" s="59" t="str">
        <x:f>IF($O302="","",$O302+$P302)</x:f>
      </x:c>
      <x:c r="R302" s="59" t="str">
        <x:f>IF($Q302="","",IF($O302=3,"Cravada",IF(AND($H302="Sim",$L302=$M302,$I302=$J302,$O302=2),"Empate cravado",IF($O302=1,"Resultado certo",IF($O302=-2,"Invertida",IF($P302=1,"Acertou quem passa","Erro"))))))</x:f>
      </x:c>
      <x:c r="S302" s="59" t="str">
        <x:f>IF($O302="","",--(OR($O302=3,AND($H302="Sim",$L302=$M302,$I302=$J302,$O302=2))))</x:f>
      </x:c>
      <x:c r="T302" s="59" t="str">
        <x:f>IF($O302="","",--($O302=-2))</x:f>
      </x:c>
      <x:c r="U302" s="59" t="str">
        <x:f>IF($O302="","",--($O302=1))</x:f>
      </x:c>
      <x:c r="V302" s="59" t="n">
        <x:f>--(AND($I302&lt;&gt;"",$J302&lt;&gt;""))</x:f>
        <x:v>0</x:v>
      </x:c>
    </x:row>
    <x:row r="303">
      <x:c r="A303" s="21" t="str">
        <x:f>INDEX(Config!$B$10:$B$16,INT((ROW()-5)/104)+1)</x:f>
        <x:v>Gabriel</x:v>
      </x:c>
      <x:c r="B303" s="21" t="str">
        <x:v>R16_03</x:v>
      </x:c>
      <x:c r="C303" s="21" t="n">
        <x:v>91</x:v>
      </x:c>
      <x:c r="D303" s="21" t="str">
        <x:v>Oitavas de final</x:v>
      </x:c>
      <x:c r="E303" s="21" t="str">
        <x:v>2026-07-05</x:v>
      </x:c>
      <x:c r="F303" s="21" t="str">
        <x:f>IFERROR(INDEX('Resultados'!$G$5:$G$108,MATCH($B303,'Resultados'!$A$5:$A$108,0)),"")</x:f>
        <x:v>Vencedor M76</x:v>
      </x:c>
      <x:c r="G303" s="21" t="str">
        <x:f>IFERROR(INDEX('Resultados'!$J$5:$J$108,MATCH($B303,'Resultados'!$A$5:$A$108,0)),"")</x:f>
        <x:v>Vencedor M78</x:v>
      </x:c>
      <x:c r="H303" s="21" t="str">
        <x:v>Sim</x:v>
      </x:c>
      <x:c r="I303" s="22"/>
      <x:c r="J303" s="22"/>
      <x:c r="K303" s="23"/>
      <x:c r="L303" s="21" t="str">
        <x:f>IFERROR(INDEX('Resultados'!$H$5:$H$108,MATCH($B303,'Resultados'!$A$5:$A$108,0)),"")</x:f>
      </x:c>
      <x:c r="M303" s="21" t="str">
        <x:f>IFERROR(INDEX('Resultados'!$I$5:$I$108,MATCH($B303,'Resultados'!$A$5:$A$108,0)),"")</x:f>
      </x:c>
      <x:c r="N303" s="21" t="str">
        <x:f>IFERROR(INDEX('Resultados'!$L$5:$L$108,MATCH($B303,'Resultados'!$A$5:$A$108,0)),"")</x:f>
      </x:c>
      <x:c r="O303" s="59" t="str">
        <x:f>IF(OR($I303="",$J303="",$L303="",$M303=""),"",IF(AND($H303="Sim",$L303=$M303),IF($I303&lt;&gt;$J303,0,IF(AND($I303=$L303,$J303=$M303),2,1)),IF(AND($I303=$L303,$J303=$M303),3,IF(AND($I303&lt;&gt;$J303,$I303=$M303,$J303=$L303),-2,IF(SIGN($I303-$J303)=SIGN($L303-$M303),1,0)))))</x:f>
      </x:c>
      <x:c r="P303" s="59" t="str">
        <x:f>IF(OR($H303&lt;&gt;"Sim",$I303="",$J303="",$L303="",$M303=""),"",IF(AND(IF($I303&gt;$J303,$F303,IF($I303&lt;$J303,$G303,$K303))&lt;&gt;"",IF($L303&gt;$M303,$F303,IF($L303&lt;$M303,$G303,$N303))&lt;&gt;"",IF($I303&gt;$J303,$F303,IF($I303&lt;$J303,$G303,$K303))=IF($L303&gt;$M303,$F303,IF($L303&lt;$M303,$G303,$N303))),1,0))</x:f>
      </x:c>
      <x:c r="Q303" s="59" t="str">
        <x:f>IF($O303="","",$O303+$P303)</x:f>
      </x:c>
      <x:c r="R303" s="59" t="str">
        <x:f>IF($Q303="","",IF($O303=3,"Cravada",IF(AND($H303="Sim",$L303=$M303,$I303=$J303,$O303=2),"Empate cravado",IF($O303=1,"Resultado certo",IF($O303=-2,"Invertida",IF($P303=1,"Acertou quem passa","Erro"))))))</x:f>
      </x:c>
      <x:c r="S303" s="59" t="str">
        <x:f>IF($O303="","",--(OR($O303=3,AND($H303="Sim",$L303=$M303,$I303=$J303,$O303=2))))</x:f>
      </x:c>
      <x:c r="T303" s="59" t="str">
        <x:f>IF($O303="","",--($O303=-2))</x:f>
      </x:c>
      <x:c r="U303" s="59" t="str">
        <x:f>IF($O303="","",--($O303=1))</x:f>
      </x:c>
      <x:c r="V303" s="59" t="n">
        <x:f>--(AND($I303&lt;&gt;"",$J303&lt;&gt;""))</x:f>
        <x:v>0</x:v>
      </x:c>
    </x:row>
    <x:row r="304">
      <x:c r="A304" s="21" t="str">
        <x:f>INDEX(Config!$B$10:$B$16,INT((ROW()-5)/104)+1)</x:f>
        <x:v>Gabriel</x:v>
      </x:c>
      <x:c r="B304" s="21" t="str">
        <x:v>R16_04</x:v>
      </x:c>
      <x:c r="C304" s="21" t="n">
        <x:v>92</x:v>
      </x:c>
      <x:c r="D304" s="21" t="str">
        <x:v>Oitavas de final</x:v>
      </x:c>
      <x:c r="E304" s="21" t="str">
        <x:v>2026-07-05</x:v>
      </x:c>
      <x:c r="F304" s="21" t="str">
        <x:f>IFERROR(INDEX('Resultados'!$G$5:$G$108,MATCH($B304,'Resultados'!$A$5:$A$108,0)),"")</x:f>
        <x:v>Vencedor M79</x:v>
      </x:c>
      <x:c r="G304" s="21" t="str">
        <x:f>IFERROR(INDEX('Resultados'!$J$5:$J$108,MATCH($B304,'Resultados'!$A$5:$A$108,0)),"")</x:f>
        <x:v>Vencedor M80</x:v>
      </x:c>
      <x:c r="H304" s="21" t="str">
        <x:v>Sim</x:v>
      </x:c>
      <x:c r="I304" s="22"/>
      <x:c r="J304" s="22"/>
      <x:c r="K304" s="23"/>
      <x:c r="L304" s="21" t="str">
        <x:f>IFERROR(INDEX('Resultados'!$H$5:$H$108,MATCH($B304,'Resultados'!$A$5:$A$108,0)),"")</x:f>
      </x:c>
      <x:c r="M304" s="21" t="str">
        <x:f>IFERROR(INDEX('Resultados'!$I$5:$I$108,MATCH($B304,'Resultados'!$A$5:$A$108,0)),"")</x:f>
      </x:c>
      <x:c r="N304" s="21" t="str">
        <x:f>IFERROR(INDEX('Resultados'!$L$5:$L$108,MATCH($B304,'Resultados'!$A$5:$A$108,0)),"")</x:f>
      </x:c>
      <x:c r="O304" s="59" t="str">
        <x:f>IF(OR($I304="",$J304="",$L304="",$M304=""),"",IF(AND($H304="Sim",$L304=$M304),IF($I304&lt;&gt;$J304,0,IF(AND($I304=$L304,$J304=$M304),2,1)),IF(AND($I304=$L304,$J304=$M304),3,IF(AND($I304&lt;&gt;$J304,$I304=$M304,$J304=$L304),-2,IF(SIGN($I304-$J304)=SIGN($L304-$M304),1,0)))))</x:f>
      </x:c>
      <x:c r="P304" s="59" t="str">
        <x:f>IF(OR($H304&lt;&gt;"Sim",$I304="",$J304="",$L304="",$M304=""),"",IF(AND(IF($I304&gt;$J304,$F304,IF($I304&lt;$J304,$G304,$K304))&lt;&gt;"",IF($L304&gt;$M304,$F304,IF($L304&lt;$M304,$G304,$N304))&lt;&gt;"",IF($I304&gt;$J304,$F304,IF($I304&lt;$J304,$G304,$K304))=IF($L304&gt;$M304,$F304,IF($L304&lt;$M304,$G304,$N304))),1,0))</x:f>
      </x:c>
      <x:c r="Q304" s="59" t="str">
        <x:f>IF($O304="","",$O304+$P304)</x:f>
      </x:c>
      <x:c r="R304" s="59" t="str">
        <x:f>IF($Q304="","",IF($O304=3,"Cravada",IF(AND($H304="Sim",$L304=$M304,$I304=$J304,$O304=2),"Empate cravado",IF($O304=1,"Resultado certo",IF($O304=-2,"Invertida",IF($P304=1,"Acertou quem passa","Erro"))))))</x:f>
      </x:c>
      <x:c r="S304" s="59" t="str">
        <x:f>IF($O304="","",--(OR($O304=3,AND($H304="Sim",$L304=$M304,$I304=$J304,$O304=2))))</x:f>
      </x:c>
      <x:c r="T304" s="59" t="str">
        <x:f>IF($O304="","",--($O304=-2))</x:f>
      </x:c>
      <x:c r="U304" s="59" t="str">
        <x:f>IF($O304="","",--($O304=1))</x:f>
      </x:c>
      <x:c r="V304" s="59" t="n">
        <x:f>--(AND($I304&lt;&gt;"",$J304&lt;&gt;""))</x:f>
        <x:v>0</x:v>
      </x:c>
    </x:row>
    <x:row r="305">
      <x:c r="A305" s="21" t="str">
        <x:f>INDEX(Config!$B$10:$B$16,INT((ROW()-5)/104)+1)</x:f>
        <x:v>Gabriel</x:v>
      </x:c>
      <x:c r="B305" s="21" t="str">
        <x:v>R16_05</x:v>
      </x:c>
      <x:c r="C305" s="21" t="n">
        <x:v>93</x:v>
      </x:c>
      <x:c r="D305" s="21" t="str">
        <x:v>Oitavas de final</x:v>
      </x:c>
      <x:c r="E305" s="21" t="str">
        <x:v>2026-07-06</x:v>
      </x:c>
      <x:c r="F305" s="21" t="str">
        <x:f>IFERROR(INDEX('Resultados'!$G$5:$G$108,MATCH($B305,'Resultados'!$A$5:$A$108,0)),"")</x:f>
        <x:v>Vencedor M83</x:v>
      </x:c>
      <x:c r="G305" s="21" t="str">
        <x:f>IFERROR(INDEX('Resultados'!$J$5:$J$108,MATCH($B305,'Resultados'!$A$5:$A$108,0)),"")</x:f>
        <x:v>Vencedor M84</x:v>
      </x:c>
      <x:c r="H305" s="21" t="str">
        <x:v>Sim</x:v>
      </x:c>
      <x:c r="I305" s="22"/>
      <x:c r="J305" s="22"/>
      <x:c r="K305" s="23"/>
      <x:c r="L305" s="21" t="str">
        <x:f>IFERROR(INDEX('Resultados'!$H$5:$H$108,MATCH($B305,'Resultados'!$A$5:$A$108,0)),"")</x:f>
      </x:c>
      <x:c r="M305" s="21" t="str">
        <x:f>IFERROR(INDEX('Resultados'!$I$5:$I$108,MATCH($B305,'Resultados'!$A$5:$A$108,0)),"")</x:f>
      </x:c>
      <x:c r="N305" s="21" t="str">
        <x:f>IFERROR(INDEX('Resultados'!$L$5:$L$108,MATCH($B305,'Resultados'!$A$5:$A$108,0)),"")</x:f>
      </x:c>
      <x:c r="O305" s="59" t="str">
        <x:f>IF(OR($I305="",$J305="",$L305="",$M305=""),"",IF(AND($H305="Sim",$L305=$M305),IF($I305&lt;&gt;$J305,0,IF(AND($I305=$L305,$J305=$M305),2,1)),IF(AND($I305=$L305,$J305=$M305),3,IF(AND($I305&lt;&gt;$J305,$I305=$M305,$J305=$L305),-2,IF(SIGN($I305-$J305)=SIGN($L305-$M305),1,0)))))</x:f>
      </x:c>
      <x:c r="P305" s="59" t="str">
        <x:f>IF(OR($H305&lt;&gt;"Sim",$I305="",$J305="",$L305="",$M305=""),"",IF(AND(IF($I305&gt;$J305,$F305,IF($I305&lt;$J305,$G305,$K305))&lt;&gt;"",IF($L305&gt;$M305,$F305,IF($L305&lt;$M305,$G305,$N305))&lt;&gt;"",IF($I305&gt;$J305,$F305,IF($I305&lt;$J305,$G305,$K305))=IF($L305&gt;$M305,$F305,IF($L305&lt;$M305,$G305,$N305))),1,0))</x:f>
      </x:c>
      <x:c r="Q305" s="59" t="str">
        <x:f>IF($O305="","",$O305+$P305)</x:f>
      </x:c>
      <x:c r="R305" s="59" t="str">
        <x:f>IF($Q305="","",IF($O305=3,"Cravada",IF(AND($H305="Sim",$L305=$M305,$I305=$J305,$O305=2),"Empate cravado",IF($O305=1,"Resultado certo",IF($O305=-2,"Invertida",IF($P305=1,"Acertou quem passa","Erro"))))))</x:f>
      </x:c>
      <x:c r="S305" s="59" t="str">
        <x:f>IF($O305="","",--(OR($O305=3,AND($H305="Sim",$L305=$M305,$I305=$J305,$O305=2))))</x:f>
      </x:c>
      <x:c r="T305" s="59" t="str">
        <x:f>IF($O305="","",--($O305=-2))</x:f>
      </x:c>
      <x:c r="U305" s="59" t="str">
        <x:f>IF($O305="","",--($O305=1))</x:f>
      </x:c>
      <x:c r="V305" s="59" t="n">
        <x:f>--(AND($I305&lt;&gt;"",$J305&lt;&gt;""))</x:f>
        <x:v>0</x:v>
      </x:c>
    </x:row>
    <x:row r="306">
      <x:c r="A306" s="21" t="str">
        <x:f>INDEX(Config!$B$10:$B$16,INT((ROW()-5)/104)+1)</x:f>
        <x:v>Gabriel</x:v>
      </x:c>
      <x:c r="B306" s="21" t="str">
        <x:v>R16_06</x:v>
      </x:c>
      <x:c r="C306" s="21" t="n">
        <x:v>94</x:v>
      </x:c>
      <x:c r="D306" s="21" t="str">
        <x:v>Oitavas de final</x:v>
      </x:c>
      <x:c r="E306" s="21" t="str">
        <x:v>2026-07-06</x:v>
      </x:c>
      <x:c r="F306" s="21" t="str">
        <x:f>IFERROR(INDEX('Resultados'!$G$5:$G$108,MATCH($B306,'Resultados'!$A$5:$A$108,0)),"")</x:f>
        <x:v>Vencedor M81</x:v>
      </x:c>
      <x:c r="G306" s="21" t="str">
        <x:f>IFERROR(INDEX('Resultados'!$J$5:$J$108,MATCH($B306,'Resultados'!$A$5:$A$108,0)),"")</x:f>
        <x:v>Vencedor M82</x:v>
      </x:c>
      <x:c r="H306" s="21" t="str">
        <x:v>Sim</x:v>
      </x:c>
      <x:c r="I306" s="22"/>
      <x:c r="J306" s="22"/>
      <x:c r="K306" s="23"/>
      <x:c r="L306" s="21" t="str">
        <x:f>IFERROR(INDEX('Resultados'!$H$5:$H$108,MATCH($B306,'Resultados'!$A$5:$A$108,0)),"")</x:f>
      </x:c>
      <x:c r="M306" s="21" t="str">
        <x:f>IFERROR(INDEX('Resultados'!$I$5:$I$108,MATCH($B306,'Resultados'!$A$5:$A$108,0)),"")</x:f>
      </x:c>
      <x:c r="N306" s="21" t="str">
        <x:f>IFERROR(INDEX('Resultados'!$L$5:$L$108,MATCH($B306,'Resultados'!$A$5:$A$108,0)),"")</x:f>
      </x:c>
      <x:c r="O306" s="59" t="str">
        <x:f>IF(OR($I306="",$J306="",$L306="",$M306=""),"",IF(AND($H306="Sim",$L306=$M306),IF($I306&lt;&gt;$J306,0,IF(AND($I306=$L306,$J306=$M306),2,1)),IF(AND($I306=$L306,$J306=$M306),3,IF(AND($I306&lt;&gt;$J306,$I306=$M306,$J306=$L306),-2,IF(SIGN($I306-$J306)=SIGN($L306-$M306),1,0)))))</x:f>
      </x:c>
      <x:c r="P306" s="59" t="str">
        <x:f>IF(OR($H306&lt;&gt;"Sim",$I306="",$J306="",$L306="",$M306=""),"",IF(AND(IF($I306&gt;$J306,$F306,IF($I306&lt;$J306,$G306,$K306))&lt;&gt;"",IF($L306&gt;$M306,$F306,IF($L306&lt;$M306,$G306,$N306))&lt;&gt;"",IF($I306&gt;$J306,$F306,IF($I306&lt;$J306,$G306,$K306))=IF($L306&gt;$M306,$F306,IF($L306&lt;$M306,$G306,$N306))),1,0))</x:f>
      </x:c>
      <x:c r="Q306" s="59" t="str">
        <x:f>IF($O306="","",$O306+$P306)</x:f>
      </x:c>
      <x:c r="R306" s="59" t="str">
        <x:f>IF($Q306="","",IF($O306=3,"Cravada",IF(AND($H306="Sim",$L306=$M306,$I306=$J306,$O306=2),"Empate cravado",IF($O306=1,"Resultado certo",IF($O306=-2,"Invertida",IF($P306=1,"Acertou quem passa","Erro"))))))</x:f>
      </x:c>
      <x:c r="S306" s="59" t="str">
        <x:f>IF($O306="","",--(OR($O306=3,AND($H306="Sim",$L306=$M306,$I306=$J306,$O306=2))))</x:f>
      </x:c>
      <x:c r="T306" s="59" t="str">
        <x:f>IF($O306="","",--($O306=-2))</x:f>
      </x:c>
      <x:c r="U306" s="59" t="str">
        <x:f>IF($O306="","",--($O306=1))</x:f>
      </x:c>
      <x:c r="V306" s="59" t="n">
        <x:f>--(AND($I306&lt;&gt;"",$J306&lt;&gt;""))</x:f>
        <x:v>0</x:v>
      </x:c>
    </x:row>
    <x:row r="307">
      <x:c r="A307" s="21" t="str">
        <x:f>INDEX(Config!$B$10:$B$16,INT((ROW()-5)/104)+1)</x:f>
        <x:v>Gabriel</x:v>
      </x:c>
      <x:c r="B307" s="21" t="str">
        <x:v>R16_07</x:v>
      </x:c>
      <x:c r="C307" s="21" t="n">
        <x:v>95</x:v>
      </x:c>
      <x:c r="D307" s="21" t="str">
        <x:v>Oitavas de final</x:v>
      </x:c>
      <x:c r="E307" s="21" t="str">
        <x:v>2026-07-07</x:v>
      </x:c>
      <x:c r="F307" s="21" t="str">
        <x:f>IFERROR(INDEX('Resultados'!$G$5:$G$108,MATCH($B307,'Resultados'!$A$5:$A$108,0)),"")</x:f>
        <x:v>Vencedor M86</x:v>
      </x:c>
      <x:c r="G307" s="21" t="str">
        <x:f>IFERROR(INDEX('Resultados'!$J$5:$J$108,MATCH($B307,'Resultados'!$A$5:$A$108,0)),"")</x:f>
        <x:v>Vencedor M88</x:v>
      </x:c>
      <x:c r="H307" s="21" t="str">
        <x:v>Sim</x:v>
      </x:c>
      <x:c r="I307" s="22"/>
      <x:c r="J307" s="22"/>
      <x:c r="K307" s="23"/>
      <x:c r="L307" s="21" t="str">
        <x:f>IFERROR(INDEX('Resultados'!$H$5:$H$108,MATCH($B307,'Resultados'!$A$5:$A$108,0)),"")</x:f>
      </x:c>
      <x:c r="M307" s="21" t="str">
        <x:f>IFERROR(INDEX('Resultados'!$I$5:$I$108,MATCH($B307,'Resultados'!$A$5:$A$108,0)),"")</x:f>
      </x:c>
      <x:c r="N307" s="21" t="str">
        <x:f>IFERROR(INDEX('Resultados'!$L$5:$L$108,MATCH($B307,'Resultados'!$A$5:$A$108,0)),"")</x:f>
      </x:c>
      <x:c r="O307" s="59" t="str">
        <x:f>IF(OR($I307="",$J307="",$L307="",$M307=""),"",IF(AND($H307="Sim",$L307=$M307),IF($I307&lt;&gt;$J307,0,IF(AND($I307=$L307,$J307=$M307),2,1)),IF(AND($I307=$L307,$J307=$M307),3,IF(AND($I307&lt;&gt;$J307,$I307=$M307,$J307=$L307),-2,IF(SIGN($I307-$J307)=SIGN($L307-$M307),1,0)))))</x:f>
      </x:c>
      <x:c r="P307" s="59" t="str">
        <x:f>IF(OR($H307&lt;&gt;"Sim",$I307="",$J307="",$L307="",$M307=""),"",IF(AND(IF($I307&gt;$J307,$F307,IF($I307&lt;$J307,$G307,$K307))&lt;&gt;"",IF($L307&gt;$M307,$F307,IF($L307&lt;$M307,$G307,$N307))&lt;&gt;"",IF($I307&gt;$J307,$F307,IF($I307&lt;$J307,$G307,$K307))=IF($L307&gt;$M307,$F307,IF($L307&lt;$M307,$G307,$N307))),1,0))</x:f>
      </x:c>
      <x:c r="Q307" s="59" t="str">
        <x:f>IF($O307="","",$O307+$P307)</x:f>
      </x:c>
      <x:c r="R307" s="59" t="str">
        <x:f>IF($Q307="","",IF($O307=3,"Cravada",IF(AND($H307="Sim",$L307=$M307,$I307=$J307,$O307=2),"Empate cravado",IF($O307=1,"Resultado certo",IF($O307=-2,"Invertida",IF($P307=1,"Acertou quem passa","Erro"))))))</x:f>
      </x:c>
      <x:c r="S307" s="59" t="str">
        <x:f>IF($O307="","",--(OR($O307=3,AND($H307="Sim",$L307=$M307,$I307=$J307,$O307=2))))</x:f>
      </x:c>
      <x:c r="T307" s="59" t="str">
        <x:f>IF($O307="","",--($O307=-2))</x:f>
      </x:c>
      <x:c r="U307" s="59" t="str">
        <x:f>IF($O307="","",--($O307=1))</x:f>
      </x:c>
      <x:c r="V307" s="59" t="n">
        <x:f>--(AND($I307&lt;&gt;"",$J307&lt;&gt;""))</x:f>
        <x:v>0</x:v>
      </x:c>
    </x:row>
    <x:row r="308">
      <x:c r="A308" s="21" t="str">
        <x:f>INDEX(Config!$B$10:$B$16,INT((ROW()-5)/104)+1)</x:f>
        <x:v>Gabriel</x:v>
      </x:c>
      <x:c r="B308" s="21" t="str">
        <x:v>R16_08</x:v>
      </x:c>
      <x:c r="C308" s="21" t="n">
        <x:v>96</x:v>
      </x:c>
      <x:c r="D308" s="21" t="str">
        <x:v>Oitavas de final</x:v>
      </x:c>
      <x:c r="E308" s="21" t="str">
        <x:v>2026-07-07</x:v>
      </x:c>
      <x:c r="F308" s="21" t="str">
        <x:f>IFERROR(INDEX('Resultados'!$G$5:$G$108,MATCH($B308,'Resultados'!$A$5:$A$108,0)),"")</x:f>
        <x:v>Vencedor M85</x:v>
      </x:c>
      <x:c r="G308" s="21" t="str">
        <x:f>IFERROR(INDEX('Resultados'!$J$5:$J$108,MATCH($B308,'Resultados'!$A$5:$A$108,0)),"")</x:f>
        <x:v>Vencedor M87</x:v>
      </x:c>
      <x:c r="H308" s="21" t="str">
        <x:v>Sim</x:v>
      </x:c>
      <x:c r="I308" s="22"/>
      <x:c r="J308" s="22"/>
      <x:c r="K308" s="23"/>
      <x:c r="L308" s="21" t="str">
        <x:f>IFERROR(INDEX('Resultados'!$H$5:$H$108,MATCH($B308,'Resultados'!$A$5:$A$108,0)),"")</x:f>
      </x:c>
      <x:c r="M308" s="21" t="str">
        <x:f>IFERROR(INDEX('Resultados'!$I$5:$I$108,MATCH($B308,'Resultados'!$A$5:$A$108,0)),"")</x:f>
      </x:c>
      <x:c r="N308" s="21" t="str">
        <x:f>IFERROR(INDEX('Resultados'!$L$5:$L$108,MATCH($B308,'Resultados'!$A$5:$A$108,0)),"")</x:f>
      </x:c>
      <x:c r="O308" s="59" t="str">
        <x:f>IF(OR($I308="",$J308="",$L308="",$M308=""),"",IF(AND($H308="Sim",$L308=$M308),IF($I308&lt;&gt;$J308,0,IF(AND($I308=$L308,$J308=$M308),2,1)),IF(AND($I308=$L308,$J308=$M308),3,IF(AND($I308&lt;&gt;$J308,$I308=$M308,$J308=$L308),-2,IF(SIGN($I308-$J308)=SIGN($L308-$M308),1,0)))))</x:f>
      </x:c>
      <x:c r="P308" s="59" t="str">
        <x:f>IF(OR($H308&lt;&gt;"Sim",$I308="",$J308="",$L308="",$M308=""),"",IF(AND(IF($I308&gt;$J308,$F308,IF($I308&lt;$J308,$G308,$K308))&lt;&gt;"",IF($L308&gt;$M308,$F308,IF($L308&lt;$M308,$G308,$N308))&lt;&gt;"",IF($I308&gt;$J308,$F308,IF($I308&lt;$J308,$G308,$K308))=IF($L308&gt;$M308,$F308,IF($L308&lt;$M308,$G308,$N308))),1,0))</x:f>
      </x:c>
      <x:c r="Q308" s="59" t="str">
        <x:f>IF($O308="","",$O308+$P308)</x:f>
      </x:c>
      <x:c r="R308" s="59" t="str">
        <x:f>IF($Q308="","",IF($O308=3,"Cravada",IF(AND($H308="Sim",$L308=$M308,$I308=$J308,$O308=2),"Empate cravado",IF($O308=1,"Resultado certo",IF($O308=-2,"Invertida",IF($P308=1,"Acertou quem passa","Erro"))))))</x:f>
      </x:c>
      <x:c r="S308" s="59" t="str">
        <x:f>IF($O308="","",--(OR($O308=3,AND($H308="Sim",$L308=$M308,$I308=$J308,$O308=2))))</x:f>
      </x:c>
      <x:c r="T308" s="59" t="str">
        <x:f>IF($O308="","",--($O308=-2))</x:f>
      </x:c>
      <x:c r="U308" s="59" t="str">
        <x:f>IF($O308="","",--($O308=1))</x:f>
      </x:c>
      <x:c r="V308" s="59" t="n">
        <x:f>--(AND($I308&lt;&gt;"",$J308&lt;&gt;""))</x:f>
        <x:v>0</x:v>
      </x:c>
    </x:row>
    <x:row r="309">
      <x:c r="A309" s="21" t="str">
        <x:f>INDEX(Config!$B$10:$B$16,INT((ROW()-5)/104)+1)</x:f>
        <x:v>Gabriel</x:v>
      </x:c>
      <x:c r="B309" s="21" t="str">
        <x:v>QF_01</x:v>
      </x:c>
      <x:c r="C309" s="21" t="n">
        <x:v>97</x:v>
      </x:c>
      <x:c r="D309" s="21" t="str">
        <x:v>Quartas de final</x:v>
      </x:c>
      <x:c r="E309" s="21" t="str">
        <x:v>2026-07-09</x:v>
      </x:c>
      <x:c r="F309" s="21" t="str">
        <x:f>IFERROR(INDEX('Resultados'!$G$5:$G$108,MATCH($B309,'Resultados'!$A$5:$A$108,0)),"")</x:f>
        <x:v>Vencedor M89</x:v>
      </x:c>
      <x:c r="G309" s="21" t="str">
        <x:f>IFERROR(INDEX('Resultados'!$J$5:$J$108,MATCH($B309,'Resultados'!$A$5:$A$108,0)),"")</x:f>
        <x:v>Vencedor M90</x:v>
      </x:c>
      <x:c r="H309" s="21" t="str">
        <x:v>Sim</x:v>
      </x:c>
      <x:c r="I309" s="22"/>
      <x:c r="J309" s="22"/>
      <x:c r="K309" s="23"/>
      <x:c r="L309" s="21" t="str">
        <x:f>IFERROR(INDEX('Resultados'!$H$5:$H$108,MATCH($B309,'Resultados'!$A$5:$A$108,0)),"")</x:f>
      </x:c>
      <x:c r="M309" s="21" t="str">
        <x:f>IFERROR(INDEX('Resultados'!$I$5:$I$108,MATCH($B309,'Resultados'!$A$5:$A$108,0)),"")</x:f>
      </x:c>
      <x:c r="N309" s="21" t="str">
        <x:f>IFERROR(INDEX('Resultados'!$L$5:$L$108,MATCH($B309,'Resultados'!$A$5:$A$108,0)),"")</x:f>
      </x:c>
      <x:c r="O309" s="59" t="str">
        <x:f>IF(OR($I309="",$J309="",$L309="",$M309=""),"",IF(AND($H309="Sim",$L309=$M309),IF($I309&lt;&gt;$J309,0,IF(AND($I309=$L309,$J309=$M309),2,1)),IF(AND($I309=$L309,$J309=$M309),3,IF(AND($I309&lt;&gt;$J309,$I309=$M309,$J309=$L309),-2,IF(SIGN($I309-$J309)=SIGN($L309-$M309),1,0)))))</x:f>
      </x:c>
      <x:c r="P309" s="59" t="str">
        <x:f>IF(OR($H309&lt;&gt;"Sim",$I309="",$J309="",$L309="",$M309=""),"",IF(AND(IF($I309&gt;$J309,$F309,IF($I309&lt;$J309,$G309,$K309))&lt;&gt;"",IF($L309&gt;$M309,$F309,IF($L309&lt;$M309,$G309,$N309))&lt;&gt;"",IF($I309&gt;$J309,$F309,IF($I309&lt;$J309,$G309,$K309))=IF($L309&gt;$M309,$F309,IF($L309&lt;$M309,$G309,$N309))),1,0))</x:f>
      </x:c>
      <x:c r="Q309" s="59" t="str">
        <x:f>IF($O309="","",$O309+$P309)</x:f>
      </x:c>
      <x:c r="R309" s="59" t="str">
        <x:f>IF($Q309="","",IF($O309=3,"Cravada",IF(AND($H309="Sim",$L309=$M309,$I309=$J309,$O309=2),"Empate cravado",IF($O309=1,"Resultado certo",IF($O309=-2,"Invertida",IF($P309=1,"Acertou quem passa","Erro"))))))</x:f>
      </x:c>
      <x:c r="S309" s="59" t="str">
        <x:f>IF($O309="","",--(OR($O309=3,AND($H309="Sim",$L309=$M309,$I309=$J309,$O309=2))))</x:f>
      </x:c>
      <x:c r="T309" s="59" t="str">
        <x:f>IF($O309="","",--($O309=-2))</x:f>
      </x:c>
      <x:c r="U309" s="59" t="str">
        <x:f>IF($O309="","",--($O309=1))</x:f>
      </x:c>
      <x:c r="V309" s="59" t="n">
        <x:f>--(AND($I309&lt;&gt;"",$J309&lt;&gt;""))</x:f>
        <x:v>0</x:v>
      </x:c>
    </x:row>
    <x:row r="310">
      <x:c r="A310" s="21" t="str">
        <x:f>INDEX(Config!$B$10:$B$16,INT((ROW()-5)/104)+1)</x:f>
        <x:v>Gabriel</x:v>
      </x:c>
      <x:c r="B310" s="21" t="str">
        <x:v>QF_02</x:v>
      </x:c>
      <x:c r="C310" s="21" t="n">
        <x:v>98</x:v>
      </x:c>
      <x:c r="D310" s="21" t="str">
        <x:v>Quartas de final</x:v>
      </x:c>
      <x:c r="E310" s="21" t="str">
        <x:v>2026-07-10</x:v>
      </x:c>
      <x:c r="F310" s="21" t="str">
        <x:f>IFERROR(INDEX('Resultados'!$G$5:$G$108,MATCH($B310,'Resultados'!$A$5:$A$108,0)),"")</x:f>
        <x:v>Vencedor M93</x:v>
      </x:c>
      <x:c r="G310" s="21" t="str">
        <x:f>IFERROR(INDEX('Resultados'!$J$5:$J$108,MATCH($B310,'Resultados'!$A$5:$A$108,0)),"")</x:f>
        <x:v>Vencedor M94</x:v>
      </x:c>
      <x:c r="H310" s="21" t="str">
        <x:v>Sim</x:v>
      </x:c>
      <x:c r="I310" s="22"/>
      <x:c r="J310" s="22"/>
      <x:c r="K310" s="23"/>
      <x:c r="L310" s="21" t="str">
        <x:f>IFERROR(INDEX('Resultados'!$H$5:$H$108,MATCH($B310,'Resultados'!$A$5:$A$108,0)),"")</x:f>
      </x:c>
      <x:c r="M310" s="21" t="str">
        <x:f>IFERROR(INDEX('Resultados'!$I$5:$I$108,MATCH($B310,'Resultados'!$A$5:$A$108,0)),"")</x:f>
      </x:c>
      <x:c r="N310" s="21" t="str">
        <x:f>IFERROR(INDEX('Resultados'!$L$5:$L$108,MATCH($B310,'Resultados'!$A$5:$A$108,0)),"")</x:f>
      </x:c>
      <x:c r="O310" s="59" t="str">
        <x:f>IF(OR($I310="",$J310="",$L310="",$M310=""),"",IF(AND($H310="Sim",$L310=$M310),IF($I310&lt;&gt;$J310,0,IF(AND($I310=$L310,$J310=$M310),2,1)),IF(AND($I310=$L310,$J310=$M310),3,IF(AND($I310&lt;&gt;$J310,$I310=$M310,$J310=$L310),-2,IF(SIGN($I310-$J310)=SIGN($L310-$M310),1,0)))))</x:f>
      </x:c>
      <x:c r="P310" s="59" t="str">
        <x:f>IF(OR($H310&lt;&gt;"Sim",$I310="",$J310="",$L310="",$M310=""),"",IF(AND(IF($I310&gt;$J310,$F310,IF($I310&lt;$J310,$G310,$K310))&lt;&gt;"",IF($L310&gt;$M310,$F310,IF($L310&lt;$M310,$G310,$N310))&lt;&gt;"",IF($I310&gt;$J310,$F310,IF($I310&lt;$J310,$G310,$K310))=IF($L310&gt;$M310,$F310,IF($L310&lt;$M310,$G310,$N310))),1,0))</x:f>
      </x:c>
      <x:c r="Q310" s="59" t="str">
        <x:f>IF($O310="","",$O310+$P310)</x:f>
      </x:c>
      <x:c r="R310" s="59" t="str">
        <x:f>IF($Q310="","",IF($O310=3,"Cravada",IF(AND($H310="Sim",$L310=$M310,$I310=$J310,$O310=2),"Empate cravado",IF($O310=1,"Resultado certo",IF($O310=-2,"Invertida",IF($P310=1,"Acertou quem passa","Erro"))))))</x:f>
      </x:c>
      <x:c r="S310" s="59" t="str">
        <x:f>IF($O310="","",--(OR($O310=3,AND($H310="Sim",$L310=$M310,$I310=$J310,$O310=2))))</x:f>
      </x:c>
      <x:c r="T310" s="59" t="str">
        <x:f>IF($O310="","",--($O310=-2))</x:f>
      </x:c>
      <x:c r="U310" s="59" t="str">
        <x:f>IF($O310="","",--($O310=1))</x:f>
      </x:c>
      <x:c r="V310" s="59" t="n">
        <x:f>--(AND($I310&lt;&gt;"",$J310&lt;&gt;""))</x:f>
        <x:v>0</x:v>
      </x:c>
    </x:row>
    <x:row r="311">
      <x:c r="A311" s="21" t="str">
        <x:f>INDEX(Config!$B$10:$B$16,INT((ROW()-5)/104)+1)</x:f>
        <x:v>Gabriel</x:v>
      </x:c>
      <x:c r="B311" s="21" t="str">
        <x:v>QF_03</x:v>
      </x:c>
      <x:c r="C311" s="21" t="n">
        <x:v>99</x:v>
      </x:c>
      <x:c r="D311" s="21" t="str">
        <x:v>Quartas de final</x:v>
      </x:c>
      <x:c r="E311" s="21" t="str">
        <x:v>2026-07-11</x:v>
      </x:c>
      <x:c r="F311" s="21" t="str">
        <x:f>IFERROR(INDEX('Resultados'!$G$5:$G$108,MATCH($B311,'Resultados'!$A$5:$A$108,0)),"")</x:f>
        <x:v>Vencedor M91</x:v>
      </x:c>
      <x:c r="G311" s="21" t="str">
        <x:f>IFERROR(INDEX('Resultados'!$J$5:$J$108,MATCH($B311,'Resultados'!$A$5:$A$108,0)),"")</x:f>
        <x:v>Vencedor M92</x:v>
      </x:c>
      <x:c r="H311" s="21" t="str">
        <x:v>Sim</x:v>
      </x:c>
      <x:c r="I311" s="22"/>
      <x:c r="J311" s="22"/>
      <x:c r="K311" s="23"/>
      <x:c r="L311" s="21" t="str">
        <x:f>IFERROR(INDEX('Resultados'!$H$5:$H$108,MATCH($B311,'Resultados'!$A$5:$A$108,0)),"")</x:f>
      </x:c>
      <x:c r="M311" s="21" t="str">
        <x:f>IFERROR(INDEX('Resultados'!$I$5:$I$108,MATCH($B311,'Resultados'!$A$5:$A$108,0)),"")</x:f>
      </x:c>
      <x:c r="N311" s="21" t="str">
        <x:f>IFERROR(INDEX('Resultados'!$L$5:$L$108,MATCH($B311,'Resultados'!$A$5:$A$108,0)),"")</x:f>
      </x:c>
      <x:c r="O311" s="59" t="str">
        <x:f>IF(OR($I311="",$J311="",$L311="",$M311=""),"",IF(AND($H311="Sim",$L311=$M311),IF($I311&lt;&gt;$J311,0,IF(AND($I311=$L311,$J311=$M311),2,1)),IF(AND($I311=$L311,$J311=$M311),3,IF(AND($I311&lt;&gt;$J311,$I311=$M311,$J311=$L311),-2,IF(SIGN($I311-$J311)=SIGN($L311-$M311),1,0)))))</x:f>
      </x:c>
      <x:c r="P311" s="59" t="str">
        <x:f>IF(OR($H311&lt;&gt;"Sim",$I311="",$J311="",$L311="",$M311=""),"",IF(AND(IF($I311&gt;$J311,$F311,IF($I311&lt;$J311,$G311,$K311))&lt;&gt;"",IF($L311&gt;$M311,$F311,IF($L311&lt;$M311,$G311,$N311))&lt;&gt;"",IF($I311&gt;$J311,$F311,IF($I311&lt;$J311,$G311,$K311))=IF($L311&gt;$M311,$F311,IF($L311&lt;$M311,$G311,$N311))),1,0))</x:f>
      </x:c>
      <x:c r="Q311" s="59" t="str">
        <x:f>IF($O311="","",$O311+$P311)</x:f>
      </x:c>
      <x:c r="R311" s="59" t="str">
        <x:f>IF($Q311="","",IF($O311=3,"Cravada",IF(AND($H311="Sim",$L311=$M311,$I311=$J311,$O311=2),"Empate cravado",IF($O311=1,"Resultado certo",IF($O311=-2,"Invertida",IF($P311=1,"Acertou quem passa","Erro"))))))</x:f>
      </x:c>
      <x:c r="S311" s="59" t="str">
        <x:f>IF($O311="","",--(OR($O311=3,AND($H311="Sim",$L311=$M311,$I311=$J311,$O311=2))))</x:f>
      </x:c>
      <x:c r="T311" s="59" t="str">
        <x:f>IF($O311="","",--($O311=-2))</x:f>
      </x:c>
      <x:c r="U311" s="59" t="str">
        <x:f>IF($O311="","",--($O311=1))</x:f>
      </x:c>
      <x:c r="V311" s="59" t="n">
        <x:f>--(AND($I311&lt;&gt;"",$J311&lt;&gt;""))</x:f>
        <x:v>0</x:v>
      </x:c>
    </x:row>
    <x:row r="312">
      <x:c r="A312" s="21" t="str">
        <x:f>INDEX(Config!$B$10:$B$16,INT((ROW()-5)/104)+1)</x:f>
        <x:v>Gabriel</x:v>
      </x:c>
      <x:c r="B312" s="21" t="str">
        <x:v>QF_04</x:v>
      </x:c>
      <x:c r="C312" s="21" t="n">
        <x:v>100</x:v>
      </x:c>
      <x:c r="D312" s="21" t="str">
        <x:v>Quartas de final</x:v>
      </x:c>
      <x:c r="E312" s="21" t="str">
        <x:v>2026-07-11</x:v>
      </x:c>
      <x:c r="F312" s="21" t="str">
        <x:f>IFERROR(INDEX('Resultados'!$G$5:$G$108,MATCH($B312,'Resultados'!$A$5:$A$108,0)),"")</x:f>
        <x:v>Vencedor M95</x:v>
      </x:c>
      <x:c r="G312" s="21" t="str">
        <x:f>IFERROR(INDEX('Resultados'!$J$5:$J$108,MATCH($B312,'Resultados'!$A$5:$A$108,0)),"")</x:f>
        <x:v>Vencedor M96</x:v>
      </x:c>
      <x:c r="H312" s="21" t="str">
        <x:v>Sim</x:v>
      </x:c>
      <x:c r="I312" s="22"/>
      <x:c r="J312" s="22"/>
      <x:c r="K312" s="23"/>
      <x:c r="L312" s="21" t="str">
        <x:f>IFERROR(INDEX('Resultados'!$H$5:$H$108,MATCH($B312,'Resultados'!$A$5:$A$108,0)),"")</x:f>
      </x:c>
      <x:c r="M312" s="21" t="str">
        <x:f>IFERROR(INDEX('Resultados'!$I$5:$I$108,MATCH($B312,'Resultados'!$A$5:$A$108,0)),"")</x:f>
      </x:c>
      <x:c r="N312" s="21" t="str">
        <x:f>IFERROR(INDEX('Resultados'!$L$5:$L$108,MATCH($B312,'Resultados'!$A$5:$A$108,0)),"")</x:f>
      </x:c>
      <x:c r="O312" s="59" t="str">
        <x:f>IF(OR($I312="",$J312="",$L312="",$M312=""),"",IF(AND($H312="Sim",$L312=$M312),IF($I312&lt;&gt;$J312,0,IF(AND($I312=$L312,$J312=$M312),2,1)),IF(AND($I312=$L312,$J312=$M312),3,IF(AND($I312&lt;&gt;$J312,$I312=$M312,$J312=$L312),-2,IF(SIGN($I312-$J312)=SIGN($L312-$M312),1,0)))))</x:f>
      </x:c>
      <x:c r="P312" s="59" t="str">
        <x:f>IF(OR($H312&lt;&gt;"Sim",$I312="",$J312="",$L312="",$M312=""),"",IF(AND(IF($I312&gt;$J312,$F312,IF($I312&lt;$J312,$G312,$K312))&lt;&gt;"",IF($L312&gt;$M312,$F312,IF($L312&lt;$M312,$G312,$N312))&lt;&gt;"",IF($I312&gt;$J312,$F312,IF($I312&lt;$J312,$G312,$K312))=IF($L312&gt;$M312,$F312,IF($L312&lt;$M312,$G312,$N312))),1,0))</x:f>
      </x:c>
      <x:c r="Q312" s="59" t="str">
        <x:f>IF($O312="","",$O312+$P312)</x:f>
      </x:c>
      <x:c r="R312" s="59" t="str">
        <x:f>IF($Q312="","",IF($O312=3,"Cravada",IF(AND($H312="Sim",$L312=$M312,$I312=$J312,$O312=2),"Empate cravado",IF($O312=1,"Resultado certo",IF($O312=-2,"Invertida",IF($P312=1,"Acertou quem passa","Erro"))))))</x:f>
      </x:c>
      <x:c r="S312" s="59" t="str">
        <x:f>IF($O312="","",--(OR($O312=3,AND($H312="Sim",$L312=$M312,$I312=$J312,$O312=2))))</x:f>
      </x:c>
      <x:c r="T312" s="59" t="str">
        <x:f>IF($O312="","",--($O312=-2))</x:f>
      </x:c>
      <x:c r="U312" s="59" t="str">
        <x:f>IF($O312="","",--($O312=1))</x:f>
      </x:c>
      <x:c r="V312" s="59" t="n">
        <x:f>--(AND($I312&lt;&gt;"",$J312&lt;&gt;""))</x:f>
        <x:v>0</x:v>
      </x:c>
    </x:row>
    <x:row r="313">
      <x:c r="A313" s="21" t="str">
        <x:f>INDEX(Config!$B$10:$B$16,INT((ROW()-5)/104)+1)</x:f>
        <x:v>Gabriel</x:v>
      </x:c>
      <x:c r="B313" s="21" t="str">
        <x:v>SF_01</x:v>
      </x:c>
      <x:c r="C313" s="21" t="n">
        <x:v>101</x:v>
      </x:c>
      <x:c r="D313" s="21" t="str">
        <x:v>Semifinais</x:v>
      </x:c>
      <x:c r="E313" s="21" t="str">
        <x:v>2026-07-14</x:v>
      </x:c>
      <x:c r="F313" s="21" t="str">
        <x:f>IFERROR(INDEX('Resultados'!$G$5:$G$108,MATCH($B313,'Resultados'!$A$5:$A$108,0)),"")</x:f>
        <x:v>Vencedor M97</x:v>
      </x:c>
      <x:c r="G313" s="21" t="str">
        <x:f>IFERROR(INDEX('Resultados'!$J$5:$J$108,MATCH($B313,'Resultados'!$A$5:$A$108,0)),"")</x:f>
        <x:v>Vencedor M98</x:v>
      </x:c>
      <x:c r="H313" s="21" t="str">
        <x:v>Sim</x:v>
      </x:c>
      <x:c r="I313" s="22"/>
      <x:c r="J313" s="22"/>
      <x:c r="K313" s="23"/>
      <x:c r="L313" s="21" t="str">
        <x:f>IFERROR(INDEX('Resultados'!$H$5:$H$108,MATCH($B313,'Resultados'!$A$5:$A$108,0)),"")</x:f>
      </x:c>
      <x:c r="M313" s="21" t="str">
        <x:f>IFERROR(INDEX('Resultados'!$I$5:$I$108,MATCH($B313,'Resultados'!$A$5:$A$108,0)),"")</x:f>
      </x:c>
      <x:c r="N313" s="21" t="str">
        <x:f>IFERROR(INDEX('Resultados'!$L$5:$L$108,MATCH($B313,'Resultados'!$A$5:$A$108,0)),"")</x:f>
      </x:c>
      <x:c r="O313" s="59" t="str">
        <x:f>IF(OR($I313="",$J313="",$L313="",$M313=""),"",IF(AND($H313="Sim",$L313=$M313),IF($I313&lt;&gt;$J313,0,IF(AND($I313=$L313,$J313=$M313),2,1)),IF(AND($I313=$L313,$J313=$M313),3,IF(AND($I313&lt;&gt;$J313,$I313=$M313,$J313=$L313),-2,IF(SIGN($I313-$J313)=SIGN($L313-$M313),1,0)))))</x:f>
      </x:c>
      <x:c r="P313" s="59" t="str">
        <x:f>IF(OR($H313&lt;&gt;"Sim",$I313="",$J313="",$L313="",$M313=""),"",IF(AND(IF($I313&gt;$J313,$F313,IF($I313&lt;$J313,$G313,$K313))&lt;&gt;"",IF($L313&gt;$M313,$F313,IF($L313&lt;$M313,$G313,$N313))&lt;&gt;"",IF($I313&gt;$J313,$F313,IF($I313&lt;$J313,$G313,$K313))=IF($L313&gt;$M313,$F313,IF($L313&lt;$M313,$G313,$N313))),1,0))</x:f>
      </x:c>
      <x:c r="Q313" s="59" t="str">
        <x:f>IF($O313="","",$O313+$P313)</x:f>
      </x:c>
      <x:c r="R313" s="59" t="str">
        <x:f>IF($Q313="","",IF($O313=3,"Cravada",IF(AND($H313="Sim",$L313=$M313,$I313=$J313,$O313=2),"Empate cravado",IF($O313=1,"Resultado certo",IF($O313=-2,"Invertida",IF($P313=1,"Acertou quem passa","Erro"))))))</x:f>
      </x:c>
      <x:c r="S313" s="59" t="str">
        <x:f>IF($O313="","",--(OR($O313=3,AND($H313="Sim",$L313=$M313,$I313=$J313,$O313=2))))</x:f>
      </x:c>
      <x:c r="T313" s="59" t="str">
        <x:f>IF($O313="","",--($O313=-2))</x:f>
      </x:c>
      <x:c r="U313" s="59" t="str">
        <x:f>IF($O313="","",--($O313=1))</x:f>
      </x:c>
      <x:c r="V313" s="59" t="n">
        <x:f>--(AND($I313&lt;&gt;"",$J313&lt;&gt;""))</x:f>
        <x:v>0</x:v>
      </x:c>
    </x:row>
    <x:row r="314">
      <x:c r="A314" s="21" t="str">
        <x:f>INDEX(Config!$B$10:$B$16,INT((ROW()-5)/104)+1)</x:f>
        <x:v>Gabriel</x:v>
      </x:c>
      <x:c r="B314" s="21" t="str">
        <x:v>SF_02</x:v>
      </x:c>
      <x:c r="C314" s="21" t="n">
        <x:v>102</x:v>
      </x:c>
      <x:c r="D314" s="21" t="str">
        <x:v>Semifinais</x:v>
      </x:c>
      <x:c r="E314" s="21" t="str">
        <x:v>2026-07-15</x:v>
      </x:c>
      <x:c r="F314" s="21" t="str">
        <x:f>IFERROR(INDEX('Resultados'!$G$5:$G$108,MATCH($B314,'Resultados'!$A$5:$A$108,0)),"")</x:f>
        <x:v>Vencedor M99</x:v>
      </x:c>
      <x:c r="G314" s="21" t="str">
        <x:f>IFERROR(INDEX('Resultados'!$J$5:$J$108,MATCH($B314,'Resultados'!$A$5:$A$108,0)),"")</x:f>
        <x:v>Vencedor M100</x:v>
      </x:c>
      <x:c r="H314" s="21" t="str">
        <x:v>Sim</x:v>
      </x:c>
      <x:c r="I314" s="22"/>
      <x:c r="J314" s="22"/>
      <x:c r="K314" s="23"/>
      <x:c r="L314" s="21" t="str">
        <x:f>IFERROR(INDEX('Resultados'!$H$5:$H$108,MATCH($B314,'Resultados'!$A$5:$A$108,0)),"")</x:f>
      </x:c>
      <x:c r="M314" s="21" t="str">
        <x:f>IFERROR(INDEX('Resultados'!$I$5:$I$108,MATCH($B314,'Resultados'!$A$5:$A$108,0)),"")</x:f>
      </x:c>
      <x:c r="N314" s="21" t="str">
        <x:f>IFERROR(INDEX('Resultados'!$L$5:$L$108,MATCH($B314,'Resultados'!$A$5:$A$108,0)),"")</x:f>
      </x:c>
      <x:c r="O314" s="59" t="str">
        <x:f>IF(OR($I314="",$J314="",$L314="",$M314=""),"",IF(AND($H314="Sim",$L314=$M314),IF($I314&lt;&gt;$J314,0,IF(AND($I314=$L314,$J314=$M314),2,1)),IF(AND($I314=$L314,$J314=$M314),3,IF(AND($I314&lt;&gt;$J314,$I314=$M314,$J314=$L314),-2,IF(SIGN($I314-$J314)=SIGN($L314-$M314),1,0)))))</x:f>
      </x:c>
      <x:c r="P314" s="59" t="str">
        <x:f>IF(OR($H314&lt;&gt;"Sim",$I314="",$J314="",$L314="",$M314=""),"",IF(AND(IF($I314&gt;$J314,$F314,IF($I314&lt;$J314,$G314,$K314))&lt;&gt;"",IF($L314&gt;$M314,$F314,IF($L314&lt;$M314,$G314,$N314))&lt;&gt;"",IF($I314&gt;$J314,$F314,IF($I314&lt;$J314,$G314,$K314))=IF($L314&gt;$M314,$F314,IF($L314&lt;$M314,$G314,$N314))),1,0))</x:f>
      </x:c>
      <x:c r="Q314" s="59" t="str">
        <x:f>IF($O314="","",$O314+$P314)</x:f>
      </x:c>
      <x:c r="R314" s="59" t="str">
        <x:f>IF($Q314="","",IF($O314=3,"Cravada",IF(AND($H314="Sim",$L314=$M314,$I314=$J314,$O314=2),"Empate cravado",IF($O314=1,"Resultado certo",IF($O314=-2,"Invertida",IF($P314=1,"Acertou quem passa","Erro"))))))</x:f>
      </x:c>
      <x:c r="S314" s="59" t="str">
        <x:f>IF($O314="","",--(OR($O314=3,AND($H314="Sim",$L314=$M314,$I314=$J314,$O314=2))))</x:f>
      </x:c>
      <x:c r="T314" s="59" t="str">
        <x:f>IF($O314="","",--($O314=-2))</x:f>
      </x:c>
      <x:c r="U314" s="59" t="str">
        <x:f>IF($O314="","",--($O314=1))</x:f>
      </x:c>
      <x:c r="V314" s="59" t="n">
        <x:f>--(AND($I314&lt;&gt;"",$J314&lt;&gt;""))</x:f>
        <x:v>0</x:v>
      </x:c>
    </x:row>
    <x:row r="315">
      <x:c r="A315" s="21" t="str">
        <x:f>INDEX(Config!$B$10:$B$16,INT((ROW()-5)/104)+1)</x:f>
        <x:v>Gabriel</x:v>
      </x:c>
      <x:c r="B315" s="21" t="str">
        <x:v>P3</x:v>
      </x:c>
      <x:c r="C315" s="21" t="n">
        <x:v>103</x:v>
      </x:c>
      <x:c r="D315" s="21" t="str">
        <x:v>Disputa de 3º lugar</x:v>
      </x:c>
      <x:c r="E315" s="21" t="str">
        <x:v>2026-07-18</x:v>
      </x:c>
      <x:c r="F315" s="21" t="str">
        <x:f>IFERROR(INDEX('Resultados'!$G$5:$G$108,MATCH($B315,'Resultados'!$A$5:$A$108,0)),"")</x:f>
        <x:v>Perdedor M101</x:v>
      </x:c>
      <x:c r="G315" s="21" t="str">
        <x:f>IFERROR(INDEX('Resultados'!$J$5:$J$108,MATCH($B315,'Resultados'!$A$5:$A$108,0)),"")</x:f>
        <x:v>Perdedor M102</x:v>
      </x:c>
      <x:c r="H315" s="21" t="str">
        <x:v>Sim</x:v>
      </x:c>
      <x:c r="I315" s="22"/>
      <x:c r="J315" s="22"/>
      <x:c r="K315" s="23"/>
      <x:c r="L315" s="21" t="str">
        <x:f>IFERROR(INDEX('Resultados'!$H$5:$H$108,MATCH($B315,'Resultados'!$A$5:$A$108,0)),"")</x:f>
      </x:c>
      <x:c r="M315" s="21" t="str">
        <x:f>IFERROR(INDEX('Resultados'!$I$5:$I$108,MATCH($B315,'Resultados'!$A$5:$A$108,0)),"")</x:f>
      </x:c>
      <x:c r="N315" s="21" t="str">
        <x:f>IFERROR(INDEX('Resultados'!$L$5:$L$108,MATCH($B315,'Resultados'!$A$5:$A$108,0)),"")</x:f>
      </x:c>
      <x:c r="O315" s="59" t="str">
        <x:f>IF(OR($I315="",$J315="",$L315="",$M315=""),"",IF(AND($H315="Sim",$L315=$M315),IF($I315&lt;&gt;$J315,0,IF(AND($I315=$L315,$J315=$M315),2,1)),IF(AND($I315=$L315,$J315=$M315),3,IF(AND($I315&lt;&gt;$J315,$I315=$M315,$J315=$L315),-2,IF(SIGN($I315-$J315)=SIGN($L315-$M315),1,0)))))</x:f>
      </x:c>
      <x:c r="P315" s="59" t="str">
        <x:f>IF(OR($H315&lt;&gt;"Sim",$I315="",$J315="",$L315="",$M315=""),"",IF(AND(IF($I315&gt;$J315,$F315,IF($I315&lt;$J315,$G315,$K315))&lt;&gt;"",IF($L315&gt;$M315,$F315,IF($L315&lt;$M315,$G315,$N315))&lt;&gt;"",IF($I315&gt;$J315,$F315,IF($I315&lt;$J315,$G315,$K315))=IF($L315&gt;$M315,$F315,IF($L315&lt;$M315,$G315,$N315))),1,0))</x:f>
      </x:c>
      <x:c r="Q315" s="59" t="str">
        <x:f>IF($O315="","",$O315+$P315)</x:f>
      </x:c>
      <x:c r="R315" s="59" t="str">
        <x:f>IF($Q315="","",IF($O315=3,"Cravada",IF(AND($H315="Sim",$L315=$M315,$I315=$J315,$O315=2),"Empate cravado",IF($O315=1,"Resultado certo",IF($O315=-2,"Invertida",IF($P315=1,"Acertou quem passa","Erro"))))))</x:f>
      </x:c>
      <x:c r="S315" s="59" t="str">
        <x:f>IF($O315="","",--(OR($O315=3,AND($H315="Sim",$L315=$M315,$I315=$J315,$O315=2))))</x:f>
      </x:c>
      <x:c r="T315" s="59" t="str">
        <x:f>IF($O315="","",--($O315=-2))</x:f>
      </x:c>
      <x:c r="U315" s="59" t="str">
        <x:f>IF($O315="","",--($O315=1))</x:f>
      </x:c>
      <x:c r="V315" s="59" t="n">
        <x:f>--(AND($I315&lt;&gt;"",$J315&lt;&gt;""))</x:f>
        <x:v>0</x:v>
      </x:c>
    </x:row>
    <x:row r="316">
      <x:c r="A316" s="21" t="str">
        <x:f>INDEX(Config!$B$10:$B$16,INT((ROW()-5)/104)+1)</x:f>
        <x:v>Gabriel</x:v>
      </x:c>
      <x:c r="B316" s="21" t="str">
        <x:v>FINAL</x:v>
      </x:c>
      <x:c r="C316" s="21" t="n">
        <x:v>104</x:v>
      </x:c>
      <x:c r="D316" s="21" t="str">
        <x:v>Final</x:v>
      </x:c>
      <x:c r="E316" s="21" t="str">
        <x:v>2026-07-19</x:v>
      </x:c>
      <x:c r="F316" s="21" t="str">
        <x:f>IFERROR(INDEX('Resultados'!$G$5:$G$108,MATCH($B316,'Resultados'!$A$5:$A$108,0)),"")</x:f>
        <x:v>Vencedor M101</x:v>
      </x:c>
      <x:c r="G316" s="21" t="str">
        <x:f>IFERROR(INDEX('Resultados'!$J$5:$J$108,MATCH($B316,'Resultados'!$A$5:$A$108,0)),"")</x:f>
        <x:v>Vencedor M102</x:v>
      </x:c>
      <x:c r="H316" s="21" t="str">
        <x:v>Sim</x:v>
      </x:c>
      <x:c r="I316" s="22"/>
      <x:c r="J316" s="22"/>
      <x:c r="K316" s="23"/>
      <x:c r="L316" s="21" t="str">
        <x:f>IFERROR(INDEX('Resultados'!$H$5:$H$108,MATCH($B316,'Resultados'!$A$5:$A$108,0)),"")</x:f>
      </x:c>
      <x:c r="M316" s="21" t="str">
        <x:f>IFERROR(INDEX('Resultados'!$I$5:$I$108,MATCH($B316,'Resultados'!$A$5:$A$108,0)),"")</x:f>
      </x:c>
      <x:c r="N316" s="21" t="str">
        <x:f>IFERROR(INDEX('Resultados'!$L$5:$L$108,MATCH($B316,'Resultados'!$A$5:$A$108,0)),"")</x:f>
      </x:c>
      <x:c r="O316" s="59" t="str">
        <x:f>IF(OR($I316="",$J316="",$L316="",$M316=""),"",IF(AND($H316="Sim",$L316=$M316),IF($I316&lt;&gt;$J316,0,IF(AND($I316=$L316,$J316=$M316),2,1)),IF(AND($I316=$L316,$J316=$M316),3,IF(AND($I316&lt;&gt;$J316,$I316=$M316,$J316=$L316),-2,IF(SIGN($I316-$J316)=SIGN($L316-$M316),1,0)))))</x:f>
      </x:c>
      <x:c r="P316" s="59" t="str">
        <x:f>IF(OR($H316&lt;&gt;"Sim",$I316="",$J316="",$L316="",$M316=""),"",IF(AND(IF($I316&gt;$J316,$F316,IF($I316&lt;$J316,$G316,$K316))&lt;&gt;"",IF($L316&gt;$M316,$F316,IF($L316&lt;$M316,$G316,$N316))&lt;&gt;"",IF($I316&gt;$J316,$F316,IF($I316&lt;$J316,$G316,$K316))=IF($L316&gt;$M316,$F316,IF($L316&lt;$M316,$G316,$N316))),1,0))</x:f>
      </x:c>
      <x:c r="Q316" s="59" t="str">
        <x:f>IF($O316="","",$O316+$P316)</x:f>
      </x:c>
      <x:c r="R316" s="59" t="str">
        <x:f>IF($Q316="","",IF($O316=3,"Cravada",IF(AND($H316="Sim",$L316=$M316,$I316=$J316,$O316=2),"Empate cravado",IF($O316=1,"Resultado certo",IF($O316=-2,"Invertida",IF($P316=1,"Acertou quem passa","Erro"))))))</x:f>
      </x:c>
      <x:c r="S316" s="59" t="str">
        <x:f>IF($O316="","",--(OR($O316=3,AND($H316="Sim",$L316=$M316,$I316=$J316,$O316=2))))</x:f>
      </x:c>
      <x:c r="T316" s="59" t="str">
        <x:f>IF($O316="","",--($O316=-2))</x:f>
      </x:c>
      <x:c r="U316" s="59" t="str">
        <x:f>IF($O316="","",--($O316=1))</x:f>
      </x:c>
      <x:c r="V316" s="59" t="n">
        <x:f>--(AND($I316&lt;&gt;"",$J316&lt;&gt;""))</x:f>
        <x:v>0</x:v>
      </x:c>
    </x:row>
    <x:row r="317">
      <x:c r="A317" s="21" t="str">
        <x:f>INDEX(Config!$B$10:$B$16,INT((ROW()-5)/104)+1)</x:f>
        <x:v>Gustavo</x:v>
      </x:c>
      <x:c r="B317" s="21" t="str">
        <x:v>GA1</x:v>
      </x:c>
      <x:c r="C317" s="21" t="n">
        <x:v>1</x:v>
      </x:c>
      <x:c r="D317" s="21" t="str">
        <x:v>Grupo A</x:v>
      </x:c>
      <x:c r="E317" s="21" t="str">
        <x:v>2026-06-11</x:v>
      </x:c>
      <x:c r="F317" s="21" t="str">
        <x:f>IFERROR(INDEX('Resultados'!$G$5:$G$108,MATCH($B317,'Resultados'!$A$5:$A$108,0)),"")</x:f>
        <x:v>México</x:v>
      </x:c>
      <x:c r="G317" s="21" t="str">
        <x:f>IFERROR(INDEX('Resultados'!$J$5:$J$108,MATCH($B317,'Resultados'!$A$5:$A$108,0)),"")</x:f>
        <x:v>África do Sul</x:v>
      </x:c>
      <x:c r="H317" s="21" t="str">
        <x:v>Não</x:v>
      </x:c>
      <x:c r="I317" s="22"/>
      <x:c r="J317" s="22"/>
      <x:c r="K317" s="23"/>
      <x:c r="L317" s="21" t="str">
        <x:f>IFERROR(INDEX('Resultados'!$H$5:$H$108,MATCH($B317,'Resultados'!$A$5:$A$108,0)),"")</x:f>
      </x:c>
      <x:c r="M317" s="21" t="str">
        <x:f>IFERROR(INDEX('Resultados'!$I$5:$I$108,MATCH($B317,'Resultados'!$A$5:$A$108,0)),"")</x:f>
      </x:c>
      <x:c r="N317" s="21" t="str">
        <x:f>IFERROR(INDEX('Resultados'!$L$5:$L$108,MATCH($B317,'Resultados'!$A$5:$A$108,0)),"")</x:f>
      </x:c>
      <x:c r="O317" s="59" t="str">
        <x:f>IF(OR($I317="",$J317="",$L317="",$M317=""),"",IF(AND($H317="Sim",$L317=$M317),IF($I317&lt;&gt;$J317,0,IF(AND($I317=$L317,$J317=$M317),2,1)),IF(AND($I317=$L317,$J317=$M317),3,IF(AND($I317&lt;&gt;$J317,$I317=$M317,$J317=$L317),-2,IF(SIGN($I317-$J317)=SIGN($L317-$M317),1,0)))))</x:f>
      </x:c>
      <x:c r="P317" s="59" t="str">
        <x:f>IF(OR($H317&lt;&gt;"Sim",$I317="",$J317="",$L317="",$M317=""),"",IF(AND(IF($I317&gt;$J317,$F317,IF($I317&lt;$J317,$G317,$K317))&lt;&gt;"",IF($L317&gt;$M317,$F317,IF($L317&lt;$M317,$G317,$N317))&lt;&gt;"",IF($I317&gt;$J317,$F317,IF($I317&lt;$J317,$G317,$K317))=IF($L317&gt;$M317,$F317,IF($L317&lt;$M317,$G317,$N317))),1,0))</x:f>
      </x:c>
      <x:c r="Q317" s="59" t="str">
        <x:f>IF($O317="","",$O317+$P317)</x:f>
      </x:c>
      <x:c r="R317" s="59" t="str">
        <x:f>IF($Q317="","",IF($O317=3,"Cravada",IF(AND($H317="Sim",$L317=$M317,$I317=$J317,$O317=2),"Empate cravado",IF($O317=1,"Resultado certo",IF($O317=-2,"Invertida",IF($P317=1,"Acertou quem passa","Erro"))))))</x:f>
      </x:c>
      <x:c r="S317" s="59" t="str">
        <x:f>IF($O317="","",--(OR($O317=3,AND($H317="Sim",$L317=$M317,$I317=$J317,$O317=2))))</x:f>
      </x:c>
      <x:c r="T317" s="59" t="str">
        <x:f>IF($O317="","",--($O317=-2))</x:f>
      </x:c>
      <x:c r="U317" s="59" t="str">
        <x:f>IF($O317="","",--($O317=1))</x:f>
      </x:c>
      <x:c r="V317" s="59" t="n">
        <x:f>--(AND($I317&lt;&gt;"",$J317&lt;&gt;""))</x:f>
        <x:v>0</x:v>
      </x:c>
    </x:row>
    <x:row r="318">
      <x:c r="A318" s="21" t="str">
        <x:f>INDEX(Config!$B$10:$B$16,INT((ROW()-5)/104)+1)</x:f>
        <x:v>Gustavo</x:v>
      </x:c>
      <x:c r="B318" s="21" t="str">
        <x:v>GA2</x:v>
      </x:c>
      <x:c r="C318" s="21" t="n">
        <x:v>2</x:v>
      </x:c>
      <x:c r="D318" s="21" t="str">
        <x:v>Grupo A</x:v>
      </x:c>
      <x:c r="E318" s="21" t="str">
        <x:v>2026-06-11</x:v>
      </x:c>
      <x:c r="F318" s="21" t="str">
        <x:f>IFERROR(INDEX('Resultados'!$G$5:$G$108,MATCH($B318,'Resultados'!$A$5:$A$108,0)),"")</x:f>
        <x:v>Coreia do Sul</x:v>
      </x:c>
      <x:c r="G318" s="21" t="str">
        <x:f>IFERROR(INDEX('Resultados'!$J$5:$J$108,MATCH($B318,'Resultados'!$A$5:$A$108,0)),"")</x:f>
        <x:v>Rep. Tcheca</x:v>
      </x:c>
      <x:c r="H318" s="21" t="str">
        <x:v>Não</x:v>
      </x:c>
      <x:c r="I318" s="22"/>
      <x:c r="J318" s="22"/>
      <x:c r="K318" s="23"/>
      <x:c r="L318" s="21" t="str">
        <x:f>IFERROR(INDEX('Resultados'!$H$5:$H$108,MATCH($B318,'Resultados'!$A$5:$A$108,0)),"")</x:f>
      </x:c>
      <x:c r="M318" s="21" t="str">
        <x:f>IFERROR(INDEX('Resultados'!$I$5:$I$108,MATCH($B318,'Resultados'!$A$5:$A$108,0)),"")</x:f>
      </x:c>
      <x:c r="N318" s="21" t="str">
        <x:f>IFERROR(INDEX('Resultados'!$L$5:$L$108,MATCH($B318,'Resultados'!$A$5:$A$108,0)),"")</x:f>
      </x:c>
      <x:c r="O318" s="59" t="str">
        <x:f>IF(OR($I318="",$J318="",$L318="",$M318=""),"",IF(AND($H318="Sim",$L318=$M318),IF($I318&lt;&gt;$J318,0,IF(AND($I318=$L318,$J318=$M318),2,1)),IF(AND($I318=$L318,$J318=$M318),3,IF(AND($I318&lt;&gt;$J318,$I318=$M318,$J318=$L318),-2,IF(SIGN($I318-$J318)=SIGN($L318-$M318),1,0)))))</x:f>
      </x:c>
      <x:c r="P318" s="59" t="str">
        <x:f>IF(OR($H318&lt;&gt;"Sim",$I318="",$J318="",$L318="",$M318=""),"",IF(AND(IF($I318&gt;$J318,$F318,IF($I318&lt;$J318,$G318,$K318))&lt;&gt;"",IF($L318&gt;$M318,$F318,IF($L318&lt;$M318,$G318,$N318))&lt;&gt;"",IF($I318&gt;$J318,$F318,IF($I318&lt;$J318,$G318,$K318))=IF($L318&gt;$M318,$F318,IF($L318&lt;$M318,$G318,$N318))),1,0))</x:f>
      </x:c>
      <x:c r="Q318" s="59" t="str">
        <x:f>IF($O318="","",$O318+$P318)</x:f>
      </x:c>
      <x:c r="R318" s="59" t="str">
        <x:f>IF($Q318="","",IF($O318=3,"Cravada",IF(AND($H318="Sim",$L318=$M318,$I318=$J318,$O318=2),"Empate cravado",IF($O318=1,"Resultado certo",IF($O318=-2,"Invertida",IF($P318=1,"Acertou quem passa","Erro"))))))</x:f>
      </x:c>
      <x:c r="S318" s="59" t="str">
        <x:f>IF($O318="","",--(OR($O318=3,AND($H318="Sim",$L318=$M318,$I318=$J318,$O318=2))))</x:f>
      </x:c>
      <x:c r="T318" s="59" t="str">
        <x:f>IF($O318="","",--($O318=-2))</x:f>
      </x:c>
      <x:c r="U318" s="59" t="str">
        <x:f>IF($O318="","",--($O318=1))</x:f>
      </x:c>
      <x:c r="V318" s="59" t="n">
        <x:f>--(AND($I318&lt;&gt;"",$J318&lt;&gt;""))</x:f>
        <x:v>0</x:v>
      </x:c>
    </x:row>
    <x:row r="319">
      <x:c r="A319" s="21" t="str">
        <x:f>INDEX(Config!$B$10:$B$16,INT((ROW()-5)/104)+1)</x:f>
        <x:v>Gustavo</x:v>
      </x:c>
      <x:c r="B319" s="21" t="str">
        <x:v>GA3</x:v>
      </x:c>
      <x:c r="C319" s="21" t="n">
        <x:v>3</x:v>
      </x:c>
      <x:c r="D319" s="21" t="str">
        <x:v>Grupo A</x:v>
      </x:c>
      <x:c r="E319" s="21" t="str">
        <x:v>2026-06-18</x:v>
      </x:c>
      <x:c r="F319" s="21" t="str">
        <x:f>IFERROR(INDEX('Resultados'!$G$5:$G$108,MATCH($B319,'Resultados'!$A$5:$A$108,0)),"")</x:f>
        <x:v>México</x:v>
      </x:c>
      <x:c r="G319" s="21" t="str">
        <x:f>IFERROR(INDEX('Resultados'!$J$5:$J$108,MATCH($B319,'Resultados'!$A$5:$A$108,0)),"")</x:f>
        <x:v>Coreia do Sul</x:v>
      </x:c>
      <x:c r="H319" s="21" t="str">
        <x:v>Não</x:v>
      </x:c>
      <x:c r="I319" s="22"/>
      <x:c r="J319" s="22"/>
      <x:c r="K319" s="23"/>
      <x:c r="L319" s="21" t="str">
        <x:f>IFERROR(INDEX('Resultados'!$H$5:$H$108,MATCH($B319,'Resultados'!$A$5:$A$108,0)),"")</x:f>
      </x:c>
      <x:c r="M319" s="21" t="str">
        <x:f>IFERROR(INDEX('Resultados'!$I$5:$I$108,MATCH($B319,'Resultados'!$A$5:$A$108,0)),"")</x:f>
      </x:c>
      <x:c r="N319" s="21" t="str">
        <x:f>IFERROR(INDEX('Resultados'!$L$5:$L$108,MATCH($B319,'Resultados'!$A$5:$A$108,0)),"")</x:f>
      </x:c>
      <x:c r="O319" s="59" t="str">
        <x:f>IF(OR($I319="",$J319="",$L319="",$M319=""),"",IF(AND($H319="Sim",$L319=$M319),IF($I319&lt;&gt;$J319,0,IF(AND($I319=$L319,$J319=$M319),2,1)),IF(AND($I319=$L319,$J319=$M319),3,IF(AND($I319&lt;&gt;$J319,$I319=$M319,$J319=$L319),-2,IF(SIGN($I319-$J319)=SIGN($L319-$M319),1,0)))))</x:f>
      </x:c>
      <x:c r="P319" s="59" t="str">
        <x:f>IF(OR($H319&lt;&gt;"Sim",$I319="",$J319="",$L319="",$M319=""),"",IF(AND(IF($I319&gt;$J319,$F319,IF($I319&lt;$J319,$G319,$K319))&lt;&gt;"",IF($L319&gt;$M319,$F319,IF($L319&lt;$M319,$G319,$N319))&lt;&gt;"",IF($I319&gt;$J319,$F319,IF($I319&lt;$J319,$G319,$K319))=IF($L319&gt;$M319,$F319,IF($L319&lt;$M319,$G319,$N319))),1,0))</x:f>
      </x:c>
      <x:c r="Q319" s="59" t="str">
        <x:f>IF($O319="","",$O319+$P319)</x:f>
      </x:c>
      <x:c r="R319" s="59" t="str">
        <x:f>IF($Q319="","",IF($O319=3,"Cravada",IF(AND($H319="Sim",$L319=$M319,$I319=$J319,$O319=2),"Empate cravado",IF($O319=1,"Resultado certo",IF($O319=-2,"Invertida",IF($P319=1,"Acertou quem passa","Erro"))))))</x:f>
      </x:c>
      <x:c r="S319" s="59" t="str">
        <x:f>IF($O319="","",--(OR($O319=3,AND($H319="Sim",$L319=$M319,$I319=$J319,$O319=2))))</x:f>
      </x:c>
      <x:c r="T319" s="59" t="str">
        <x:f>IF($O319="","",--($O319=-2))</x:f>
      </x:c>
      <x:c r="U319" s="59" t="str">
        <x:f>IF($O319="","",--($O319=1))</x:f>
      </x:c>
      <x:c r="V319" s="59" t="n">
        <x:f>--(AND($I319&lt;&gt;"",$J319&lt;&gt;""))</x:f>
        <x:v>0</x:v>
      </x:c>
    </x:row>
    <x:row r="320">
      <x:c r="A320" s="21" t="str">
        <x:f>INDEX(Config!$B$10:$B$16,INT((ROW()-5)/104)+1)</x:f>
        <x:v>Gustavo</x:v>
      </x:c>
      <x:c r="B320" s="21" t="str">
        <x:v>GA4</x:v>
      </x:c>
      <x:c r="C320" s="21" t="n">
        <x:v>4</x:v>
      </x:c>
      <x:c r="D320" s="21" t="str">
        <x:v>Grupo A</x:v>
      </x:c>
      <x:c r="E320" s="21" t="str">
        <x:v>2026-06-18</x:v>
      </x:c>
      <x:c r="F320" s="21" t="str">
        <x:f>IFERROR(INDEX('Resultados'!$G$5:$G$108,MATCH($B320,'Resultados'!$A$5:$A$108,0)),"")</x:f>
        <x:v>África do Sul</x:v>
      </x:c>
      <x:c r="G320" s="21" t="str">
        <x:f>IFERROR(INDEX('Resultados'!$J$5:$J$108,MATCH($B320,'Resultados'!$A$5:$A$108,0)),"")</x:f>
        <x:v>Rep. Tcheca</x:v>
      </x:c>
      <x:c r="H320" s="21" t="str">
        <x:v>Não</x:v>
      </x:c>
      <x:c r="I320" s="22"/>
      <x:c r="J320" s="22"/>
      <x:c r="K320" s="23"/>
      <x:c r="L320" s="21" t="str">
        <x:f>IFERROR(INDEX('Resultados'!$H$5:$H$108,MATCH($B320,'Resultados'!$A$5:$A$108,0)),"")</x:f>
      </x:c>
      <x:c r="M320" s="21" t="str">
        <x:f>IFERROR(INDEX('Resultados'!$I$5:$I$108,MATCH($B320,'Resultados'!$A$5:$A$108,0)),"")</x:f>
      </x:c>
      <x:c r="N320" s="21" t="str">
        <x:f>IFERROR(INDEX('Resultados'!$L$5:$L$108,MATCH($B320,'Resultados'!$A$5:$A$108,0)),"")</x:f>
      </x:c>
      <x:c r="O320" s="59" t="str">
        <x:f>IF(OR($I320="",$J320="",$L320="",$M320=""),"",IF(AND($H320="Sim",$L320=$M320),IF($I320&lt;&gt;$J320,0,IF(AND($I320=$L320,$J320=$M320),2,1)),IF(AND($I320=$L320,$J320=$M320),3,IF(AND($I320&lt;&gt;$J320,$I320=$M320,$J320=$L320),-2,IF(SIGN($I320-$J320)=SIGN($L320-$M320),1,0)))))</x:f>
      </x:c>
      <x:c r="P320" s="59" t="str">
        <x:f>IF(OR($H320&lt;&gt;"Sim",$I320="",$J320="",$L320="",$M320=""),"",IF(AND(IF($I320&gt;$J320,$F320,IF($I320&lt;$J320,$G320,$K320))&lt;&gt;"",IF($L320&gt;$M320,$F320,IF($L320&lt;$M320,$G320,$N320))&lt;&gt;"",IF($I320&gt;$J320,$F320,IF($I320&lt;$J320,$G320,$K320))=IF($L320&gt;$M320,$F320,IF($L320&lt;$M320,$G320,$N320))),1,0))</x:f>
      </x:c>
      <x:c r="Q320" s="59" t="str">
        <x:f>IF($O320="","",$O320+$P320)</x:f>
      </x:c>
      <x:c r="R320" s="59" t="str">
        <x:f>IF($Q320="","",IF($O320=3,"Cravada",IF(AND($H320="Sim",$L320=$M320,$I320=$J320,$O320=2),"Empate cravado",IF($O320=1,"Resultado certo",IF($O320=-2,"Invertida",IF($P320=1,"Acertou quem passa","Erro"))))))</x:f>
      </x:c>
      <x:c r="S320" s="59" t="str">
        <x:f>IF($O320="","",--(OR($O320=3,AND($H320="Sim",$L320=$M320,$I320=$J320,$O320=2))))</x:f>
      </x:c>
      <x:c r="T320" s="59" t="str">
        <x:f>IF($O320="","",--($O320=-2))</x:f>
      </x:c>
      <x:c r="U320" s="59" t="str">
        <x:f>IF($O320="","",--($O320=1))</x:f>
      </x:c>
      <x:c r="V320" s="59" t="n">
        <x:f>--(AND($I320&lt;&gt;"",$J320&lt;&gt;""))</x:f>
        <x:v>0</x:v>
      </x:c>
    </x:row>
    <x:row r="321">
      <x:c r="A321" s="21" t="str">
        <x:f>INDEX(Config!$B$10:$B$16,INT((ROW()-5)/104)+1)</x:f>
        <x:v>Gustavo</x:v>
      </x:c>
      <x:c r="B321" s="21" t="str">
        <x:v>GA5</x:v>
      </x:c>
      <x:c r="C321" s="21" t="n">
        <x:v>5</x:v>
      </x:c>
      <x:c r="D321" s="21" t="str">
        <x:v>Grupo A</x:v>
      </x:c>
      <x:c r="E321" s="21" t="str">
        <x:v>2026-06-24</x:v>
      </x:c>
      <x:c r="F321" s="21" t="str">
        <x:f>IFERROR(INDEX('Resultados'!$G$5:$G$108,MATCH($B321,'Resultados'!$A$5:$A$108,0)),"")</x:f>
        <x:v>México</x:v>
      </x:c>
      <x:c r="G321" s="21" t="str">
        <x:f>IFERROR(INDEX('Resultados'!$J$5:$J$108,MATCH($B321,'Resultados'!$A$5:$A$108,0)),"")</x:f>
        <x:v>Rep. Tcheca</x:v>
      </x:c>
      <x:c r="H321" s="21" t="str">
        <x:v>Não</x:v>
      </x:c>
      <x:c r="I321" s="22"/>
      <x:c r="J321" s="22"/>
      <x:c r="K321" s="23"/>
      <x:c r="L321" s="21" t="str">
        <x:f>IFERROR(INDEX('Resultados'!$H$5:$H$108,MATCH($B321,'Resultados'!$A$5:$A$108,0)),"")</x:f>
      </x:c>
      <x:c r="M321" s="21" t="str">
        <x:f>IFERROR(INDEX('Resultados'!$I$5:$I$108,MATCH($B321,'Resultados'!$A$5:$A$108,0)),"")</x:f>
      </x:c>
      <x:c r="N321" s="21" t="str">
        <x:f>IFERROR(INDEX('Resultados'!$L$5:$L$108,MATCH($B321,'Resultados'!$A$5:$A$108,0)),"")</x:f>
      </x:c>
      <x:c r="O321" s="59" t="str">
        <x:f>IF(OR($I321="",$J321="",$L321="",$M321=""),"",IF(AND($H321="Sim",$L321=$M321),IF($I321&lt;&gt;$J321,0,IF(AND($I321=$L321,$J321=$M321),2,1)),IF(AND($I321=$L321,$J321=$M321),3,IF(AND($I321&lt;&gt;$J321,$I321=$M321,$J321=$L321),-2,IF(SIGN($I321-$J321)=SIGN($L321-$M321),1,0)))))</x:f>
      </x:c>
      <x:c r="P321" s="59" t="str">
        <x:f>IF(OR($H321&lt;&gt;"Sim",$I321="",$J321="",$L321="",$M321=""),"",IF(AND(IF($I321&gt;$J321,$F321,IF($I321&lt;$J321,$G321,$K321))&lt;&gt;"",IF($L321&gt;$M321,$F321,IF($L321&lt;$M321,$G321,$N321))&lt;&gt;"",IF($I321&gt;$J321,$F321,IF($I321&lt;$J321,$G321,$K321))=IF($L321&gt;$M321,$F321,IF($L321&lt;$M321,$G321,$N321))),1,0))</x:f>
      </x:c>
      <x:c r="Q321" s="59" t="str">
        <x:f>IF($O321="","",$O321+$P321)</x:f>
      </x:c>
      <x:c r="R321" s="59" t="str">
        <x:f>IF($Q321="","",IF($O321=3,"Cravada",IF(AND($H321="Sim",$L321=$M321,$I321=$J321,$O321=2),"Empate cravado",IF($O321=1,"Resultado certo",IF($O321=-2,"Invertida",IF($P321=1,"Acertou quem passa","Erro"))))))</x:f>
      </x:c>
      <x:c r="S321" s="59" t="str">
        <x:f>IF($O321="","",--(OR($O321=3,AND($H321="Sim",$L321=$M321,$I321=$J321,$O321=2))))</x:f>
      </x:c>
      <x:c r="T321" s="59" t="str">
        <x:f>IF($O321="","",--($O321=-2))</x:f>
      </x:c>
      <x:c r="U321" s="59" t="str">
        <x:f>IF($O321="","",--($O321=1))</x:f>
      </x:c>
      <x:c r="V321" s="59" t="n">
        <x:f>--(AND($I321&lt;&gt;"",$J321&lt;&gt;""))</x:f>
        <x:v>0</x:v>
      </x:c>
    </x:row>
    <x:row r="322">
      <x:c r="A322" s="21" t="str">
        <x:f>INDEX(Config!$B$10:$B$16,INT((ROW()-5)/104)+1)</x:f>
        <x:v>Gustavo</x:v>
      </x:c>
      <x:c r="B322" s="21" t="str">
        <x:v>GA6</x:v>
      </x:c>
      <x:c r="C322" s="21" t="n">
        <x:v>6</x:v>
      </x:c>
      <x:c r="D322" s="21" t="str">
        <x:v>Grupo A</x:v>
      </x:c>
      <x:c r="E322" s="21" t="str">
        <x:v>2026-06-24</x:v>
      </x:c>
      <x:c r="F322" s="21" t="str">
        <x:f>IFERROR(INDEX('Resultados'!$G$5:$G$108,MATCH($B322,'Resultados'!$A$5:$A$108,0)),"")</x:f>
        <x:v>África do Sul</x:v>
      </x:c>
      <x:c r="G322" s="21" t="str">
        <x:f>IFERROR(INDEX('Resultados'!$J$5:$J$108,MATCH($B322,'Resultados'!$A$5:$A$108,0)),"")</x:f>
        <x:v>Coreia do Sul</x:v>
      </x:c>
      <x:c r="H322" s="21" t="str">
        <x:v>Não</x:v>
      </x:c>
      <x:c r="I322" s="22"/>
      <x:c r="J322" s="22"/>
      <x:c r="K322" s="23"/>
      <x:c r="L322" s="21" t="str">
        <x:f>IFERROR(INDEX('Resultados'!$H$5:$H$108,MATCH($B322,'Resultados'!$A$5:$A$108,0)),"")</x:f>
      </x:c>
      <x:c r="M322" s="21" t="str">
        <x:f>IFERROR(INDEX('Resultados'!$I$5:$I$108,MATCH($B322,'Resultados'!$A$5:$A$108,0)),"")</x:f>
      </x:c>
      <x:c r="N322" s="21" t="str">
        <x:f>IFERROR(INDEX('Resultados'!$L$5:$L$108,MATCH($B322,'Resultados'!$A$5:$A$108,0)),"")</x:f>
      </x:c>
      <x:c r="O322" s="59" t="str">
        <x:f>IF(OR($I322="",$J322="",$L322="",$M322=""),"",IF(AND($H322="Sim",$L322=$M322),IF($I322&lt;&gt;$J322,0,IF(AND($I322=$L322,$J322=$M322),2,1)),IF(AND($I322=$L322,$J322=$M322),3,IF(AND($I322&lt;&gt;$J322,$I322=$M322,$J322=$L322),-2,IF(SIGN($I322-$J322)=SIGN($L322-$M322),1,0)))))</x:f>
      </x:c>
      <x:c r="P322" s="59" t="str">
        <x:f>IF(OR($H322&lt;&gt;"Sim",$I322="",$J322="",$L322="",$M322=""),"",IF(AND(IF($I322&gt;$J322,$F322,IF($I322&lt;$J322,$G322,$K322))&lt;&gt;"",IF($L322&gt;$M322,$F322,IF($L322&lt;$M322,$G322,$N322))&lt;&gt;"",IF($I322&gt;$J322,$F322,IF($I322&lt;$J322,$G322,$K322))=IF($L322&gt;$M322,$F322,IF($L322&lt;$M322,$G322,$N322))),1,0))</x:f>
      </x:c>
      <x:c r="Q322" s="59" t="str">
        <x:f>IF($O322="","",$O322+$P322)</x:f>
      </x:c>
      <x:c r="R322" s="59" t="str">
        <x:f>IF($Q322="","",IF($O322=3,"Cravada",IF(AND($H322="Sim",$L322=$M322,$I322=$J322,$O322=2),"Empate cravado",IF($O322=1,"Resultado certo",IF($O322=-2,"Invertida",IF($P322=1,"Acertou quem passa","Erro"))))))</x:f>
      </x:c>
      <x:c r="S322" s="59" t="str">
        <x:f>IF($O322="","",--(OR($O322=3,AND($H322="Sim",$L322=$M322,$I322=$J322,$O322=2))))</x:f>
      </x:c>
      <x:c r="T322" s="59" t="str">
        <x:f>IF($O322="","",--($O322=-2))</x:f>
      </x:c>
      <x:c r="U322" s="59" t="str">
        <x:f>IF($O322="","",--($O322=1))</x:f>
      </x:c>
      <x:c r="V322" s="59" t="n">
        <x:f>--(AND($I322&lt;&gt;"",$J322&lt;&gt;""))</x:f>
        <x:v>0</x:v>
      </x:c>
    </x:row>
    <x:row r="323">
      <x:c r="A323" s="21" t="str">
        <x:f>INDEX(Config!$B$10:$B$16,INT((ROW()-5)/104)+1)</x:f>
        <x:v>Gustavo</x:v>
      </x:c>
      <x:c r="B323" s="21" t="str">
        <x:v>GB1</x:v>
      </x:c>
      <x:c r="C323" s="21" t="n">
        <x:v>7</x:v>
      </x:c>
      <x:c r="D323" s="21" t="str">
        <x:v>Grupo B</x:v>
      </x:c>
      <x:c r="E323" s="21" t="str">
        <x:v>2026-06-12</x:v>
      </x:c>
      <x:c r="F323" s="21" t="str">
        <x:f>IFERROR(INDEX('Resultados'!$G$5:$G$108,MATCH($B323,'Resultados'!$A$5:$A$108,0)),"")</x:f>
        <x:v>Canadá</x:v>
      </x:c>
      <x:c r="G323" s="21" t="str">
        <x:f>IFERROR(INDEX('Resultados'!$J$5:$J$108,MATCH($B323,'Resultados'!$A$5:$A$108,0)),"")</x:f>
        <x:v>Bósnia-Herzegovina</x:v>
      </x:c>
      <x:c r="H323" s="21" t="str">
        <x:v>Não</x:v>
      </x:c>
      <x:c r="I323" s="22"/>
      <x:c r="J323" s="22"/>
      <x:c r="K323" s="23"/>
      <x:c r="L323" s="21" t="str">
        <x:f>IFERROR(INDEX('Resultados'!$H$5:$H$108,MATCH($B323,'Resultados'!$A$5:$A$108,0)),"")</x:f>
      </x:c>
      <x:c r="M323" s="21" t="str">
        <x:f>IFERROR(INDEX('Resultados'!$I$5:$I$108,MATCH($B323,'Resultados'!$A$5:$A$108,0)),"")</x:f>
      </x:c>
      <x:c r="N323" s="21" t="str">
        <x:f>IFERROR(INDEX('Resultados'!$L$5:$L$108,MATCH($B323,'Resultados'!$A$5:$A$108,0)),"")</x:f>
      </x:c>
      <x:c r="O323" s="59" t="str">
        <x:f>IF(OR($I323="",$J323="",$L323="",$M323=""),"",IF(AND($H323="Sim",$L323=$M323),IF($I323&lt;&gt;$J323,0,IF(AND($I323=$L323,$J323=$M323),2,1)),IF(AND($I323=$L323,$J323=$M323),3,IF(AND($I323&lt;&gt;$J323,$I323=$M323,$J323=$L323),-2,IF(SIGN($I323-$J323)=SIGN($L323-$M323),1,0)))))</x:f>
      </x:c>
      <x:c r="P323" s="59" t="str">
        <x:f>IF(OR($H323&lt;&gt;"Sim",$I323="",$J323="",$L323="",$M323=""),"",IF(AND(IF($I323&gt;$J323,$F323,IF($I323&lt;$J323,$G323,$K323))&lt;&gt;"",IF($L323&gt;$M323,$F323,IF($L323&lt;$M323,$G323,$N323))&lt;&gt;"",IF($I323&gt;$J323,$F323,IF($I323&lt;$J323,$G323,$K323))=IF($L323&gt;$M323,$F323,IF($L323&lt;$M323,$G323,$N323))),1,0))</x:f>
      </x:c>
      <x:c r="Q323" s="59" t="str">
        <x:f>IF($O323="","",$O323+$P323)</x:f>
      </x:c>
      <x:c r="R323" s="59" t="str">
        <x:f>IF($Q323="","",IF($O323=3,"Cravada",IF(AND($H323="Sim",$L323=$M323,$I323=$J323,$O323=2),"Empate cravado",IF($O323=1,"Resultado certo",IF($O323=-2,"Invertida",IF($P323=1,"Acertou quem passa","Erro"))))))</x:f>
      </x:c>
      <x:c r="S323" s="59" t="str">
        <x:f>IF($O323="","",--(OR($O323=3,AND($H323="Sim",$L323=$M323,$I323=$J323,$O323=2))))</x:f>
      </x:c>
      <x:c r="T323" s="59" t="str">
        <x:f>IF($O323="","",--($O323=-2))</x:f>
      </x:c>
      <x:c r="U323" s="59" t="str">
        <x:f>IF($O323="","",--($O323=1))</x:f>
      </x:c>
      <x:c r="V323" s="59" t="n">
        <x:f>--(AND($I323&lt;&gt;"",$J323&lt;&gt;""))</x:f>
        <x:v>0</x:v>
      </x:c>
    </x:row>
    <x:row r="324">
      <x:c r="A324" s="21" t="str">
        <x:f>INDEX(Config!$B$10:$B$16,INT((ROW()-5)/104)+1)</x:f>
        <x:v>Gustavo</x:v>
      </x:c>
      <x:c r="B324" s="21" t="str">
        <x:v>GB2</x:v>
      </x:c>
      <x:c r="C324" s="21" t="n">
        <x:v>8</x:v>
      </x:c>
      <x:c r="D324" s="21" t="str">
        <x:v>Grupo B</x:v>
      </x:c>
      <x:c r="E324" s="21" t="str">
        <x:v>2026-06-13</x:v>
      </x:c>
      <x:c r="F324" s="21" t="str">
        <x:f>IFERROR(INDEX('Resultados'!$G$5:$G$108,MATCH($B324,'Resultados'!$A$5:$A$108,0)),"")</x:f>
        <x:v>Catar</x:v>
      </x:c>
      <x:c r="G324" s="21" t="str">
        <x:f>IFERROR(INDEX('Resultados'!$J$5:$J$108,MATCH($B324,'Resultados'!$A$5:$A$108,0)),"")</x:f>
        <x:v>Suíça</x:v>
      </x:c>
      <x:c r="H324" s="21" t="str">
        <x:v>Não</x:v>
      </x:c>
      <x:c r="I324" s="22"/>
      <x:c r="J324" s="22"/>
      <x:c r="K324" s="23"/>
      <x:c r="L324" s="21" t="str">
        <x:f>IFERROR(INDEX('Resultados'!$H$5:$H$108,MATCH($B324,'Resultados'!$A$5:$A$108,0)),"")</x:f>
      </x:c>
      <x:c r="M324" s="21" t="str">
        <x:f>IFERROR(INDEX('Resultados'!$I$5:$I$108,MATCH($B324,'Resultados'!$A$5:$A$108,0)),"")</x:f>
      </x:c>
      <x:c r="N324" s="21" t="str">
        <x:f>IFERROR(INDEX('Resultados'!$L$5:$L$108,MATCH($B324,'Resultados'!$A$5:$A$108,0)),"")</x:f>
      </x:c>
      <x:c r="O324" s="59" t="str">
        <x:f>IF(OR($I324="",$J324="",$L324="",$M324=""),"",IF(AND($H324="Sim",$L324=$M324),IF($I324&lt;&gt;$J324,0,IF(AND($I324=$L324,$J324=$M324),2,1)),IF(AND($I324=$L324,$J324=$M324),3,IF(AND($I324&lt;&gt;$J324,$I324=$M324,$J324=$L324),-2,IF(SIGN($I324-$J324)=SIGN($L324-$M324),1,0)))))</x:f>
      </x:c>
      <x:c r="P324" s="59" t="str">
        <x:f>IF(OR($H324&lt;&gt;"Sim",$I324="",$J324="",$L324="",$M324=""),"",IF(AND(IF($I324&gt;$J324,$F324,IF($I324&lt;$J324,$G324,$K324))&lt;&gt;"",IF($L324&gt;$M324,$F324,IF($L324&lt;$M324,$G324,$N324))&lt;&gt;"",IF($I324&gt;$J324,$F324,IF($I324&lt;$J324,$G324,$K324))=IF($L324&gt;$M324,$F324,IF($L324&lt;$M324,$G324,$N324))),1,0))</x:f>
      </x:c>
      <x:c r="Q324" s="59" t="str">
        <x:f>IF($O324="","",$O324+$P324)</x:f>
      </x:c>
      <x:c r="R324" s="59" t="str">
        <x:f>IF($Q324="","",IF($O324=3,"Cravada",IF(AND($H324="Sim",$L324=$M324,$I324=$J324,$O324=2),"Empate cravado",IF($O324=1,"Resultado certo",IF($O324=-2,"Invertida",IF($P324=1,"Acertou quem passa","Erro"))))))</x:f>
      </x:c>
      <x:c r="S324" s="59" t="str">
        <x:f>IF($O324="","",--(OR($O324=3,AND($H324="Sim",$L324=$M324,$I324=$J324,$O324=2))))</x:f>
      </x:c>
      <x:c r="T324" s="59" t="str">
        <x:f>IF($O324="","",--($O324=-2))</x:f>
      </x:c>
      <x:c r="U324" s="59" t="str">
        <x:f>IF($O324="","",--($O324=1))</x:f>
      </x:c>
      <x:c r="V324" s="59" t="n">
        <x:f>--(AND($I324&lt;&gt;"",$J324&lt;&gt;""))</x:f>
        <x:v>0</x:v>
      </x:c>
    </x:row>
    <x:row r="325">
      <x:c r="A325" s="21" t="str">
        <x:f>INDEX(Config!$B$10:$B$16,INT((ROW()-5)/104)+1)</x:f>
        <x:v>Gustavo</x:v>
      </x:c>
      <x:c r="B325" s="21" t="str">
        <x:v>GB3</x:v>
      </x:c>
      <x:c r="C325" s="21" t="n">
        <x:v>9</x:v>
      </x:c>
      <x:c r="D325" s="21" t="str">
        <x:v>Grupo B</x:v>
      </x:c>
      <x:c r="E325" s="21" t="str">
        <x:v>2026-06-18</x:v>
      </x:c>
      <x:c r="F325" s="21" t="str">
        <x:f>IFERROR(INDEX('Resultados'!$G$5:$G$108,MATCH($B325,'Resultados'!$A$5:$A$108,0)),"")</x:f>
        <x:v>Canadá</x:v>
      </x:c>
      <x:c r="G325" s="21" t="str">
        <x:f>IFERROR(INDEX('Resultados'!$J$5:$J$108,MATCH($B325,'Resultados'!$A$5:$A$108,0)),"")</x:f>
        <x:v>Catar</x:v>
      </x:c>
      <x:c r="H325" s="21" t="str">
        <x:v>Não</x:v>
      </x:c>
      <x:c r="I325" s="22"/>
      <x:c r="J325" s="22"/>
      <x:c r="K325" s="23"/>
      <x:c r="L325" s="21" t="str">
        <x:f>IFERROR(INDEX('Resultados'!$H$5:$H$108,MATCH($B325,'Resultados'!$A$5:$A$108,0)),"")</x:f>
      </x:c>
      <x:c r="M325" s="21" t="str">
        <x:f>IFERROR(INDEX('Resultados'!$I$5:$I$108,MATCH($B325,'Resultados'!$A$5:$A$108,0)),"")</x:f>
      </x:c>
      <x:c r="N325" s="21" t="str">
        <x:f>IFERROR(INDEX('Resultados'!$L$5:$L$108,MATCH($B325,'Resultados'!$A$5:$A$108,0)),"")</x:f>
      </x:c>
      <x:c r="O325" s="59" t="str">
        <x:f>IF(OR($I325="",$J325="",$L325="",$M325=""),"",IF(AND($H325="Sim",$L325=$M325),IF($I325&lt;&gt;$J325,0,IF(AND($I325=$L325,$J325=$M325),2,1)),IF(AND($I325=$L325,$J325=$M325),3,IF(AND($I325&lt;&gt;$J325,$I325=$M325,$J325=$L325),-2,IF(SIGN($I325-$J325)=SIGN($L325-$M325),1,0)))))</x:f>
      </x:c>
      <x:c r="P325" s="59" t="str">
        <x:f>IF(OR($H325&lt;&gt;"Sim",$I325="",$J325="",$L325="",$M325=""),"",IF(AND(IF($I325&gt;$J325,$F325,IF($I325&lt;$J325,$G325,$K325))&lt;&gt;"",IF($L325&gt;$M325,$F325,IF($L325&lt;$M325,$G325,$N325))&lt;&gt;"",IF($I325&gt;$J325,$F325,IF($I325&lt;$J325,$G325,$K325))=IF($L325&gt;$M325,$F325,IF($L325&lt;$M325,$G325,$N325))),1,0))</x:f>
      </x:c>
      <x:c r="Q325" s="59" t="str">
        <x:f>IF($O325="","",$O325+$P325)</x:f>
      </x:c>
      <x:c r="R325" s="59" t="str">
        <x:f>IF($Q325="","",IF($O325=3,"Cravada",IF(AND($H325="Sim",$L325=$M325,$I325=$J325,$O325=2),"Empate cravado",IF($O325=1,"Resultado certo",IF($O325=-2,"Invertida",IF($P325=1,"Acertou quem passa","Erro"))))))</x:f>
      </x:c>
      <x:c r="S325" s="59" t="str">
        <x:f>IF($O325="","",--(OR($O325=3,AND($H325="Sim",$L325=$M325,$I325=$J325,$O325=2))))</x:f>
      </x:c>
      <x:c r="T325" s="59" t="str">
        <x:f>IF($O325="","",--($O325=-2))</x:f>
      </x:c>
      <x:c r="U325" s="59" t="str">
        <x:f>IF($O325="","",--($O325=1))</x:f>
      </x:c>
      <x:c r="V325" s="59" t="n">
        <x:f>--(AND($I325&lt;&gt;"",$J325&lt;&gt;""))</x:f>
        <x:v>0</x:v>
      </x:c>
    </x:row>
    <x:row r="326">
      <x:c r="A326" s="21" t="str">
        <x:f>INDEX(Config!$B$10:$B$16,INT((ROW()-5)/104)+1)</x:f>
        <x:v>Gustavo</x:v>
      </x:c>
      <x:c r="B326" s="21" t="str">
        <x:v>GB4</x:v>
      </x:c>
      <x:c r="C326" s="21" t="n">
        <x:v>10</x:v>
      </x:c>
      <x:c r="D326" s="21" t="str">
        <x:v>Grupo B</x:v>
      </x:c>
      <x:c r="E326" s="21" t="str">
        <x:v>2026-06-18</x:v>
      </x:c>
      <x:c r="F326" s="21" t="str">
        <x:f>IFERROR(INDEX('Resultados'!$G$5:$G$108,MATCH($B326,'Resultados'!$A$5:$A$108,0)),"")</x:f>
        <x:v>Bósnia-Herzegovina</x:v>
      </x:c>
      <x:c r="G326" s="21" t="str">
        <x:f>IFERROR(INDEX('Resultados'!$J$5:$J$108,MATCH($B326,'Resultados'!$A$5:$A$108,0)),"")</x:f>
        <x:v>Suíça</x:v>
      </x:c>
      <x:c r="H326" s="21" t="str">
        <x:v>Não</x:v>
      </x:c>
      <x:c r="I326" s="22"/>
      <x:c r="J326" s="22"/>
      <x:c r="K326" s="23"/>
      <x:c r="L326" s="21" t="str">
        <x:f>IFERROR(INDEX('Resultados'!$H$5:$H$108,MATCH($B326,'Resultados'!$A$5:$A$108,0)),"")</x:f>
      </x:c>
      <x:c r="M326" s="21" t="str">
        <x:f>IFERROR(INDEX('Resultados'!$I$5:$I$108,MATCH($B326,'Resultados'!$A$5:$A$108,0)),"")</x:f>
      </x:c>
      <x:c r="N326" s="21" t="str">
        <x:f>IFERROR(INDEX('Resultados'!$L$5:$L$108,MATCH($B326,'Resultados'!$A$5:$A$108,0)),"")</x:f>
      </x:c>
      <x:c r="O326" s="59" t="str">
        <x:f>IF(OR($I326="",$J326="",$L326="",$M326=""),"",IF(AND($H326="Sim",$L326=$M326),IF($I326&lt;&gt;$J326,0,IF(AND($I326=$L326,$J326=$M326),2,1)),IF(AND($I326=$L326,$J326=$M326),3,IF(AND($I326&lt;&gt;$J326,$I326=$M326,$J326=$L326),-2,IF(SIGN($I326-$J326)=SIGN($L326-$M326),1,0)))))</x:f>
      </x:c>
      <x:c r="P326" s="59" t="str">
        <x:f>IF(OR($H326&lt;&gt;"Sim",$I326="",$J326="",$L326="",$M326=""),"",IF(AND(IF($I326&gt;$J326,$F326,IF($I326&lt;$J326,$G326,$K326))&lt;&gt;"",IF($L326&gt;$M326,$F326,IF($L326&lt;$M326,$G326,$N326))&lt;&gt;"",IF($I326&gt;$J326,$F326,IF($I326&lt;$J326,$G326,$K326))=IF($L326&gt;$M326,$F326,IF($L326&lt;$M326,$G326,$N326))),1,0))</x:f>
      </x:c>
      <x:c r="Q326" s="59" t="str">
        <x:f>IF($O326="","",$O326+$P326)</x:f>
      </x:c>
      <x:c r="R326" s="59" t="str">
        <x:f>IF($Q326="","",IF($O326=3,"Cravada",IF(AND($H326="Sim",$L326=$M326,$I326=$J326,$O326=2),"Empate cravado",IF($O326=1,"Resultado certo",IF($O326=-2,"Invertida",IF($P326=1,"Acertou quem passa","Erro"))))))</x:f>
      </x:c>
      <x:c r="S326" s="59" t="str">
        <x:f>IF($O326="","",--(OR($O326=3,AND($H326="Sim",$L326=$M326,$I326=$J326,$O326=2))))</x:f>
      </x:c>
      <x:c r="T326" s="59" t="str">
        <x:f>IF($O326="","",--($O326=-2))</x:f>
      </x:c>
      <x:c r="U326" s="59" t="str">
        <x:f>IF($O326="","",--($O326=1))</x:f>
      </x:c>
      <x:c r="V326" s="59" t="n">
        <x:f>--(AND($I326&lt;&gt;"",$J326&lt;&gt;""))</x:f>
        <x:v>0</x:v>
      </x:c>
    </x:row>
    <x:row r="327">
      <x:c r="A327" s="21" t="str">
        <x:f>INDEX(Config!$B$10:$B$16,INT((ROW()-5)/104)+1)</x:f>
        <x:v>Gustavo</x:v>
      </x:c>
      <x:c r="B327" s="21" t="str">
        <x:v>GB5</x:v>
      </x:c>
      <x:c r="C327" s="21" t="n">
        <x:v>11</x:v>
      </x:c>
      <x:c r="D327" s="21" t="str">
        <x:v>Grupo B</x:v>
      </x:c>
      <x:c r="E327" s="21" t="str">
        <x:v>2026-06-24</x:v>
      </x:c>
      <x:c r="F327" s="21" t="str">
        <x:f>IFERROR(INDEX('Resultados'!$G$5:$G$108,MATCH($B327,'Resultados'!$A$5:$A$108,0)),"")</x:f>
        <x:v>Canadá</x:v>
      </x:c>
      <x:c r="G327" s="21" t="str">
        <x:f>IFERROR(INDEX('Resultados'!$J$5:$J$108,MATCH($B327,'Resultados'!$A$5:$A$108,0)),"")</x:f>
        <x:v>Suíça</x:v>
      </x:c>
      <x:c r="H327" s="21" t="str">
        <x:v>Não</x:v>
      </x:c>
      <x:c r="I327" s="22"/>
      <x:c r="J327" s="22"/>
      <x:c r="K327" s="23"/>
      <x:c r="L327" s="21" t="str">
        <x:f>IFERROR(INDEX('Resultados'!$H$5:$H$108,MATCH($B327,'Resultados'!$A$5:$A$108,0)),"")</x:f>
      </x:c>
      <x:c r="M327" s="21" t="str">
        <x:f>IFERROR(INDEX('Resultados'!$I$5:$I$108,MATCH($B327,'Resultados'!$A$5:$A$108,0)),"")</x:f>
      </x:c>
      <x:c r="N327" s="21" t="str">
        <x:f>IFERROR(INDEX('Resultados'!$L$5:$L$108,MATCH($B327,'Resultados'!$A$5:$A$108,0)),"")</x:f>
      </x:c>
      <x:c r="O327" s="59" t="str">
        <x:f>IF(OR($I327="",$J327="",$L327="",$M327=""),"",IF(AND($H327="Sim",$L327=$M327),IF($I327&lt;&gt;$J327,0,IF(AND($I327=$L327,$J327=$M327),2,1)),IF(AND($I327=$L327,$J327=$M327),3,IF(AND($I327&lt;&gt;$J327,$I327=$M327,$J327=$L327),-2,IF(SIGN($I327-$J327)=SIGN($L327-$M327),1,0)))))</x:f>
      </x:c>
      <x:c r="P327" s="59" t="str">
        <x:f>IF(OR($H327&lt;&gt;"Sim",$I327="",$J327="",$L327="",$M327=""),"",IF(AND(IF($I327&gt;$J327,$F327,IF($I327&lt;$J327,$G327,$K327))&lt;&gt;"",IF($L327&gt;$M327,$F327,IF($L327&lt;$M327,$G327,$N327))&lt;&gt;"",IF($I327&gt;$J327,$F327,IF($I327&lt;$J327,$G327,$K327))=IF($L327&gt;$M327,$F327,IF($L327&lt;$M327,$G327,$N327))),1,0))</x:f>
      </x:c>
      <x:c r="Q327" s="59" t="str">
        <x:f>IF($O327="","",$O327+$P327)</x:f>
      </x:c>
      <x:c r="R327" s="59" t="str">
        <x:f>IF($Q327="","",IF($O327=3,"Cravada",IF(AND($H327="Sim",$L327=$M327,$I327=$J327,$O327=2),"Empate cravado",IF($O327=1,"Resultado certo",IF($O327=-2,"Invertida",IF($P327=1,"Acertou quem passa","Erro"))))))</x:f>
      </x:c>
      <x:c r="S327" s="59" t="str">
        <x:f>IF($O327="","",--(OR($O327=3,AND($H327="Sim",$L327=$M327,$I327=$J327,$O327=2))))</x:f>
      </x:c>
      <x:c r="T327" s="59" t="str">
        <x:f>IF($O327="","",--($O327=-2))</x:f>
      </x:c>
      <x:c r="U327" s="59" t="str">
        <x:f>IF($O327="","",--($O327=1))</x:f>
      </x:c>
      <x:c r="V327" s="59" t="n">
        <x:f>--(AND($I327&lt;&gt;"",$J327&lt;&gt;""))</x:f>
        <x:v>0</x:v>
      </x:c>
    </x:row>
    <x:row r="328">
      <x:c r="A328" s="21" t="str">
        <x:f>INDEX(Config!$B$10:$B$16,INT((ROW()-5)/104)+1)</x:f>
        <x:v>Gustavo</x:v>
      </x:c>
      <x:c r="B328" s="21" t="str">
        <x:v>GB6</x:v>
      </x:c>
      <x:c r="C328" s="21" t="n">
        <x:v>12</x:v>
      </x:c>
      <x:c r="D328" s="21" t="str">
        <x:v>Grupo B</x:v>
      </x:c>
      <x:c r="E328" s="21" t="str">
        <x:v>2026-06-24</x:v>
      </x:c>
      <x:c r="F328" s="21" t="str">
        <x:f>IFERROR(INDEX('Resultados'!$G$5:$G$108,MATCH($B328,'Resultados'!$A$5:$A$108,0)),"")</x:f>
        <x:v>Bósnia-Herzegovina</x:v>
      </x:c>
      <x:c r="G328" s="21" t="str">
        <x:f>IFERROR(INDEX('Resultados'!$J$5:$J$108,MATCH($B328,'Resultados'!$A$5:$A$108,0)),"")</x:f>
        <x:v>Catar</x:v>
      </x:c>
      <x:c r="H328" s="21" t="str">
        <x:v>Não</x:v>
      </x:c>
      <x:c r="I328" s="22"/>
      <x:c r="J328" s="22"/>
      <x:c r="K328" s="23"/>
      <x:c r="L328" s="21" t="str">
        <x:f>IFERROR(INDEX('Resultados'!$H$5:$H$108,MATCH($B328,'Resultados'!$A$5:$A$108,0)),"")</x:f>
      </x:c>
      <x:c r="M328" s="21" t="str">
        <x:f>IFERROR(INDEX('Resultados'!$I$5:$I$108,MATCH($B328,'Resultados'!$A$5:$A$108,0)),"")</x:f>
      </x:c>
      <x:c r="N328" s="21" t="str">
        <x:f>IFERROR(INDEX('Resultados'!$L$5:$L$108,MATCH($B328,'Resultados'!$A$5:$A$108,0)),"")</x:f>
      </x:c>
      <x:c r="O328" s="59" t="str">
        <x:f>IF(OR($I328="",$J328="",$L328="",$M328=""),"",IF(AND($H328="Sim",$L328=$M328),IF($I328&lt;&gt;$J328,0,IF(AND($I328=$L328,$J328=$M328),2,1)),IF(AND($I328=$L328,$J328=$M328),3,IF(AND($I328&lt;&gt;$J328,$I328=$M328,$J328=$L328),-2,IF(SIGN($I328-$J328)=SIGN($L328-$M328),1,0)))))</x:f>
      </x:c>
      <x:c r="P328" s="59" t="str">
        <x:f>IF(OR($H328&lt;&gt;"Sim",$I328="",$J328="",$L328="",$M328=""),"",IF(AND(IF($I328&gt;$J328,$F328,IF($I328&lt;$J328,$G328,$K328))&lt;&gt;"",IF($L328&gt;$M328,$F328,IF($L328&lt;$M328,$G328,$N328))&lt;&gt;"",IF($I328&gt;$J328,$F328,IF($I328&lt;$J328,$G328,$K328))=IF($L328&gt;$M328,$F328,IF($L328&lt;$M328,$G328,$N328))),1,0))</x:f>
      </x:c>
      <x:c r="Q328" s="59" t="str">
        <x:f>IF($O328="","",$O328+$P328)</x:f>
      </x:c>
      <x:c r="R328" s="59" t="str">
        <x:f>IF($Q328="","",IF($O328=3,"Cravada",IF(AND($H328="Sim",$L328=$M328,$I328=$J328,$O328=2),"Empate cravado",IF($O328=1,"Resultado certo",IF($O328=-2,"Invertida",IF($P328=1,"Acertou quem passa","Erro"))))))</x:f>
      </x:c>
      <x:c r="S328" s="59" t="str">
        <x:f>IF($O328="","",--(OR($O328=3,AND($H328="Sim",$L328=$M328,$I328=$J328,$O328=2))))</x:f>
      </x:c>
      <x:c r="T328" s="59" t="str">
        <x:f>IF($O328="","",--($O328=-2))</x:f>
      </x:c>
      <x:c r="U328" s="59" t="str">
        <x:f>IF($O328="","",--($O328=1))</x:f>
      </x:c>
      <x:c r="V328" s="59" t="n">
        <x:f>--(AND($I328&lt;&gt;"",$J328&lt;&gt;""))</x:f>
        <x:v>0</x:v>
      </x:c>
    </x:row>
    <x:row r="329">
      <x:c r="A329" s="21" t="str">
        <x:f>INDEX(Config!$B$10:$B$16,INT((ROW()-5)/104)+1)</x:f>
        <x:v>Gustavo</x:v>
      </x:c>
      <x:c r="B329" s="21" t="str">
        <x:v>GC1</x:v>
      </x:c>
      <x:c r="C329" s="21" t="n">
        <x:v>13</x:v>
      </x:c>
      <x:c r="D329" s="21" t="str">
        <x:v>Grupo C</x:v>
      </x:c>
      <x:c r="E329" s="21" t="str">
        <x:v>2026-06-13</x:v>
      </x:c>
      <x:c r="F329" s="21" t="str">
        <x:f>IFERROR(INDEX('Resultados'!$G$5:$G$108,MATCH($B329,'Resultados'!$A$5:$A$108,0)),"")</x:f>
        <x:v>Brasil</x:v>
      </x:c>
      <x:c r="G329" s="21" t="str">
        <x:f>IFERROR(INDEX('Resultados'!$J$5:$J$108,MATCH($B329,'Resultados'!$A$5:$A$108,0)),"")</x:f>
        <x:v>Marrocos</x:v>
      </x:c>
      <x:c r="H329" s="21" t="str">
        <x:v>Não</x:v>
      </x:c>
      <x:c r="I329" s="22"/>
      <x:c r="J329" s="22"/>
      <x:c r="K329" s="23"/>
      <x:c r="L329" s="21" t="str">
        <x:f>IFERROR(INDEX('Resultados'!$H$5:$H$108,MATCH($B329,'Resultados'!$A$5:$A$108,0)),"")</x:f>
      </x:c>
      <x:c r="M329" s="21" t="str">
        <x:f>IFERROR(INDEX('Resultados'!$I$5:$I$108,MATCH($B329,'Resultados'!$A$5:$A$108,0)),"")</x:f>
      </x:c>
      <x:c r="N329" s="21" t="str">
        <x:f>IFERROR(INDEX('Resultados'!$L$5:$L$108,MATCH($B329,'Resultados'!$A$5:$A$108,0)),"")</x:f>
      </x:c>
      <x:c r="O329" s="59" t="str">
        <x:f>IF(OR($I329="",$J329="",$L329="",$M329=""),"",IF(AND($H329="Sim",$L329=$M329),IF($I329&lt;&gt;$J329,0,IF(AND($I329=$L329,$J329=$M329),2,1)),IF(AND($I329=$L329,$J329=$M329),3,IF(AND($I329&lt;&gt;$J329,$I329=$M329,$J329=$L329),-2,IF(SIGN($I329-$J329)=SIGN($L329-$M329),1,0)))))</x:f>
      </x:c>
      <x:c r="P329" s="59" t="str">
        <x:f>IF(OR($H329&lt;&gt;"Sim",$I329="",$J329="",$L329="",$M329=""),"",IF(AND(IF($I329&gt;$J329,$F329,IF($I329&lt;$J329,$G329,$K329))&lt;&gt;"",IF($L329&gt;$M329,$F329,IF($L329&lt;$M329,$G329,$N329))&lt;&gt;"",IF($I329&gt;$J329,$F329,IF($I329&lt;$J329,$G329,$K329))=IF($L329&gt;$M329,$F329,IF($L329&lt;$M329,$G329,$N329))),1,0))</x:f>
      </x:c>
      <x:c r="Q329" s="59" t="str">
        <x:f>IF($O329="","",$O329+$P329)</x:f>
      </x:c>
      <x:c r="R329" s="59" t="str">
        <x:f>IF($Q329="","",IF($O329=3,"Cravada",IF(AND($H329="Sim",$L329=$M329,$I329=$J329,$O329=2),"Empate cravado",IF($O329=1,"Resultado certo",IF($O329=-2,"Invertida",IF($P329=1,"Acertou quem passa","Erro"))))))</x:f>
      </x:c>
      <x:c r="S329" s="59" t="str">
        <x:f>IF($O329="","",--(OR($O329=3,AND($H329="Sim",$L329=$M329,$I329=$J329,$O329=2))))</x:f>
      </x:c>
      <x:c r="T329" s="59" t="str">
        <x:f>IF($O329="","",--($O329=-2))</x:f>
      </x:c>
      <x:c r="U329" s="59" t="str">
        <x:f>IF($O329="","",--($O329=1))</x:f>
      </x:c>
      <x:c r="V329" s="59" t="n">
        <x:f>--(AND($I329&lt;&gt;"",$J329&lt;&gt;""))</x:f>
        <x:v>0</x:v>
      </x:c>
    </x:row>
    <x:row r="330">
      <x:c r="A330" s="21" t="str">
        <x:f>INDEX(Config!$B$10:$B$16,INT((ROW()-5)/104)+1)</x:f>
        <x:v>Gustavo</x:v>
      </x:c>
      <x:c r="B330" s="21" t="str">
        <x:v>GC2</x:v>
      </x:c>
      <x:c r="C330" s="21" t="n">
        <x:v>14</x:v>
      </x:c>
      <x:c r="D330" s="21" t="str">
        <x:v>Grupo C</x:v>
      </x:c>
      <x:c r="E330" s="21" t="str">
        <x:v>2026-06-13</x:v>
      </x:c>
      <x:c r="F330" s="21" t="str">
        <x:f>IFERROR(INDEX('Resultados'!$G$5:$G$108,MATCH($B330,'Resultados'!$A$5:$A$108,0)),"")</x:f>
        <x:v>Haiti</x:v>
      </x:c>
      <x:c r="G330" s="21" t="str">
        <x:f>IFERROR(INDEX('Resultados'!$J$5:$J$108,MATCH($B330,'Resultados'!$A$5:$A$108,0)),"")</x:f>
        <x:v>Escócia</x:v>
      </x:c>
      <x:c r="H330" s="21" t="str">
        <x:v>Não</x:v>
      </x:c>
      <x:c r="I330" s="22"/>
      <x:c r="J330" s="22"/>
      <x:c r="K330" s="23"/>
      <x:c r="L330" s="21" t="str">
        <x:f>IFERROR(INDEX('Resultados'!$H$5:$H$108,MATCH($B330,'Resultados'!$A$5:$A$108,0)),"")</x:f>
      </x:c>
      <x:c r="M330" s="21" t="str">
        <x:f>IFERROR(INDEX('Resultados'!$I$5:$I$108,MATCH($B330,'Resultados'!$A$5:$A$108,0)),"")</x:f>
      </x:c>
      <x:c r="N330" s="21" t="str">
        <x:f>IFERROR(INDEX('Resultados'!$L$5:$L$108,MATCH($B330,'Resultados'!$A$5:$A$108,0)),"")</x:f>
      </x:c>
      <x:c r="O330" s="59" t="str">
        <x:f>IF(OR($I330="",$J330="",$L330="",$M330=""),"",IF(AND($H330="Sim",$L330=$M330),IF($I330&lt;&gt;$J330,0,IF(AND($I330=$L330,$J330=$M330),2,1)),IF(AND($I330=$L330,$J330=$M330),3,IF(AND($I330&lt;&gt;$J330,$I330=$M330,$J330=$L330),-2,IF(SIGN($I330-$J330)=SIGN($L330-$M330),1,0)))))</x:f>
      </x:c>
      <x:c r="P330" s="59" t="str">
        <x:f>IF(OR($H330&lt;&gt;"Sim",$I330="",$J330="",$L330="",$M330=""),"",IF(AND(IF($I330&gt;$J330,$F330,IF($I330&lt;$J330,$G330,$K330))&lt;&gt;"",IF($L330&gt;$M330,$F330,IF($L330&lt;$M330,$G330,$N330))&lt;&gt;"",IF($I330&gt;$J330,$F330,IF($I330&lt;$J330,$G330,$K330))=IF($L330&gt;$M330,$F330,IF($L330&lt;$M330,$G330,$N330))),1,0))</x:f>
      </x:c>
      <x:c r="Q330" s="59" t="str">
        <x:f>IF($O330="","",$O330+$P330)</x:f>
      </x:c>
      <x:c r="R330" s="59" t="str">
        <x:f>IF($Q330="","",IF($O330=3,"Cravada",IF(AND($H330="Sim",$L330=$M330,$I330=$J330,$O330=2),"Empate cravado",IF($O330=1,"Resultado certo",IF($O330=-2,"Invertida",IF($P330=1,"Acertou quem passa","Erro"))))))</x:f>
      </x:c>
      <x:c r="S330" s="59" t="str">
        <x:f>IF($O330="","",--(OR($O330=3,AND($H330="Sim",$L330=$M330,$I330=$J330,$O330=2))))</x:f>
      </x:c>
      <x:c r="T330" s="59" t="str">
        <x:f>IF($O330="","",--($O330=-2))</x:f>
      </x:c>
      <x:c r="U330" s="59" t="str">
        <x:f>IF($O330="","",--($O330=1))</x:f>
      </x:c>
      <x:c r="V330" s="59" t="n">
        <x:f>--(AND($I330&lt;&gt;"",$J330&lt;&gt;""))</x:f>
        <x:v>0</x:v>
      </x:c>
    </x:row>
    <x:row r="331">
      <x:c r="A331" s="21" t="str">
        <x:f>INDEX(Config!$B$10:$B$16,INT((ROW()-5)/104)+1)</x:f>
        <x:v>Gustavo</x:v>
      </x:c>
      <x:c r="B331" s="21" t="str">
        <x:v>GC3</x:v>
      </x:c>
      <x:c r="C331" s="21" t="n">
        <x:v>15</x:v>
      </x:c>
      <x:c r="D331" s="21" t="str">
        <x:v>Grupo C</x:v>
      </x:c>
      <x:c r="E331" s="21" t="str">
        <x:v>2026-06-19</x:v>
      </x:c>
      <x:c r="F331" s="21" t="str">
        <x:f>IFERROR(INDEX('Resultados'!$G$5:$G$108,MATCH($B331,'Resultados'!$A$5:$A$108,0)),"")</x:f>
        <x:v>Brasil</x:v>
      </x:c>
      <x:c r="G331" s="21" t="str">
        <x:f>IFERROR(INDEX('Resultados'!$J$5:$J$108,MATCH($B331,'Resultados'!$A$5:$A$108,0)),"")</x:f>
        <x:v>Haiti</x:v>
      </x:c>
      <x:c r="H331" s="21" t="str">
        <x:v>Não</x:v>
      </x:c>
      <x:c r="I331" s="22"/>
      <x:c r="J331" s="22"/>
      <x:c r="K331" s="23"/>
      <x:c r="L331" s="21" t="str">
        <x:f>IFERROR(INDEX('Resultados'!$H$5:$H$108,MATCH($B331,'Resultados'!$A$5:$A$108,0)),"")</x:f>
      </x:c>
      <x:c r="M331" s="21" t="str">
        <x:f>IFERROR(INDEX('Resultados'!$I$5:$I$108,MATCH($B331,'Resultados'!$A$5:$A$108,0)),"")</x:f>
      </x:c>
      <x:c r="N331" s="21" t="str">
        <x:f>IFERROR(INDEX('Resultados'!$L$5:$L$108,MATCH($B331,'Resultados'!$A$5:$A$108,0)),"")</x:f>
      </x:c>
      <x:c r="O331" s="59" t="str">
        <x:f>IF(OR($I331="",$J331="",$L331="",$M331=""),"",IF(AND($H331="Sim",$L331=$M331),IF($I331&lt;&gt;$J331,0,IF(AND($I331=$L331,$J331=$M331),2,1)),IF(AND($I331=$L331,$J331=$M331),3,IF(AND($I331&lt;&gt;$J331,$I331=$M331,$J331=$L331),-2,IF(SIGN($I331-$J331)=SIGN($L331-$M331),1,0)))))</x:f>
      </x:c>
      <x:c r="P331" s="59" t="str">
        <x:f>IF(OR($H331&lt;&gt;"Sim",$I331="",$J331="",$L331="",$M331=""),"",IF(AND(IF($I331&gt;$J331,$F331,IF($I331&lt;$J331,$G331,$K331))&lt;&gt;"",IF($L331&gt;$M331,$F331,IF($L331&lt;$M331,$G331,$N331))&lt;&gt;"",IF($I331&gt;$J331,$F331,IF($I331&lt;$J331,$G331,$K331))=IF($L331&gt;$M331,$F331,IF($L331&lt;$M331,$G331,$N331))),1,0))</x:f>
      </x:c>
      <x:c r="Q331" s="59" t="str">
        <x:f>IF($O331="","",$O331+$P331)</x:f>
      </x:c>
      <x:c r="R331" s="59" t="str">
        <x:f>IF($Q331="","",IF($O331=3,"Cravada",IF(AND($H331="Sim",$L331=$M331,$I331=$J331,$O331=2),"Empate cravado",IF($O331=1,"Resultado certo",IF($O331=-2,"Invertida",IF($P331=1,"Acertou quem passa","Erro"))))))</x:f>
      </x:c>
      <x:c r="S331" s="59" t="str">
        <x:f>IF($O331="","",--(OR($O331=3,AND($H331="Sim",$L331=$M331,$I331=$J331,$O331=2))))</x:f>
      </x:c>
      <x:c r="T331" s="59" t="str">
        <x:f>IF($O331="","",--($O331=-2))</x:f>
      </x:c>
      <x:c r="U331" s="59" t="str">
        <x:f>IF($O331="","",--($O331=1))</x:f>
      </x:c>
      <x:c r="V331" s="59" t="n">
        <x:f>--(AND($I331&lt;&gt;"",$J331&lt;&gt;""))</x:f>
        <x:v>0</x:v>
      </x:c>
    </x:row>
    <x:row r="332">
      <x:c r="A332" s="21" t="str">
        <x:f>INDEX(Config!$B$10:$B$16,INT((ROW()-5)/104)+1)</x:f>
        <x:v>Gustavo</x:v>
      </x:c>
      <x:c r="B332" s="21" t="str">
        <x:v>GC4</x:v>
      </x:c>
      <x:c r="C332" s="21" t="n">
        <x:v>16</x:v>
      </x:c>
      <x:c r="D332" s="21" t="str">
        <x:v>Grupo C</x:v>
      </x:c>
      <x:c r="E332" s="21" t="str">
        <x:v>2026-06-19</x:v>
      </x:c>
      <x:c r="F332" s="21" t="str">
        <x:f>IFERROR(INDEX('Resultados'!$G$5:$G$108,MATCH($B332,'Resultados'!$A$5:$A$108,0)),"")</x:f>
        <x:v>Marrocos</x:v>
      </x:c>
      <x:c r="G332" s="21" t="str">
        <x:f>IFERROR(INDEX('Resultados'!$J$5:$J$108,MATCH($B332,'Resultados'!$A$5:$A$108,0)),"")</x:f>
        <x:v>Escócia</x:v>
      </x:c>
      <x:c r="H332" s="21" t="str">
        <x:v>Não</x:v>
      </x:c>
      <x:c r="I332" s="22"/>
      <x:c r="J332" s="22"/>
      <x:c r="K332" s="23"/>
      <x:c r="L332" s="21" t="str">
        <x:f>IFERROR(INDEX('Resultados'!$H$5:$H$108,MATCH($B332,'Resultados'!$A$5:$A$108,0)),"")</x:f>
      </x:c>
      <x:c r="M332" s="21" t="str">
        <x:f>IFERROR(INDEX('Resultados'!$I$5:$I$108,MATCH($B332,'Resultados'!$A$5:$A$108,0)),"")</x:f>
      </x:c>
      <x:c r="N332" s="21" t="str">
        <x:f>IFERROR(INDEX('Resultados'!$L$5:$L$108,MATCH($B332,'Resultados'!$A$5:$A$108,0)),"")</x:f>
      </x:c>
      <x:c r="O332" s="59" t="str">
        <x:f>IF(OR($I332="",$J332="",$L332="",$M332=""),"",IF(AND($H332="Sim",$L332=$M332),IF($I332&lt;&gt;$J332,0,IF(AND($I332=$L332,$J332=$M332),2,1)),IF(AND($I332=$L332,$J332=$M332),3,IF(AND($I332&lt;&gt;$J332,$I332=$M332,$J332=$L332),-2,IF(SIGN($I332-$J332)=SIGN($L332-$M332),1,0)))))</x:f>
      </x:c>
      <x:c r="P332" s="59" t="str">
        <x:f>IF(OR($H332&lt;&gt;"Sim",$I332="",$J332="",$L332="",$M332=""),"",IF(AND(IF($I332&gt;$J332,$F332,IF($I332&lt;$J332,$G332,$K332))&lt;&gt;"",IF($L332&gt;$M332,$F332,IF($L332&lt;$M332,$G332,$N332))&lt;&gt;"",IF($I332&gt;$J332,$F332,IF($I332&lt;$J332,$G332,$K332))=IF($L332&gt;$M332,$F332,IF($L332&lt;$M332,$G332,$N332))),1,0))</x:f>
      </x:c>
      <x:c r="Q332" s="59" t="str">
        <x:f>IF($O332="","",$O332+$P332)</x:f>
      </x:c>
      <x:c r="R332" s="59" t="str">
        <x:f>IF($Q332="","",IF($O332=3,"Cravada",IF(AND($H332="Sim",$L332=$M332,$I332=$J332,$O332=2),"Empate cravado",IF($O332=1,"Resultado certo",IF($O332=-2,"Invertida",IF($P332=1,"Acertou quem passa","Erro"))))))</x:f>
      </x:c>
      <x:c r="S332" s="59" t="str">
        <x:f>IF($O332="","",--(OR($O332=3,AND($H332="Sim",$L332=$M332,$I332=$J332,$O332=2))))</x:f>
      </x:c>
      <x:c r="T332" s="59" t="str">
        <x:f>IF($O332="","",--($O332=-2))</x:f>
      </x:c>
      <x:c r="U332" s="59" t="str">
        <x:f>IF($O332="","",--($O332=1))</x:f>
      </x:c>
      <x:c r="V332" s="59" t="n">
        <x:f>--(AND($I332&lt;&gt;"",$J332&lt;&gt;""))</x:f>
        <x:v>0</x:v>
      </x:c>
    </x:row>
    <x:row r="333">
      <x:c r="A333" s="21" t="str">
        <x:f>INDEX(Config!$B$10:$B$16,INT((ROW()-5)/104)+1)</x:f>
        <x:v>Gustavo</x:v>
      </x:c>
      <x:c r="B333" s="21" t="str">
        <x:v>GC5</x:v>
      </x:c>
      <x:c r="C333" s="21" t="n">
        <x:v>17</x:v>
      </x:c>
      <x:c r="D333" s="21" t="str">
        <x:v>Grupo C</x:v>
      </x:c>
      <x:c r="E333" s="21" t="str">
        <x:v>2026-06-24</x:v>
      </x:c>
      <x:c r="F333" s="21" t="str">
        <x:f>IFERROR(INDEX('Resultados'!$G$5:$G$108,MATCH($B333,'Resultados'!$A$5:$A$108,0)),"")</x:f>
        <x:v>Brasil</x:v>
      </x:c>
      <x:c r="G333" s="21" t="str">
        <x:f>IFERROR(INDEX('Resultados'!$J$5:$J$108,MATCH($B333,'Resultados'!$A$5:$A$108,0)),"")</x:f>
        <x:v>Escócia</x:v>
      </x:c>
      <x:c r="H333" s="21" t="str">
        <x:v>Não</x:v>
      </x:c>
      <x:c r="I333" s="22"/>
      <x:c r="J333" s="22"/>
      <x:c r="K333" s="23"/>
      <x:c r="L333" s="21" t="str">
        <x:f>IFERROR(INDEX('Resultados'!$H$5:$H$108,MATCH($B333,'Resultados'!$A$5:$A$108,0)),"")</x:f>
      </x:c>
      <x:c r="M333" s="21" t="str">
        <x:f>IFERROR(INDEX('Resultados'!$I$5:$I$108,MATCH($B333,'Resultados'!$A$5:$A$108,0)),"")</x:f>
      </x:c>
      <x:c r="N333" s="21" t="str">
        <x:f>IFERROR(INDEX('Resultados'!$L$5:$L$108,MATCH($B333,'Resultados'!$A$5:$A$108,0)),"")</x:f>
      </x:c>
      <x:c r="O333" s="59" t="str">
        <x:f>IF(OR($I333="",$J333="",$L333="",$M333=""),"",IF(AND($H333="Sim",$L333=$M333),IF($I333&lt;&gt;$J333,0,IF(AND($I333=$L333,$J333=$M333),2,1)),IF(AND($I333=$L333,$J333=$M333),3,IF(AND($I333&lt;&gt;$J333,$I333=$M333,$J333=$L333),-2,IF(SIGN($I333-$J333)=SIGN($L333-$M333),1,0)))))</x:f>
      </x:c>
      <x:c r="P333" s="59" t="str">
        <x:f>IF(OR($H333&lt;&gt;"Sim",$I333="",$J333="",$L333="",$M333=""),"",IF(AND(IF($I333&gt;$J333,$F333,IF($I333&lt;$J333,$G333,$K333))&lt;&gt;"",IF($L333&gt;$M333,$F333,IF($L333&lt;$M333,$G333,$N333))&lt;&gt;"",IF($I333&gt;$J333,$F333,IF($I333&lt;$J333,$G333,$K333))=IF($L333&gt;$M333,$F333,IF($L333&lt;$M333,$G333,$N333))),1,0))</x:f>
      </x:c>
      <x:c r="Q333" s="59" t="str">
        <x:f>IF($O333="","",$O333+$P333)</x:f>
      </x:c>
      <x:c r="R333" s="59" t="str">
        <x:f>IF($Q333="","",IF($O333=3,"Cravada",IF(AND($H333="Sim",$L333=$M333,$I333=$J333,$O333=2),"Empate cravado",IF($O333=1,"Resultado certo",IF($O333=-2,"Invertida",IF($P333=1,"Acertou quem passa","Erro"))))))</x:f>
      </x:c>
      <x:c r="S333" s="59" t="str">
        <x:f>IF($O333="","",--(OR($O333=3,AND($H333="Sim",$L333=$M333,$I333=$J333,$O333=2))))</x:f>
      </x:c>
      <x:c r="T333" s="59" t="str">
        <x:f>IF($O333="","",--($O333=-2))</x:f>
      </x:c>
      <x:c r="U333" s="59" t="str">
        <x:f>IF($O333="","",--($O333=1))</x:f>
      </x:c>
      <x:c r="V333" s="59" t="n">
        <x:f>--(AND($I333&lt;&gt;"",$J333&lt;&gt;""))</x:f>
        <x:v>0</x:v>
      </x:c>
    </x:row>
    <x:row r="334">
      <x:c r="A334" s="21" t="str">
        <x:f>INDEX(Config!$B$10:$B$16,INT((ROW()-5)/104)+1)</x:f>
        <x:v>Gustavo</x:v>
      </x:c>
      <x:c r="B334" s="21" t="str">
        <x:v>GC6</x:v>
      </x:c>
      <x:c r="C334" s="21" t="n">
        <x:v>18</x:v>
      </x:c>
      <x:c r="D334" s="21" t="str">
        <x:v>Grupo C</x:v>
      </x:c>
      <x:c r="E334" s="21" t="str">
        <x:v>2026-06-24</x:v>
      </x:c>
      <x:c r="F334" s="21" t="str">
        <x:f>IFERROR(INDEX('Resultados'!$G$5:$G$108,MATCH($B334,'Resultados'!$A$5:$A$108,0)),"")</x:f>
        <x:v>Marrocos</x:v>
      </x:c>
      <x:c r="G334" s="21" t="str">
        <x:f>IFERROR(INDEX('Resultados'!$J$5:$J$108,MATCH($B334,'Resultados'!$A$5:$A$108,0)),"")</x:f>
        <x:v>Haiti</x:v>
      </x:c>
      <x:c r="H334" s="21" t="str">
        <x:v>Não</x:v>
      </x:c>
      <x:c r="I334" s="22"/>
      <x:c r="J334" s="22"/>
      <x:c r="K334" s="23"/>
      <x:c r="L334" s="21" t="str">
        <x:f>IFERROR(INDEX('Resultados'!$H$5:$H$108,MATCH($B334,'Resultados'!$A$5:$A$108,0)),"")</x:f>
      </x:c>
      <x:c r="M334" s="21" t="str">
        <x:f>IFERROR(INDEX('Resultados'!$I$5:$I$108,MATCH($B334,'Resultados'!$A$5:$A$108,0)),"")</x:f>
      </x:c>
      <x:c r="N334" s="21" t="str">
        <x:f>IFERROR(INDEX('Resultados'!$L$5:$L$108,MATCH($B334,'Resultados'!$A$5:$A$108,0)),"")</x:f>
      </x:c>
      <x:c r="O334" s="59" t="str">
        <x:f>IF(OR($I334="",$J334="",$L334="",$M334=""),"",IF(AND($H334="Sim",$L334=$M334),IF($I334&lt;&gt;$J334,0,IF(AND($I334=$L334,$J334=$M334),2,1)),IF(AND($I334=$L334,$J334=$M334),3,IF(AND($I334&lt;&gt;$J334,$I334=$M334,$J334=$L334),-2,IF(SIGN($I334-$J334)=SIGN($L334-$M334),1,0)))))</x:f>
      </x:c>
      <x:c r="P334" s="59" t="str">
        <x:f>IF(OR($H334&lt;&gt;"Sim",$I334="",$J334="",$L334="",$M334=""),"",IF(AND(IF($I334&gt;$J334,$F334,IF($I334&lt;$J334,$G334,$K334))&lt;&gt;"",IF($L334&gt;$M334,$F334,IF($L334&lt;$M334,$G334,$N334))&lt;&gt;"",IF($I334&gt;$J334,$F334,IF($I334&lt;$J334,$G334,$K334))=IF($L334&gt;$M334,$F334,IF($L334&lt;$M334,$G334,$N334))),1,0))</x:f>
      </x:c>
      <x:c r="Q334" s="59" t="str">
        <x:f>IF($O334="","",$O334+$P334)</x:f>
      </x:c>
      <x:c r="R334" s="59" t="str">
        <x:f>IF($Q334="","",IF($O334=3,"Cravada",IF(AND($H334="Sim",$L334=$M334,$I334=$J334,$O334=2),"Empate cravado",IF($O334=1,"Resultado certo",IF($O334=-2,"Invertida",IF($P334=1,"Acertou quem passa","Erro"))))))</x:f>
      </x:c>
      <x:c r="S334" s="59" t="str">
        <x:f>IF($O334="","",--(OR($O334=3,AND($H334="Sim",$L334=$M334,$I334=$J334,$O334=2))))</x:f>
      </x:c>
      <x:c r="T334" s="59" t="str">
        <x:f>IF($O334="","",--($O334=-2))</x:f>
      </x:c>
      <x:c r="U334" s="59" t="str">
        <x:f>IF($O334="","",--($O334=1))</x:f>
      </x:c>
      <x:c r="V334" s="59" t="n">
        <x:f>--(AND($I334&lt;&gt;"",$J334&lt;&gt;""))</x:f>
        <x:v>0</x:v>
      </x:c>
    </x:row>
    <x:row r="335">
      <x:c r="A335" s="21" t="str">
        <x:f>INDEX(Config!$B$10:$B$16,INT((ROW()-5)/104)+1)</x:f>
        <x:v>Gustavo</x:v>
      </x:c>
      <x:c r="B335" s="21" t="str">
        <x:v>GD1</x:v>
      </x:c>
      <x:c r="C335" s="21" t="n">
        <x:v>19</x:v>
      </x:c>
      <x:c r="D335" s="21" t="str">
        <x:v>Grupo D</x:v>
      </x:c>
      <x:c r="E335" s="21" t="str">
        <x:v>2026-06-12</x:v>
      </x:c>
      <x:c r="F335" s="21" t="str">
        <x:f>IFERROR(INDEX('Resultados'!$G$5:$G$108,MATCH($B335,'Resultados'!$A$5:$A$108,0)),"")</x:f>
        <x:v>EUA</x:v>
      </x:c>
      <x:c r="G335" s="21" t="str">
        <x:f>IFERROR(INDEX('Resultados'!$J$5:$J$108,MATCH($B335,'Resultados'!$A$5:$A$108,0)),"")</x:f>
        <x:v>Paraguai</x:v>
      </x:c>
      <x:c r="H335" s="21" t="str">
        <x:v>Não</x:v>
      </x:c>
      <x:c r="I335" s="22"/>
      <x:c r="J335" s="22"/>
      <x:c r="K335" s="23"/>
      <x:c r="L335" s="21" t="str">
        <x:f>IFERROR(INDEX('Resultados'!$H$5:$H$108,MATCH($B335,'Resultados'!$A$5:$A$108,0)),"")</x:f>
      </x:c>
      <x:c r="M335" s="21" t="str">
        <x:f>IFERROR(INDEX('Resultados'!$I$5:$I$108,MATCH($B335,'Resultados'!$A$5:$A$108,0)),"")</x:f>
      </x:c>
      <x:c r="N335" s="21" t="str">
        <x:f>IFERROR(INDEX('Resultados'!$L$5:$L$108,MATCH($B335,'Resultados'!$A$5:$A$108,0)),"")</x:f>
      </x:c>
      <x:c r="O335" s="59" t="str">
        <x:f>IF(OR($I335="",$J335="",$L335="",$M335=""),"",IF(AND($H335="Sim",$L335=$M335),IF($I335&lt;&gt;$J335,0,IF(AND($I335=$L335,$J335=$M335),2,1)),IF(AND($I335=$L335,$J335=$M335),3,IF(AND($I335&lt;&gt;$J335,$I335=$M335,$J335=$L335),-2,IF(SIGN($I335-$J335)=SIGN($L335-$M335),1,0)))))</x:f>
      </x:c>
      <x:c r="P335" s="59" t="str">
        <x:f>IF(OR($H335&lt;&gt;"Sim",$I335="",$J335="",$L335="",$M335=""),"",IF(AND(IF($I335&gt;$J335,$F335,IF($I335&lt;$J335,$G335,$K335))&lt;&gt;"",IF($L335&gt;$M335,$F335,IF($L335&lt;$M335,$G335,$N335))&lt;&gt;"",IF($I335&gt;$J335,$F335,IF($I335&lt;$J335,$G335,$K335))=IF($L335&gt;$M335,$F335,IF($L335&lt;$M335,$G335,$N335))),1,0))</x:f>
      </x:c>
      <x:c r="Q335" s="59" t="str">
        <x:f>IF($O335="","",$O335+$P335)</x:f>
      </x:c>
      <x:c r="R335" s="59" t="str">
        <x:f>IF($Q335="","",IF($O335=3,"Cravada",IF(AND($H335="Sim",$L335=$M335,$I335=$J335,$O335=2),"Empate cravado",IF($O335=1,"Resultado certo",IF($O335=-2,"Invertida",IF($P335=1,"Acertou quem passa","Erro"))))))</x:f>
      </x:c>
      <x:c r="S335" s="59" t="str">
        <x:f>IF($O335="","",--(OR($O335=3,AND($H335="Sim",$L335=$M335,$I335=$J335,$O335=2))))</x:f>
      </x:c>
      <x:c r="T335" s="59" t="str">
        <x:f>IF($O335="","",--($O335=-2))</x:f>
      </x:c>
      <x:c r="U335" s="59" t="str">
        <x:f>IF($O335="","",--($O335=1))</x:f>
      </x:c>
      <x:c r="V335" s="59" t="n">
        <x:f>--(AND($I335&lt;&gt;"",$J335&lt;&gt;""))</x:f>
        <x:v>0</x:v>
      </x:c>
    </x:row>
    <x:row r="336">
      <x:c r="A336" s="21" t="str">
        <x:f>INDEX(Config!$B$10:$B$16,INT((ROW()-5)/104)+1)</x:f>
        <x:v>Gustavo</x:v>
      </x:c>
      <x:c r="B336" s="21" t="str">
        <x:v>GD2</x:v>
      </x:c>
      <x:c r="C336" s="21" t="n">
        <x:v>20</x:v>
      </x:c>
      <x:c r="D336" s="21" t="str">
        <x:v>Grupo D</x:v>
      </x:c>
      <x:c r="E336" s="21" t="str">
        <x:v>2026-06-14</x:v>
      </x:c>
      <x:c r="F336" s="21" t="str">
        <x:f>IFERROR(INDEX('Resultados'!$G$5:$G$108,MATCH($B336,'Resultados'!$A$5:$A$108,0)),"")</x:f>
        <x:v>Austrália</x:v>
      </x:c>
      <x:c r="G336" s="21" t="str">
        <x:f>IFERROR(INDEX('Resultados'!$J$5:$J$108,MATCH($B336,'Resultados'!$A$5:$A$108,0)),"")</x:f>
        <x:v>Turquia</x:v>
      </x:c>
      <x:c r="H336" s="21" t="str">
        <x:v>Não</x:v>
      </x:c>
      <x:c r="I336" s="22"/>
      <x:c r="J336" s="22"/>
      <x:c r="K336" s="23"/>
      <x:c r="L336" s="21" t="str">
        <x:f>IFERROR(INDEX('Resultados'!$H$5:$H$108,MATCH($B336,'Resultados'!$A$5:$A$108,0)),"")</x:f>
      </x:c>
      <x:c r="M336" s="21" t="str">
        <x:f>IFERROR(INDEX('Resultados'!$I$5:$I$108,MATCH($B336,'Resultados'!$A$5:$A$108,0)),"")</x:f>
      </x:c>
      <x:c r="N336" s="21" t="str">
        <x:f>IFERROR(INDEX('Resultados'!$L$5:$L$108,MATCH($B336,'Resultados'!$A$5:$A$108,0)),"")</x:f>
      </x:c>
      <x:c r="O336" s="59" t="str">
        <x:f>IF(OR($I336="",$J336="",$L336="",$M336=""),"",IF(AND($H336="Sim",$L336=$M336),IF($I336&lt;&gt;$J336,0,IF(AND($I336=$L336,$J336=$M336),2,1)),IF(AND($I336=$L336,$J336=$M336),3,IF(AND($I336&lt;&gt;$J336,$I336=$M336,$J336=$L336),-2,IF(SIGN($I336-$J336)=SIGN($L336-$M336),1,0)))))</x:f>
      </x:c>
      <x:c r="P336" s="59" t="str">
        <x:f>IF(OR($H336&lt;&gt;"Sim",$I336="",$J336="",$L336="",$M336=""),"",IF(AND(IF($I336&gt;$J336,$F336,IF($I336&lt;$J336,$G336,$K336))&lt;&gt;"",IF($L336&gt;$M336,$F336,IF($L336&lt;$M336,$G336,$N336))&lt;&gt;"",IF($I336&gt;$J336,$F336,IF($I336&lt;$J336,$G336,$K336))=IF($L336&gt;$M336,$F336,IF($L336&lt;$M336,$G336,$N336))),1,0))</x:f>
      </x:c>
      <x:c r="Q336" s="59" t="str">
        <x:f>IF($O336="","",$O336+$P336)</x:f>
      </x:c>
      <x:c r="R336" s="59" t="str">
        <x:f>IF($Q336="","",IF($O336=3,"Cravada",IF(AND($H336="Sim",$L336=$M336,$I336=$J336,$O336=2),"Empate cravado",IF($O336=1,"Resultado certo",IF($O336=-2,"Invertida",IF($P336=1,"Acertou quem passa","Erro"))))))</x:f>
      </x:c>
      <x:c r="S336" s="59" t="str">
        <x:f>IF($O336="","",--(OR($O336=3,AND($H336="Sim",$L336=$M336,$I336=$J336,$O336=2))))</x:f>
      </x:c>
      <x:c r="T336" s="59" t="str">
        <x:f>IF($O336="","",--($O336=-2))</x:f>
      </x:c>
      <x:c r="U336" s="59" t="str">
        <x:f>IF($O336="","",--($O336=1))</x:f>
      </x:c>
      <x:c r="V336" s="59" t="n">
        <x:f>--(AND($I336&lt;&gt;"",$J336&lt;&gt;""))</x:f>
        <x:v>0</x:v>
      </x:c>
    </x:row>
    <x:row r="337">
      <x:c r="A337" s="21" t="str">
        <x:f>INDEX(Config!$B$10:$B$16,INT((ROW()-5)/104)+1)</x:f>
        <x:v>Gustavo</x:v>
      </x:c>
      <x:c r="B337" s="21" t="str">
        <x:v>GD3</x:v>
      </x:c>
      <x:c r="C337" s="21" t="n">
        <x:v>21</x:v>
      </x:c>
      <x:c r="D337" s="21" t="str">
        <x:v>Grupo D</x:v>
      </x:c>
      <x:c r="E337" s="21" t="str">
        <x:v>2026-06-19</x:v>
      </x:c>
      <x:c r="F337" s="21" t="str">
        <x:f>IFERROR(INDEX('Resultados'!$G$5:$G$108,MATCH($B337,'Resultados'!$A$5:$A$108,0)),"")</x:f>
        <x:v>EUA</x:v>
      </x:c>
      <x:c r="G337" s="21" t="str">
        <x:f>IFERROR(INDEX('Resultados'!$J$5:$J$108,MATCH($B337,'Resultados'!$A$5:$A$108,0)),"")</x:f>
        <x:v>Austrália</x:v>
      </x:c>
      <x:c r="H337" s="21" t="str">
        <x:v>Não</x:v>
      </x:c>
      <x:c r="I337" s="22"/>
      <x:c r="J337" s="22"/>
      <x:c r="K337" s="23"/>
      <x:c r="L337" s="21" t="str">
        <x:f>IFERROR(INDEX('Resultados'!$H$5:$H$108,MATCH($B337,'Resultados'!$A$5:$A$108,0)),"")</x:f>
      </x:c>
      <x:c r="M337" s="21" t="str">
        <x:f>IFERROR(INDEX('Resultados'!$I$5:$I$108,MATCH($B337,'Resultados'!$A$5:$A$108,0)),"")</x:f>
      </x:c>
      <x:c r="N337" s="21" t="str">
        <x:f>IFERROR(INDEX('Resultados'!$L$5:$L$108,MATCH($B337,'Resultados'!$A$5:$A$108,0)),"")</x:f>
      </x:c>
      <x:c r="O337" s="59" t="str">
        <x:f>IF(OR($I337="",$J337="",$L337="",$M337=""),"",IF(AND($H337="Sim",$L337=$M337),IF($I337&lt;&gt;$J337,0,IF(AND($I337=$L337,$J337=$M337),2,1)),IF(AND($I337=$L337,$J337=$M337),3,IF(AND($I337&lt;&gt;$J337,$I337=$M337,$J337=$L337),-2,IF(SIGN($I337-$J337)=SIGN($L337-$M337),1,0)))))</x:f>
      </x:c>
      <x:c r="P337" s="59" t="str">
        <x:f>IF(OR($H337&lt;&gt;"Sim",$I337="",$J337="",$L337="",$M337=""),"",IF(AND(IF($I337&gt;$J337,$F337,IF($I337&lt;$J337,$G337,$K337))&lt;&gt;"",IF($L337&gt;$M337,$F337,IF($L337&lt;$M337,$G337,$N337))&lt;&gt;"",IF($I337&gt;$J337,$F337,IF($I337&lt;$J337,$G337,$K337))=IF($L337&gt;$M337,$F337,IF($L337&lt;$M337,$G337,$N337))),1,0))</x:f>
      </x:c>
      <x:c r="Q337" s="59" t="str">
        <x:f>IF($O337="","",$O337+$P337)</x:f>
      </x:c>
      <x:c r="R337" s="59" t="str">
        <x:f>IF($Q337="","",IF($O337=3,"Cravada",IF(AND($H337="Sim",$L337=$M337,$I337=$J337,$O337=2),"Empate cravado",IF($O337=1,"Resultado certo",IF($O337=-2,"Invertida",IF($P337=1,"Acertou quem passa","Erro"))))))</x:f>
      </x:c>
      <x:c r="S337" s="59" t="str">
        <x:f>IF($O337="","",--(OR($O337=3,AND($H337="Sim",$L337=$M337,$I337=$J337,$O337=2))))</x:f>
      </x:c>
      <x:c r="T337" s="59" t="str">
        <x:f>IF($O337="","",--($O337=-2))</x:f>
      </x:c>
      <x:c r="U337" s="59" t="str">
        <x:f>IF($O337="","",--($O337=1))</x:f>
      </x:c>
      <x:c r="V337" s="59" t="n">
        <x:f>--(AND($I337&lt;&gt;"",$J337&lt;&gt;""))</x:f>
        <x:v>0</x:v>
      </x:c>
    </x:row>
    <x:row r="338">
      <x:c r="A338" s="21" t="str">
        <x:f>INDEX(Config!$B$10:$B$16,INT((ROW()-5)/104)+1)</x:f>
        <x:v>Gustavo</x:v>
      </x:c>
      <x:c r="B338" s="21" t="str">
        <x:v>GD4</x:v>
      </x:c>
      <x:c r="C338" s="21" t="n">
        <x:v>22</x:v>
      </x:c>
      <x:c r="D338" s="21" t="str">
        <x:v>Grupo D</x:v>
      </x:c>
      <x:c r="E338" s="21" t="str">
        <x:v>2026-06-20</x:v>
      </x:c>
      <x:c r="F338" s="21" t="str">
        <x:f>IFERROR(INDEX('Resultados'!$G$5:$G$108,MATCH($B338,'Resultados'!$A$5:$A$108,0)),"")</x:f>
        <x:v>Paraguai</x:v>
      </x:c>
      <x:c r="G338" s="21" t="str">
        <x:f>IFERROR(INDEX('Resultados'!$J$5:$J$108,MATCH($B338,'Resultados'!$A$5:$A$108,0)),"")</x:f>
        <x:v>Turquia</x:v>
      </x:c>
      <x:c r="H338" s="21" t="str">
        <x:v>Não</x:v>
      </x:c>
      <x:c r="I338" s="22"/>
      <x:c r="J338" s="22"/>
      <x:c r="K338" s="23"/>
      <x:c r="L338" s="21" t="str">
        <x:f>IFERROR(INDEX('Resultados'!$H$5:$H$108,MATCH($B338,'Resultados'!$A$5:$A$108,0)),"")</x:f>
      </x:c>
      <x:c r="M338" s="21" t="str">
        <x:f>IFERROR(INDEX('Resultados'!$I$5:$I$108,MATCH($B338,'Resultados'!$A$5:$A$108,0)),"")</x:f>
      </x:c>
      <x:c r="N338" s="21" t="str">
        <x:f>IFERROR(INDEX('Resultados'!$L$5:$L$108,MATCH($B338,'Resultados'!$A$5:$A$108,0)),"")</x:f>
      </x:c>
      <x:c r="O338" s="59" t="str">
        <x:f>IF(OR($I338="",$J338="",$L338="",$M338=""),"",IF(AND($H338="Sim",$L338=$M338),IF($I338&lt;&gt;$J338,0,IF(AND($I338=$L338,$J338=$M338),2,1)),IF(AND($I338=$L338,$J338=$M338),3,IF(AND($I338&lt;&gt;$J338,$I338=$M338,$J338=$L338),-2,IF(SIGN($I338-$J338)=SIGN($L338-$M338),1,0)))))</x:f>
      </x:c>
      <x:c r="P338" s="59" t="str">
        <x:f>IF(OR($H338&lt;&gt;"Sim",$I338="",$J338="",$L338="",$M338=""),"",IF(AND(IF($I338&gt;$J338,$F338,IF($I338&lt;$J338,$G338,$K338))&lt;&gt;"",IF($L338&gt;$M338,$F338,IF($L338&lt;$M338,$G338,$N338))&lt;&gt;"",IF($I338&gt;$J338,$F338,IF($I338&lt;$J338,$G338,$K338))=IF($L338&gt;$M338,$F338,IF($L338&lt;$M338,$G338,$N338))),1,0))</x:f>
      </x:c>
      <x:c r="Q338" s="59" t="str">
        <x:f>IF($O338="","",$O338+$P338)</x:f>
      </x:c>
      <x:c r="R338" s="59" t="str">
        <x:f>IF($Q338="","",IF($O338=3,"Cravada",IF(AND($H338="Sim",$L338=$M338,$I338=$J338,$O338=2),"Empate cravado",IF($O338=1,"Resultado certo",IF($O338=-2,"Invertida",IF($P338=1,"Acertou quem passa","Erro"))))))</x:f>
      </x:c>
      <x:c r="S338" s="59" t="str">
        <x:f>IF($O338="","",--(OR($O338=3,AND($H338="Sim",$L338=$M338,$I338=$J338,$O338=2))))</x:f>
      </x:c>
      <x:c r="T338" s="59" t="str">
        <x:f>IF($O338="","",--($O338=-2))</x:f>
      </x:c>
      <x:c r="U338" s="59" t="str">
        <x:f>IF($O338="","",--($O338=1))</x:f>
      </x:c>
      <x:c r="V338" s="59" t="n">
        <x:f>--(AND($I338&lt;&gt;"",$J338&lt;&gt;""))</x:f>
        <x:v>0</x:v>
      </x:c>
    </x:row>
    <x:row r="339">
      <x:c r="A339" s="21" t="str">
        <x:f>INDEX(Config!$B$10:$B$16,INT((ROW()-5)/104)+1)</x:f>
        <x:v>Gustavo</x:v>
      </x:c>
      <x:c r="B339" s="21" t="str">
        <x:v>GD5</x:v>
      </x:c>
      <x:c r="C339" s="21" t="n">
        <x:v>23</x:v>
      </x:c>
      <x:c r="D339" s="21" t="str">
        <x:v>Grupo D</x:v>
      </x:c>
      <x:c r="E339" s="21" t="str">
        <x:v>2026-06-25</x:v>
      </x:c>
      <x:c r="F339" s="21" t="str">
        <x:f>IFERROR(INDEX('Resultados'!$G$5:$G$108,MATCH($B339,'Resultados'!$A$5:$A$108,0)),"")</x:f>
        <x:v>EUA</x:v>
      </x:c>
      <x:c r="G339" s="21" t="str">
        <x:f>IFERROR(INDEX('Resultados'!$J$5:$J$108,MATCH($B339,'Resultados'!$A$5:$A$108,0)),"")</x:f>
        <x:v>Turquia</x:v>
      </x:c>
      <x:c r="H339" s="21" t="str">
        <x:v>Não</x:v>
      </x:c>
      <x:c r="I339" s="22"/>
      <x:c r="J339" s="22"/>
      <x:c r="K339" s="23"/>
      <x:c r="L339" s="21" t="str">
        <x:f>IFERROR(INDEX('Resultados'!$H$5:$H$108,MATCH($B339,'Resultados'!$A$5:$A$108,0)),"")</x:f>
      </x:c>
      <x:c r="M339" s="21" t="str">
        <x:f>IFERROR(INDEX('Resultados'!$I$5:$I$108,MATCH($B339,'Resultados'!$A$5:$A$108,0)),"")</x:f>
      </x:c>
      <x:c r="N339" s="21" t="str">
        <x:f>IFERROR(INDEX('Resultados'!$L$5:$L$108,MATCH($B339,'Resultados'!$A$5:$A$108,0)),"")</x:f>
      </x:c>
      <x:c r="O339" s="59" t="str">
        <x:f>IF(OR($I339="",$J339="",$L339="",$M339=""),"",IF(AND($H339="Sim",$L339=$M339),IF($I339&lt;&gt;$J339,0,IF(AND($I339=$L339,$J339=$M339),2,1)),IF(AND($I339=$L339,$J339=$M339),3,IF(AND($I339&lt;&gt;$J339,$I339=$M339,$J339=$L339),-2,IF(SIGN($I339-$J339)=SIGN($L339-$M339),1,0)))))</x:f>
      </x:c>
      <x:c r="P339" s="59" t="str">
        <x:f>IF(OR($H339&lt;&gt;"Sim",$I339="",$J339="",$L339="",$M339=""),"",IF(AND(IF($I339&gt;$J339,$F339,IF($I339&lt;$J339,$G339,$K339))&lt;&gt;"",IF($L339&gt;$M339,$F339,IF($L339&lt;$M339,$G339,$N339))&lt;&gt;"",IF($I339&gt;$J339,$F339,IF($I339&lt;$J339,$G339,$K339))=IF($L339&gt;$M339,$F339,IF($L339&lt;$M339,$G339,$N339))),1,0))</x:f>
      </x:c>
      <x:c r="Q339" s="59" t="str">
        <x:f>IF($O339="","",$O339+$P339)</x:f>
      </x:c>
      <x:c r="R339" s="59" t="str">
        <x:f>IF($Q339="","",IF($O339=3,"Cravada",IF(AND($H339="Sim",$L339=$M339,$I339=$J339,$O339=2),"Empate cravado",IF($O339=1,"Resultado certo",IF($O339=-2,"Invertida",IF($P339=1,"Acertou quem passa","Erro"))))))</x:f>
      </x:c>
      <x:c r="S339" s="59" t="str">
        <x:f>IF($O339="","",--(OR($O339=3,AND($H339="Sim",$L339=$M339,$I339=$J339,$O339=2))))</x:f>
      </x:c>
      <x:c r="T339" s="59" t="str">
        <x:f>IF($O339="","",--($O339=-2))</x:f>
      </x:c>
      <x:c r="U339" s="59" t="str">
        <x:f>IF($O339="","",--($O339=1))</x:f>
      </x:c>
      <x:c r="V339" s="59" t="n">
        <x:f>--(AND($I339&lt;&gt;"",$J339&lt;&gt;""))</x:f>
        <x:v>0</x:v>
      </x:c>
    </x:row>
    <x:row r="340">
      <x:c r="A340" s="21" t="str">
        <x:f>INDEX(Config!$B$10:$B$16,INT((ROW()-5)/104)+1)</x:f>
        <x:v>Gustavo</x:v>
      </x:c>
      <x:c r="B340" s="21" t="str">
        <x:v>GD6</x:v>
      </x:c>
      <x:c r="C340" s="21" t="n">
        <x:v>24</x:v>
      </x:c>
      <x:c r="D340" s="21" t="str">
        <x:v>Grupo D</x:v>
      </x:c>
      <x:c r="E340" s="21" t="str">
        <x:v>2026-06-25</x:v>
      </x:c>
      <x:c r="F340" s="21" t="str">
        <x:f>IFERROR(INDEX('Resultados'!$G$5:$G$108,MATCH($B340,'Resultados'!$A$5:$A$108,0)),"")</x:f>
        <x:v>Paraguai</x:v>
      </x:c>
      <x:c r="G340" s="21" t="str">
        <x:f>IFERROR(INDEX('Resultados'!$J$5:$J$108,MATCH($B340,'Resultados'!$A$5:$A$108,0)),"")</x:f>
        <x:v>Austrália</x:v>
      </x:c>
      <x:c r="H340" s="21" t="str">
        <x:v>Não</x:v>
      </x:c>
      <x:c r="I340" s="22"/>
      <x:c r="J340" s="22"/>
      <x:c r="K340" s="23"/>
      <x:c r="L340" s="21" t="str">
        <x:f>IFERROR(INDEX('Resultados'!$H$5:$H$108,MATCH($B340,'Resultados'!$A$5:$A$108,0)),"")</x:f>
      </x:c>
      <x:c r="M340" s="21" t="str">
        <x:f>IFERROR(INDEX('Resultados'!$I$5:$I$108,MATCH($B340,'Resultados'!$A$5:$A$108,0)),"")</x:f>
      </x:c>
      <x:c r="N340" s="21" t="str">
        <x:f>IFERROR(INDEX('Resultados'!$L$5:$L$108,MATCH($B340,'Resultados'!$A$5:$A$108,0)),"")</x:f>
      </x:c>
      <x:c r="O340" s="59" t="str">
        <x:f>IF(OR($I340="",$J340="",$L340="",$M340=""),"",IF(AND($H340="Sim",$L340=$M340),IF($I340&lt;&gt;$J340,0,IF(AND($I340=$L340,$J340=$M340),2,1)),IF(AND($I340=$L340,$J340=$M340),3,IF(AND($I340&lt;&gt;$J340,$I340=$M340,$J340=$L340),-2,IF(SIGN($I340-$J340)=SIGN($L340-$M340),1,0)))))</x:f>
      </x:c>
      <x:c r="P340" s="59" t="str">
        <x:f>IF(OR($H340&lt;&gt;"Sim",$I340="",$J340="",$L340="",$M340=""),"",IF(AND(IF($I340&gt;$J340,$F340,IF($I340&lt;$J340,$G340,$K340))&lt;&gt;"",IF($L340&gt;$M340,$F340,IF($L340&lt;$M340,$G340,$N340))&lt;&gt;"",IF($I340&gt;$J340,$F340,IF($I340&lt;$J340,$G340,$K340))=IF($L340&gt;$M340,$F340,IF($L340&lt;$M340,$G340,$N340))),1,0))</x:f>
      </x:c>
      <x:c r="Q340" s="59" t="str">
        <x:f>IF($O340="","",$O340+$P340)</x:f>
      </x:c>
      <x:c r="R340" s="59" t="str">
        <x:f>IF($Q340="","",IF($O340=3,"Cravada",IF(AND($H340="Sim",$L340=$M340,$I340=$J340,$O340=2),"Empate cravado",IF($O340=1,"Resultado certo",IF($O340=-2,"Invertida",IF($P340=1,"Acertou quem passa","Erro"))))))</x:f>
      </x:c>
      <x:c r="S340" s="59" t="str">
        <x:f>IF($O340="","",--(OR($O340=3,AND($H340="Sim",$L340=$M340,$I340=$J340,$O340=2))))</x:f>
      </x:c>
      <x:c r="T340" s="59" t="str">
        <x:f>IF($O340="","",--($O340=-2))</x:f>
      </x:c>
      <x:c r="U340" s="59" t="str">
        <x:f>IF($O340="","",--($O340=1))</x:f>
      </x:c>
      <x:c r="V340" s="59" t="n">
        <x:f>--(AND($I340&lt;&gt;"",$J340&lt;&gt;""))</x:f>
        <x:v>0</x:v>
      </x:c>
    </x:row>
    <x:row r="341">
      <x:c r="A341" s="21" t="str">
        <x:f>INDEX(Config!$B$10:$B$16,INT((ROW()-5)/104)+1)</x:f>
        <x:v>Gustavo</x:v>
      </x:c>
      <x:c r="B341" s="21" t="str">
        <x:v>GE1</x:v>
      </x:c>
      <x:c r="C341" s="21" t="n">
        <x:v>25</x:v>
      </x:c>
      <x:c r="D341" s="21" t="str">
        <x:v>Grupo E</x:v>
      </x:c>
      <x:c r="E341" s="21" t="str">
        <x:v>2026-06-14</x:v>
      </x:c>
      <x:c r="F341" s="21" t="str">
        <x:f>IFERROR(INDEX('Resultados'!$G$5:$G$108,MATCH($B341,'Resultados'!$A$5:$A$108,0)),"")</x:f>
        <x:v>Alemanha</x:v>
      </x:c>
      <x:c r="G341" s="21" t="str">
        <x:f>IFERROR(INDEX('Resultados'!$J$5:$J$108,MATCH($B341,'Resultados'!$A$5:$A$108,0)),"")</x:f>
        <x:v>Curaçau</x:v>
      </x:c>
      <x:c r="H341" s="21" t="str">
        <x:v>Não</x:v>
      </x:c>
      <x:c r="I341" s="22"/>
      <x:c r="J341" s="22"/>
      <x:c r="K341" s="23"/>
      <x:c r="L341" s="21" t="str">
        <x:f>IFERROR(INDEX('Resultados'!$H$5:$H$108,MATCH($B341,'Resultados'!$A$5:$A$108,0)),"")</x:f>
      </x:c>
      <x:c r="M341" s="21" t="str">
        <x:f>IFERROR(INDEX('Resultados'!$I$5:$I$108,MATCH($B341,'Resultados'!$A$5:$A$108,0)),"")</x:f>
      </x:c>
      <x:c r="N341" s="21" t="str">
        <x:f>IFERROR(INDEX('Resultados'!$L$5:$L$108,MATCH($B341,'Resultados'!$A$5:$A$108,0)),"")</x:f>
      </x:c>
      <x:c r="O341" s="59" t="str">
        <x:f>IF(OR($I341="",$J341="",$L341="",$M341=""),"",IF(AND($H341="Sim",$L341=$M341),IF($I341&lt;&gt;$J341,0,IF(AND($I341=$L341,$J341=$M341),2,1)),IF(AND($I341=$L341,$J341=$M341),3,IF(AND($I341&lt;&gt;$J341,$I341=$M341,$J341=$L341),-2,IF(SIGN($I341-$J341)=SIGN($L341-$M341),1,0)))))</x:f>
      </x:c>
      <x:c r="P341" s="59" t="str">
        <x:f>IF(OR($H341&lt;&gt;"Sim",$I341="",$J341="",$L341="",$M341=""),"",IF(AND(IF($I341&gt;$J341,$F341,IF($I341&lt;$J341,$G341,$K341))&lt;&gt;"",IF($L341&gt;$M341,$F341,IF($L341&lt;$M341,$G341,$N341))&lt;&gt;"",IF($I341&gt;$J341,$F341,IF($I341&lt;$J341,$G341,$K341))=IF($L341&gt;$M341,$F341,IF($L341&lt;$M341,$G341,$N341))),1,0))</x:f>
      </x:c>
      <x:c r="Q341" s="59" t="str">
        <x:f>IF($O341="","",$O341+$P341)</x:f>
      </x:c>
      <x:c r="R341" s="59" t="str">
        <x:f>IF($Q341="","",IF($O341=3,"Cravada",IF(AND($H341="Sim",$L341=$M341,$I341=$J341,$O341=2),"Empate cravado",IF($O341=1,"Resultado certo",IF($O341=-2,"Invertida",IF($P341=1,"Acertou quem passa","Erro"))))))</x:f>
      </x:c>
      <x:c r="S341" s="59" t="str">
        <x:f>IF($O341="","",--(OR($O341=3,AND($H341="Sim",$L341=$M341,$I341=$J341,$O341=2))))</x:f>
      </x:c>
      <x:c r="T341" s="59" t="str">
        <x:f>IF($O341="","",--($O341=-2))</x:f>
      </x:c>
      <x:c r="U341" s="59" t="str">
        <x:f>IF($O341="","",--($O341=1))</x:f>
      </x:c>
      <x:c r="V341" s="59" t="n">
        <x:f>--(AND($I341&lt;&gt;"",$J341&lt;&gt;""))</x:f>
        <x:v>0</x:v>
      </x:c>
    </x:row>
    <x:row r="342">
      <x:c r="A342" s="21" t="str">
        <x:f>INDEX(Config!$B$10:$B$16,INT((ROW()-5)/104)+1)</x:f>
        <x:v>Gustavo</x:v>
      </x:c>
      <x:c r="B342" s="21" t="str">
        <x:v>GE2</x:v>
      </x:c>
      <x:c r="C342" s="21" t="n">
        <x:v>26</x:v>
      </x:c>
      <x:c r="D342" s="21" t="str">
        <x:v>Grupo E</x:v>
      </x:c>
      <x:c r="E342" s="21" t="str">
        <x:v>2026-06-14</x:v>
      </x:c>
      <x:c r="F342" s="21" t="str">
        <x:f>IFERROR(INDEX('Resultados'!$G$5:$G$108,MATCH($B342,'Resultados'!$A$5:$A$108,0)),"")</x:f>
        <x:v>Costa do Marfim</x:v>
      </x:c>
      <x:c r="G342" s="21" t="str">
        <x:f>IFERROR(INDEX('Resultados'!$J$5:$J$108,MATCH($B342,'Resultados'!$A$5:$A$108,0)),"")</x:f>
        <x:v>Equador</x:v>
      </x:c>
      <x:c r="H342" s="21" t="str">
        <x:v>Não</x:v>
      </x:c>
      <x:c r="I342" s="22"/>
      <x:c r="J342" s="22"/>
      <x:c r="K342" s="23"/>
      <x:c r="L342" s="21" t="str">
        <x:f>IFERROR(INDEX('Resultados'!$H$5:$H$108,MATCH($B342,'Resultados'!$A$5:$A$108,0)),"")</x:f>
      </x:c>
      <x:c r="M342" s="21" t="str">
        <x:f>IFERROR(INDEX('Resultados'!$I$5:$I$108,MATCH($B342,'Resultados'!$A$5:$A$108,0)),"")</x:f>
      </x:c>
      <x:c r="N342" s="21" t="str">
        <x:f>IFERROR(INDEX('Resultados'!$L$5:$L$108,MATCH($B342,'Resultados'!$A$5:$A$108,0)),"")</x:f>
      </x:c>
      <x:c r="O342" s="59" t="str">
        <x:f>IF(OR($I342="",$J342="",$L342="",$M342=""),"",IF(AND($H342="Sim",$L342=$M342),IF($I342&lt;&gt;$J342,0,IF(AND($I342=$L342,$J342=$M342),2,1)),IF(AND($I342=$L342,$J342=$M342),3,IF(AND($I342&lt;&gt;$J342,$I342=$M342,$J342=$L342),-2,IF(SIGN($I342-$J342)=SIGN($L342-$M342),1,0)))))</x:f>
      </x:c>
      <x:c r="P342" s="59" t="str">
        <x:f>IF(OR($H342&lt;&gt;"Sim",$I342="",$J342="",$L342="",$M342=""),"",IF(AND(IF($I342&gt;$J342,$F342,IF($I342&lt;$J342,$G342,$K342))&lt;&gt;"",IF($L342&gt;$M342,$F342,IF($L342&lt;$M342,$G342,$N342))&lt;&gt;"",IF($I342&gt;$J342,$F342,IF($I342&lt;$J342,$G342,$K342))=IF($L342&gt;$M342,$F342,IF($L342&lt;$M342,$G342,$N342))),1,0))</x:f>
      </x:c>
      <x:c r="Q342" s="59" t="str">
        <x:f>IF($O342="","",$O342+$P342)</x:f>
      </x:c>
      <x:c r="R342" s="59" t="str">
        <x:f>IF($Q342="","",IF($O342=3,"Cravada",IF(AND($H342="Sim",$L342=$M342,$I342=$J342,$O342=2),"Empate cravado",IF($O342=1,"Resultado certo",IF($O342=-2,"Invertida",IF($P342=1,"Acertou quem passa","Erro"))))))</x:f>
      </x:c>
      <x:c r="S342" s="59" t="str">
        <x:f>IF($O342="","",--(OR($O342=3,AND($H342="Sim",$L342=$M342,$I342=$J342,$O342=2))))</x:f>
      </x:c>
      <x:c r="T342" s="59" t="str">
        <x:f>IF($O342="","",--($O342=-2))</x:f>
      </x:c>
      <x:c r="U342" s="59" t="str">
        <x:f>IF($O342="","",--($O342=1))</x:f>
      </x:c>
      <x:c r="V342" s="59" t="n">
        <x:f>--(AND($I342&lt;&gt;"",$J342&lt;&gt;""))</x:f>
        <x:v>0</x:v>
      </x:c>
    </x:row>
    <x:row r="343">
      <x:c r="A343" s="21" t="str">
        <x:f>INDEX(Config!$B$10:$B$16,INT((ROW()-5)/104)+1)</x:f>
        <x:v>Gustavo</x:v>
      </x:c>
      <x:c r="B343" s="21" t="str">
        <x:v>GE3</x:v>
      </x:c>
      <x:c r="C343" s="21" t="n">
        <x:v>27</x:v>
      </x:c>
      <x:c r="D343" s="21" t="str">
        <x:v>Grupo E</x:v>
      </x:c>
      <x:c r="E343" s="21" t="str">
        <x:v>2026-06-20</x:v>
      </x:c>
      <x:c r="F343" s="21" t="str">
        <x:f>IFERROR(INDEX('Resultados'!$G$5:$G$108,MATCH($B343,'Resultados'!$A$5:$A$108,0)),"")</x:f>
        <x:v>Alemanha</x:v>
      </x:c>
      <x:c r="G343" s="21" t="str">
        <x:f>IFERROR(INDEX('Resultados'!$J$5:$J$108,MATCH($B343,'Resultados'!$A$5:$A$108,0)),"")</x:f>
        <x:v>Costa do Marfim</x:v>
      </x:c>
      <x:c r="H343" s="21" t="str">
        <x:v>Não</x:v>
      </x:c>
      <x:c r="I343" s="22"/>
      <x:c r="J343" s="22"/>
      <x:c r="K343" s="23"/>
      <x:c r="L343" s="21" t="str">
        <x:f>IFERROR(INDEX('Resultados'!$H$5:$H$108,MATCH($B343,'Resultados'!$A$5:$A$108,0)),"")</x:f>
      </x:c>
      <x:c r="M343" s="21" t="str">
        <x:f>IFERROR(INDEX('Resultados'!$I$5:$I$108,MATCH($B343,'Resultados'!$A$5:$A$108,0)),"")</x:f>
      </x:c>
      <x:c r="N343" s="21" t="str">
        <x:f>IFERROR(INDEX('Resultados'!$L$5:$L$108,MATCH($B343,'Resultados'!$A$5:$A$108,0)),"")</x:f>
      </x:c>
      <x:c r="O343" s="59" t="str">
        <x:f>IF(OR($I343="",$J343="",$L343="",$M343=""),"",IF(AND($H343="Sim",$L343=$M343),IF($I343&lt;&gt;$J343,0,IF(AND($I343=$L343,$J343=$M343),2,1)),IF(AND($I343=$L343,$J343=$M343),3,IF(AND($I343&lt;&gt;$J343,$I343=$M343,$J343=$L343),-2,IF(SIGN($I343-$J343)=SIGN($L343-$M343),1,0)))))</x:f>
      </x:c>
      <x:c r="P343" s="59" t="str">
        <x:f>IF(OR($H343&lt;&gt;"Sim",$I343="",$J343="",$L343="",$M343=""),"",IF(AND(IF($I343&gt;$J343,$F343,IF($I343&lt;$J343,$G343,$K343))&lt;&gt;"",IF($L343&gt;$M343,$F343,IF($L343&lt;$M343,$G343,$N343))&lt;&gt;"",IF($I343&gt;$J343,$F343,IF($I343&lt;$J343,$G343,$K343))=IF($L343&gt;$M343,$F343,IF($L343&lt;$M343,$G343,$N343))),1,0))</x:f>
      </x:c>
      <x:c r="Q343" s="59" t="str">
        <x:f>IF($O343="","",$O343+$P343)</x:f>
      </x:c>
      <x:c r="R343" s="59" t="str">
        <x:f>IF($Q343="","",IF($O343=3,"Cravada",IF(AND($H343="Sim",$L343=$M343,$I343=$J343,$O343=2),"Empate cravado",IF($O343=1,"Resultado certo",IF($O343=-2,"Invertida",IF($P343=1,"Acertou quem passa","Erro"))))))</x:f>
      </x:c>
      <x:c r="S343" s="59" t="str">
        <x:f>IF($O343="","",--(OR($O343=3,AND($H343="Sim",$L343=$M343,$I343=$J343,$O343=2))))</x:f>
      </x:c>
      <x:c r="T343" s="59" t="str">
        <x:f>IF($O343="","",--($O343=-2))</x:f>
      </x:c>
      <x:c r="U343" s="59" t="str">
        <x:f>IF($O343="","",--($O343=1))</x:f>
      </x:c>
      <x:c r="V343" s="59" t="n">
        <x:f>--(AND($I343&lt;&gt;"",$J343&lt;&gt;""))</x:f>
        <x:v>0</x:v>
      </x:c>
    </x:row>
    <x:row r="344">
      <x:c r="A344" s="21" t="str">
        <x:f>INDEX(Config!$B$10:$B$16,INT((ROW()-5)/104)+1)</x:f>
        <x:v>Gustavo</x:v>
      </x:c>
      <x:c r="B344" s="21" t="str">
        <x:v>GE4</x:v>
      </x:c>
      <x:c r="C344" s="21" t="n">
        <x:v>28</x:v>
      </x:c>
      <x:c r="D344" s="21" t="str">
        <x:v>Grupo E</x:v>
      </x:c>
      <x:c r="E344" s="21" t="str">
        <x:v>2026-06-20</x:v>
      </x:c>
      <x:c r="F344" s="21" t="str">
        <x:f>IFERROR(INDEX('Resultados'!$G$5:$G$108,MATCH($B344,'Resultados'!$A$5:$A$108,0)),"")</x:f>
        <x:v>Curaçau</x:v>
      </x:c>
      <x:c r="G344" s="21" t="str">
        <x:f>IFERROR(INDEX('Resultados'!$J$5:$J$108,MATCH($B344,'Resultados'!$A$5:$A$108,0)),"")</x:f>
        <x:v>Equador</x:v>
      </x:c>
      <x:c r="H344" s="21" t="str">
        <x:v>Não</x:v>
      </x:c>
      <x:c r="I344" s="22"/>
      <x:c r="J344" s="22"/>
      <x:c r="K344" s="23"/>
      <x:c r="L344" s="21" t="str">
        <x:f>IFERROR(INDEX('Resultados'!$H$5:$H$108,MATCH($B344,'Resultados'!$A$5:$A$108,0)),"")</x:f>
      </x:c>
      <x:c r="M344" s="21" t="str">
        <x:f>IFERROR(INDEX('Resultados'!$I$5:$I$108,MATCH($B344,'Resultados'!$A$5:$A$108,0)),"")</x:f>
      </x:c>
      <x:c r="N344" s="21" t="str">
        <x:f>IFERROR(INDEX('Resultados'!$L$5:$L$108,MATCH($B344,'Resultados'!$A$5:$A$108,0)),"")</x:f>
      </x:c>
      <x:c r="O344" s="59" t="str">
        <x:f>IF(OR($I344="",$J344="",$L344="",$M344=""),"",IF(AND($H344="Sim",$L344=$M344),IF($I344&lt;&gt;$J344,0,IF(AND($I344=$L344,$J344=$M344),2,1)),IF(AND($I344=$L344,$J344=$M344),3,IF(AND($I344&lt;&gt;$J344,$I344=$M344,$J344=$L344),-2,IF(SIGN($I344-$J344)=SIGN($L344-$M344),1,0)))))</x:f>
      </x:c>
      <x:c r="P344" s="59" t="str">
        <x:f>IF(OR($H344&lt;&gt;"Sim",$I344="",$J344="",$L344="",$M344=""),"",IF(AND(IF($I344&gt;$J344,$F344,IF($I344&lt;$J344,$G344,$K344))&lt;&gt;"",IF($L344&gt;$M344,$F344,IF($L344&lt;$M344,$G344,$N344))&lt;&gt;"",IF($I344&gt;$J344,$F344,IF($I344&lt;$J344,$G344,$K344))=IF($L344&gt;$M344,$F344,IF($L344&lt;$M344,$G344,$N344))),1,0))</x:f>
      </x:c>
      <x:c r="Q344" s="59" t="str">
        <x:f>IF($O344="","",$O344+$P344)</x:f>
      </x:c>
      <x:c r="R344" s="59" t="str">
        <x:f>IF($Q344="","",IF($O344=3,"Cravada",IF(AND($H344="Sim",$L344=$M344,$I344=$J344,$O344=2),"Empate cravado",IF($O344=1,"Resultado certo",IF($O344=-2,"Invertida",IF($P344=1,"Acertou quem passa","Erro"))))))</x:f>
      </x:c>
      <x:c r="S344" s="59" t="str">
        <x:f>IF($O344="","",--(OR($O344=3,AND($H344="Sim",$L344=$M344,$I344=$J344,$O344=2))))</x:f>
      </x:c>
      <x:c r="T344" s="59" t="str">
        <x:f>IF($O344="","",--($O344=-2))</x:f>
      </x:c>
      <x:c r="U344" s="59" t="str">
        <x:f>IF($O344="","",--($O344=1))</x:f>
      </x:c>
      <x:c r="V344" s="59" t="n">
        <x:f>--(AND($I344&lt;&gt;"",$J344&lt;&gt;""))</x:f>
        <x:v>0</x:v>
      </x:c>
    </x:row>
    <x:row r="345">
      <x:c r="A345" s="21" t="str">
        <x:f>INDEX(Config!$B$10:$B$16,INT((ROW()-5)/104)+1)</x:f>
        <x:v>Gustavo</x:v>
      </x:c>
      <x:c r="B345" s="21" t="str">
        <x:v>GE5</x:v>
      </x:c>
      <x:c r="C345" s="21" t="n">
        <x:v>29</x:v>
      </x:c>
      <x:c r="D345" s="21" t="str">
        <x:v>Grupo E</x:v>
      </x:c>
      <x:c r="E345" s="21" t="str">
        <x:v>2026-06-25</x:v>
      </x:c>
      <x:c r="F345" s="21" t="str">
        <x:f>IFERROR(INDEX('Resultados'!$G$5:$G$108,MATCH($B345,'Resultados'!$A$5:$A$108,0)),"")</x:f>
        <x:v>Alemanha</x:v>
      </x:c>
      <x:c r="G345" s="21" t="str">
        <x:f>IFERROR(INDEX('Resultados'!$J$5:$J$108,MATCH($B345,'Resultados'!$A$5:$A$108,0)),"")</x:f>
        <x:v>Equador</x:v>
      </x:c>
      <x:c r="H345" s="21" t="str">
        <x:v>Não</x:v>
      </x:c>
      <x:c r="I345" s="22"/>
      <x:c r="J345" s="22"/>
      <x:c r="K345" s="23"/>
      <x:c r="L345" s="21" t="str">
        <x:f>IFERROR(INDEX('Resultados'!$H$5:$H$108,MATCH($B345,'Resultados'!$A$5:$A$108,0)),"")</x:f>
      </x:c>
      <x:c r="M345" s="21" t="str">
        <x:f>IFERROR(INDEX('Resultados'!$I$5:$I$108,MATCH($B345,'Resultados'!$A$5:$A$108,0)),"")</x:f>
      </x:c>
      <x:c r="N345" s="21" t="str">
        <x:f>IFERROR(INDEX('Resultados'!$L$5:$L$108,MATCH($B345,'Resultados'!$A$5:$A$108,0)),"")</x:f>
      </x:c>
      <x:c r="O345" s="59" t="str">
        <x:f>IF(OR($I345="",$J345="",$L345="",$M345=""),"",IF(AND($H345="Sim",$L345=$M345),IF($I345&lt;&gt;$J345,0,IF(AND($I345=$L345,$J345=$M345),2,1)),IF(AND($I345=$L345,$J345=$M345),3,IF(AND($I345&lt;&gt;$J345,$I345=$M345,$J345=$L345),-2,IF(SIGN($I345-$J345)=SIGN($L345-$M345),1,0)))))</x:f>
      </x:c>
      <x:c r="P345" s="59" t="str">
        <x:f>IF(OR($H345&lt;&gt;"Sim",$I345="",$J345="",$L345="",$M345=""),"",IF(AND(IF($I345&gt;$J345,$F345,IF($I345&lt;$J345,$G345,$K345))&lt;&gt;"",IF($L345&gt;$M345,$F345,IF($L345&lt;$M345,$G345,$N345))&lt;&gt;"",IF($I345&gt;$J345,$F345,IF($I345&lt;$J345,$G345,$K345))=IF($L345&gt;$M345,$F345,IF($L345&lt;$M345,$G345,$N345))),1,0))</x:f>
      </x:c>
      <x:c r="Q345" s="59" t="str">
        <x:f>IF($O345="","",$O345+$P345)</x:f>
      </x:c>
      <x:c r="R345" s="59" t="str">
        <x:f>IF($Q345="","",IF($O345=3,"Cravada",IF(AND($H345="Sim",$L345=$M345,$I345=$J345,$O345=2),"Empate cravado",IF($O345=1,"Resultado certo",IF($O345=-2,"Invertida",IF($P345=1,"Acertou quem passa","Erro"))))))</x:f>
      </x:c>
      <x:c r="S345" s="59" t="str">
        <x:f>IF($O345="","",--(OR($O345=3,AND($H345="Sim",$L345=$M345,$I345=$J345,$O345=2))))</x:f>
      </x:c>
      <x:c r="T345" s="59" t="str">
        <x:f>IF($O345="","",--($O345=-2))</x:f>
      </x:c>
      <x:c r="U345" s="59" t="str">
        <x:f>IF($O345="","",--($O345=1))</x:f>
      </x:c>
      <x:c r="V345" s="59" t="n">
        <x:f>--(AND($I345&lt;&gt;"",$J345&lt;&gt;""))</x:f>
        <x:v>0</x:v>
      </x:c>
    </x:row>
    <x:row r="346">
      <x:c r="A346" s="21" t="str">
        <x:f>INDEX(Config!$B$10:$B$16,INT((ROW()-5)/104)+1)</x:f>
        <x:v>Gustavo</x:v>
      </x:c>
      <x:c r="B346" s="21" t="str">
        <x:v>GE6</x:v>
      </x:c>
      <x:c r="C346" s="21" t="n">
        <x:v>30</x:v>
      </x:c>
      <x:c r="D346" s="21" t="str">
        <x:v>Grupo E</x:v>
      </x:c>
      <x:c r="E346" s="21" t="str">
        <x:v>2026-06-25</x:v>
      </x:c>
      <x:c r="F346" s="21" t="str">
        <x:f>IFERROR(INDEX('Resultados'!$G$5:$G$108,MATCH($B346,'Resultados'!$A$5:$A$108,0)),"")</x:f>
        <x:v>Curaçau</x:v>
      </x:c>
      <x:c r="G346" s="21" t="str">
        <x:f>IFERROR(INDEX('Resultados'!$J$5:$J$108,MATCH($B346,'Resultados'!$A$5:$A$108,0)),"")</x:f>
        <x:v>Costa do Marfim</x:v>
      </x:c>
      <x:c r="H346" s="21" t="str">
        <x:v>Não</x:v>
      </x:c>
      <x:c r="I346" s="22"/>
      <x:c r="J346" s="22"/>
      <x:c r="K346" s="23"/>
      <x:c r="L346" s="21" t="str">
        <x:f>IFERROR(INDEX('Resultados'!$H$5:$H$108,MATCH($B346,'Resultados'!$A$5:$A$108,0)),"")</x:f>
      </x:c>
      <x:c r="M346" s="21" t="str">
        <x:f>IFERROR(INDEX('Resultados'!$I$5:$I$108,MATCH($B346,'Resultados'!$A$5:$A$108,0)),"")</x:f>
      </x:c>
      <x:c r="N346" s="21" t="str">
        <x:f>IFERROR(INDEX('Resultados'!$L$5:$L$108,MATCH($B346,'Resultados'!$A$5:$A$108,0)),"")</x:f>
      </x:c>
      <x:c r="O346" s="59" t="str">
        <x:f>IF(OR($I346="",$J346="",$L346="",$M346=""),"",IF(AND($H346="Sim",$L346=$M346),IF($I346&lt;&gt;$J346,0,IF(AND($I346=$L346,$J346=$M346),2,1)),IF(AND($I346=$L346,$J346=$M346),3,IF(AND($I346&lt;&gt;$J346,$I346=$M346,$J346=$L346),-2,IF(SIGN($I346-$J346)=SIGN($L346-$M346),1,0)))))</x:f>
      </x:c>
      <x:c r="P346" s="59" t="str">
        <x:f>IF(OR($H346&lt;&gt;"Sim",$I346="",$J346="",$L346="",$M346=""),"",IF(AND(IF($I346&gt;$J346,$F346,IF($I346&lt;$J346,$G346,$K346))&lt;&gt;"",IF($L346&gt;$M346,$F346,IF($L346&lt;$M346,$G346,$N346))&lt;&gt;"",IF($I346&gt;$J346,$F346,IF($I346&lt;$J346,$G346,$K346))=IF($L346&gt;$M346,$F346,IF($L346&lt;$M346,$G346,$N346))),1,0))</x:f>
      </x:c>
      <x:c r="Q346" s="59" t="str">
        <x:f>IF($O346="","",$O346+$P346)</x:f>
      </x:c>
      <x:c r="R346" s="59" t="str">
        <x:f>IF($Q346="","",IF($O346=3,"Cravada",IF(AND($H346="Sim",$L346=$M346,$I346=$J346,$O346=2),"Empate cravado",IF($O346=1,"Resultado certo",IF($O346=-2,"Invertida",IF($P346=1,"Acertou quem passa","Erro"))))))</x:f>
      </x:c>
      <x:c r="S346" s="59" t="str">
        <x:f>IF($O346="","",--(OR($O346=3,AND($H346="Sim",$L346=$M346,$I346=$J346,$O346=2))))</x:f>
      </x:c>
      <x:c r="T346" s="59" t="str">
        <x:f>IF($O346="","",--($O346=-2))</x:f>
      </x:c>
      <x:c r="U346" s="59" t="str">
        <x:f>IF($O346="","",--($O346=1))</x:f>
      </x:c>
      <x:c r="V346" s="59" t="n">
        <x:f>--(AND($I346&lt;&gt;"",$J346&lt;&gt;""))</x:f>
        <x:v>0</x:v>
      </x:c>
    </x:row>
    <x:row r="347">
      <x:c r="A347" s="21" t="str">
        <x:f>INDEX(Config!$B$10:$B$16,INT((ROW()-5)/104)+1)</x:f>
        <x:v>Gustavo</x:v>
      </x:c>
      <x:c r="B347" s="21" t="str">
        <x:v>GF1</x:v>
      </x:c>
      <x:c r="C347" s="21" t="n">
        <x:v>31</x:v>
      </x:c>
      <x:c r="D347" s="21" t="str">
        <x:v>Grupo F</x:v>
      </x:c>
      <x:c r="E347" s="21" t="str">
        <x:v>2026-06-14</x:v>
      </x:c>
      <x:c r="F347" s="21" t="str">
        <x:f>IFERROR(INDEX('Resultados'!$G$5:$G$108,MATCH($B347,'Resultados'!$A$5:$A$108,0)),"")</x:f>
        <x:v>Holanda</x:v>
      </x:c>
      <x:c r="G347" s="21" t="str">
        <x:f>IFERROR(INDEX('Resultados'!$J$5:$J$108,MATCH($B347,'Resultados'!$A$5:$A$108,0)),"")</x:f>
        <x:v>Japão</x:v>
      </x:c>
      <x:c r="H347" s="21" t="str">
        <x:v>Não</x:v>
      </x:c>
      <x:c r="I347" s="22"/>
      <x:c r="J347" s="22"/>
      <x:c r="K347" s="23"/>
      <x:c r="L347" s="21" t="str">
        <x:f>IFERROR(INDEX('Resultados'!$H$5:$H$108,MATCH($B347,'Resultados'!$A$5:$A$108,0)),"")</x:f>
      </x:c>
      <x:c r="M347" s="21" t="str">
        <x:f>IFERROR(INDEX('Resultados'!$I$5:$I$108,MATCH($B347,'Resultados'!$A$5:$A$108,0)),"")</x:f>
      </x:c>
      <x:c r="N347" s="21" t="str">
        <x:f>IFERROR(INDEX('Resultados'!$L$5:$L$108,MATCH($B347,'Resultados'!$A$5:$A$108,0)),"")</x:f>
      </x:c>
      <x:c r="O347" s="59" t="str">
        <x:f>IF(OR($I347="",$J347="",$L347="",$M347=""),"",IF(AND($H347="Sim",$L347=$M347),IF($I347&lt;&gt;$J347,0,IF(AND($I347=$L347,$J347=$M347),2,1)),IF(AND($I347=$L347,$J347=$M347),3,IF(AND($I347&lt;&gt;$J347,$I347=$M347,$J347=$L347),-2,IF(SIGN($I347-$J347)=SIGN($L347-$M347),1,0)))))</x:f>
      </x:c>
      <x:c r="P347" s="59" t="str">
        <x:f>IF(OR($H347&lt;&gt;"Sim",$I347="",$J347="",$L347="",$M347=""),"",IF(AND(IF($I347&gt;$J347,$F347,IF($I347&lt;$J347,$G347,$K347))&lt;&gt;"",IF($L347&gt;$M347,$F347,IF($L347&lt;$M347,$G347,$N347))&lt;&gt;"",IF($I347&gt;$J347,$F347,IF($I347&lt;$J347,$G347,$K347))=IF($L347&gt;$M347,$F347,IF($L347&lt;$M347,$G347,$N347))),1,0))</x:f>
      </x:c>
      <x:c r="Q347" s="59" t="str">
        <x:f>IF($O347="","",$O347+$P347)</x:f>
      </x:c>
      <x:c r="R347" s="59" t="str">
        <x:f>IF($Q347="","",IF($O347=3,"Cravada",IF(AND($H347="Sim",$L347=$M347,$I347=$J347,$O347=2),"Empate cravado",IF($O347=1,"Resultado certo",IF($O347=-2,"Invertida",IF($P347=1,"Acertou quem passa","Erro"))))))</x:f>
      </x:c>
      <x:c r="S347" s="59" t="str">
        <x:f>IF($O347="","",--(OR($O347=3,AND($H347="Sim",$L347=$M347,$I347=$J347,$O347=2))))</x:f>
      </x:c>
      <x:c r="T347" s="59" t="str">
        <x:f>IF($O347="","",--($O347=-2))</x:f>
      </x:c>
      <x:c r="U347" s="59" t="str">
        <x:f>IF($O347="","",--($O347=1))</x:f>
      </x:c>
      <x:c r="V347" s="59" t="n">
        <x:f>--(AND($I347&lt;&gt;"",$J347&lt;&gt;""))</x:f>
        <x:v>0</x:v>
      </x:c>
    </x:row>
    <x:row r="348">
      <x:c r="A348" s="21" t="str">
        <x:f>INDEX(Config!$B$10:$B$16,INT((ROW()-5)/104)+1)</x:f>
        <x:v>Gustavo</x:v>
      </x:c>
      <x:c r="B348" s="21" t="str">
        <x:v>GF2</x:v>
      </x:c>
      <x:c r="C348" s="21" t="n">
        <x:v>32</x:v>
      </x:c>
      <x:c r="D348" s="21" t="str">
        <x:v>Grupo F</x:v>
      </x:c>
      <x:c r="E348" s="21" t="str">
        <x:v>2026-06-14</x:v>
      </x:c>
      <x:c r="F348" s="21" t="str">
        <x:f>IFERROR(INDEX('Resultados'!$G$5:$G$108,MATCH($B348,'Resultados'!$A$5:$A$108,0)),"")</x:f>
        <x:v>Suécia</x:v>
      </x:c>
      <x:c r="G348" s="21" t="str">
        <x:f>IFERROR(INDEX('Resultados'!$J$5:$J$108,MATCH($B348,'Resultados'!$A$5:$A$108,0)),"")</x:f>
        <x:v>Tunísia</x:v>
      </x:c>
      <x:c r="H348" s="21" t="str">
        <x:v>Não</x:v>
      </x:c>
      <x:c r="I348" s="22"/>
      <x:c r="J348" s="22"/>
      <x:c r="K348" s="23"/>
      <x:c r="L348" s="21" t="str">
        <x:f>IFERROR(INDEX('Resultados'!$H$5:$H$108,MATCH($B348,'Resultados'!$A$5:$A$108,0)),"")</x:f>
      </x:c>
      <x:c r="M348" s="21" t="str">
        <x:f>IFERROR(INDEX('Resultados'!$I$5:$I$108,MATCH($B348,'Resultados'!$A$5:$A$108,0)),"")</x:f>
      </x:c>
      <x:c r="N348" s="21" t="str">
        <x:f>IFERROR(INDEX('Resultados'!$L$5:$L$108,MATCH($B348,'Resultados'!$A$5:$A$108,0)),"")</x:f>
      </x:c>
      <x:c r="O348" s="59" t="str">
        <x:f>IF(OR($I348="",$J348="",$L348="",$M348=""),"",IF(AND($H348="Sim",$L348=$M348),IF($I348&lt;&gt;$J348,0,IF(AND($I348=$L348,$J348=$M348),2,1)),IF(AND($I348=$L348,$J348=$M348),3,IF(AND($I348&lt;&gt;$J348,$I348=$M348,$J348=$L348),-2,IF(SIGN($I348-$J348)=SIGN($L348-$M348),1,0)))))</x:f>
      </x:c>
      <x:c r="P348" s="59" t="str">
        <x:f>IF(OR($H348&lt;&gt;"Sim",$I348="",$J348="",$L348="",$M348=""),"",IF(AND(IF($I348&gt;$J348,$F348,IF($I348&lt;$J348,$G348,$K348))&lt;&gt;"",IF($L348&gt;$M348,$F348,IF($L348&lt;$M348,$G348,$N348))&lt;&gt;"",IF($I348&gt;$J348,$F348,IF($I348&lt;$J348,$G348,$K348))=IF($L348&gt;$M348,$F348,IF($L348&lt;$M348,$G348,$N348))),1,0))</x:f>
      </x:c>
      <x:c r="Q348" s="59" t="str">
        <x:f>IF($O348="","",$O348+$P348)</x:f>
      </x:c>
      <x:c r="R348" s="59" t="str">
        <x:f>IF($Q348="","",IF($O348=3,"Cravada",IF(AND($H348="Sim",$L348=$M348,$I348=$J348,$O348=2),"Empate cravado",IF($O348=1,"Resultado certo",IF($O348=-2,"Invertida",IF($P348=1,"Acertou quem passa","Erro"))))))</x:f>
      </x:c>
      <x:c r="S348" s="59" t="str">
        <x:f>IF($O348="","",--(OR($O348=3,AND($H348="Sim",$L348=$M348,$I348=$J348,$O348=2))))</x:f>
      </x:c>
      <x:c r="T348" s="59" t="str">
        <x:f>IF($O348="","",--($O348=-2))</x:f>
      </x:c>
      <x:c r="U348" s="59" t="str">
        <x:f>IF($O348="","",--($O348=1))</x:f>
      </x:c>
      <x:c r="V348" s="59" t="n">
        <x:f>--(AND($I348&lt;&gt;"",$J348&lt;&gt;""))</x:f>
        <x:v>0</x:v>
      </x:c>
    </x:row>
    <x:row r="349">
      <x:c r="A349" s="21" t="str">
        <x:f>INDEX(Config!$B$10:$B$16,INT((ROW()-5)/104)+1)</x:f>
        <x:v>Gustavo</x:v>
      </x:c>
      <x:c r="B349" s="21" t="str">
        <x:v>GF3</x:v>
      </x:c>
      <x:c r="C349" s="21" t="n">
        <x:v>33</x:v>
      </x:c>
      <x:c r="D349" s="21" t="str">
        <x:v>Grupo F</x:v>
      </x:c>
      <x:c r="E349" s="21" t="str">
        <x:v>2026-06-20</x:v>
      </x:c>
      <x:c r="F349" s="21" t="str">
        <x:f>IFERROR(INDEX('Resultados'!$G$5:$G$108,MATCH($B349,'Resultados'!$A$5:$A$108,0)),"")</x:f>
        <x:v>Holanda</x:v>
      </x:c>
      <x:c r="G349" s="21" t="str">
        <x:f>IFERROR(INDEX('Resultados'!$J$5:$J$108,MATCH($B349,'Resultados'!$A$5:$A$108,0)),"")</x:f>
        <x:v>Suécia</x:v>
      </x:c>
      <x:c r="H349" s="21" t="str">
        <x:v>Não</x:v>
      </x:c>
      <x:c r="I349" s="22"/>
      <x:c r="J349" s="22"/>
      <x:c r="K349" s="23"/>
      <x:c r="L349" s="21" t="str">
        <x:f>IFERROR(INDEX('Resultados'!$H$5:$H$108,MATCH($B349,'Resultados'!$A$5:$A$108,0)),"")</x:f>
      </x:c>
      <x:c r="M349" s="21" t="str">
        <x:f>IFERROR(INDEX('Resultados'!$I$5:$I$108,MATCH($B349,'Resultados'!$A$5:$A$108,0)),"")</x:f>
      </x:c>
      <x:c r="N349" s="21" t="str">
        <x:f>IFERROR(INDEX('Resultados'!$L$5:$L$108,MATCH($B349,'Resultados'!$A$5:$A$108,0)),"")</x:f>
      </x:c>
      <x:c r="O349" s="59" t="str">
        <x:f>IF(OR($I349="",$J349="",$L349="",$M349=""),"",IF(AND($H349="Sim",$L349=$M349),IF($I349&lt;&gt;$J349,0,IF(AND($I349=$L349,$J349=$M349),2,1)),IF(AND($I349=$L349,$J349=$M349),3,IF(AND($I349&lt;&gt;$J349,$I349=$M349,$J349=$L349),-2,IF(SIGN($I349-$J349)=SIGN($L349-$M349),1,0)))))</x:f>
      </x:c>
      <x:c r="P349" s="59" t="str">
        <x:f>IF(OR($H349&lt;&gt;"Sim",$I349="",$J349="",$L349="",$M349=""),"",IF(AND(IF($I349&gt;$J349,$F349,IF($I349&lt;$J349,$G349,$K349))&lt;&gt;"",IF($L349&gt;$M349,$F349,IF($L349&lt;$M349,$G349,$N349))&lt;&gt;"",IF($I349&gt;$J349,$F349,IF($I349&lt;$J349,$G349,$K349))=IF($L349&gt;$M349,$F349,IF($L349&lt;$M349,$G349,$N349))),1,0))</x:f>
      </x:c>
      <x:c r="Q349" s="59" t="str">
        <x:f>IF($O349="","",$O349+$P349)</x:f>
      </x:c>
      <x:c r="R349" s="59" t="str">
        <x:f>IF($Q349="","",IF($O349=3,"Cravada",IF(AND($H349="Sim",$L349=$M349,$I349=$J349,$O349=2),"Empate cravado",IF($O349=1,"Resultado certo",IF($O349=-2,"Invertida",IF($P349=1,"Acertou quem passa","Erro"))))))</x:f>
      </x:c>
      <x:c r="S349" s="59" t="str">
        <x:f>IF($O349="","",--(OR($O349=3,AND($H349="Sim",$L349=$M349,$I349=$J349,$O349=2))))</x:f>
      </x:c>
      <x:c r="T349" s="59" t="str">
        <x:f>IF($O349="","",--($O349=-2))</x:f>
      </x:c>
      <x:c r="U349" s="59" t="str">
        <x:f>IF($O349="","",--($O349=1))</x:f>
      </x:c>
      <x:c r="V349" s="59" t="n">
        <x:f>--(AND($I349&lt;&gt;"",$J349&lt;&gt;""))</x:f>
        <x:v>0</x:v>
      </x:c>
    </x:row>
    <x:row r="350">
      <x:c r="A350" s="21" t="str">
        <x:f>INDEX(Config!$B$10:$B$16,INT((ROW()-5)/104)+1)</x:f>
        <x:v>Gustavo</x:v>
      </x:c>
      <x:c r="B350" s="21" t="str">
        <x:v>GF4</x:v>
      </x:c>
      <x:c r="C350" s="21" t="n">
        <x:v>34</x:v>
      </x:c>
      <x:c r="D350" s="21" t="str">
        <x:v>Grupo F</x:v>
      </x:c>
      <x:c r="E350" s="21" t="str">
        <x:v>2026-06-21</x:v>
      </x:c>
      <x:c r="F350" s="21" t="str">
        <x:f>IFERROR(INDEX('Resultados'!$G$5:$G$108,MATCH($B350,'Resultados'!$A$5:$A$108,0)),"")</x:f>
        <x:v>Japão</x:v>
      </x:c>
      <x:c r="G350" s="21" t="str">
        <x:f>IFERROR(INDEX('Resultados'!$J$5:$J$108,MATCH($B350,'Resultados'!$A$5:$A$108,0)),"")</x:f>
        <x:v>Tunísia</x:v>
      </x:c>
      <x:c r="H350" s="21" t="str">
        <x:v>Não</x:v>
      </x:c>
      <x:c r="I350" s="22"/>
      <x:c r="J350" s="22"/>
      <x:c r="K350" s="23"/>
      <x:c r="L350" s="21" t="str">
        <x:f>IFERROR(INDEX('Resultados'!$H$5:$H$108,MATCH($B350,'Resultados'!$A$5:$A$108,0)),"")</x:f>
      </x:c>
      <x:c r="M350" s="21" t="str">
        <x:f>IFERROR(INDEX('Resultados'!$I$5:$I$108,MATCH($B350,'Resultados'!$A$5:$A$108,0)),"")</x:f>
      </x:c>
      <x:c r="N350" s="21" t="str">
        <x:f>IFERROR(INDEX('Resultados'!$L$5:$L$108,MATCH($B350,'Resultados'!$A$5:$A$108,0)),"")</x:f>
      </x:c>
      <x:c r="O350" s="59" t="str">
        <x:f>IF(OR($I350="",$J350="",$L350="",$M350=""),"",IF(AND($H350="Sim",$L350=$M350),IF($I350&lt;&gt;$J350,0,IF(AND($I350=$L350,$J350=$M350),2,1)),IF(AND($I350=$L350,$J350=$M350),3,IF(AND($I350&lt;&gt;$J350,$I350=$M350,$J350=$L350),-2,IF(SIGN($I350-$J350)=SIGN($L350-$M350),1,0)))))</x:f>
      </x:c>
      <x:c r="P350" s="59" t="str">
        <x:f>IF(OR($H350&lt;&gt;"Sim",$I350="",$J350="",$L350="",$M350=""),"",IF(AND(IF($I350&gt;$J350,$F350,IF($I350&lt;$J350,$G350,$K350))&lt;&gt;"",IF($L350&gt;$M350,$F350,IF($L350&lt;$M350,$G350,$N350))&lt;&gt;"",IF($I350&gt;$J350,$F350,IF($I350&lt;$J350,$G350,$K350))=IF($L350&gt;$M350,$F350,IF($L350&lt;$M350,$G350,$N350))),1,0))</x:f>
      </x:c>
      <x:c r="Q350" s="59" t="str">
        <x:f>IF($O350="","",$O350+$P350)</x:f>
      </x:c>
      <x:c r="R350" s="59" t="str">
        <x:f>IF($Q350="","",IF($O350=3,"Cravada",IF(AND($H350="Sim",$L350=$M350,$I350=$J350,$O350=2),"Empate cravado",IF($O350=1,"Resultado certo",IF($O350=-2,"Invertida",IF($P350=1,"Acertou quem passa","Erro"))))))</x:f>
      </x:c>
      <x:c r="S350" s="59" t="str">
        <x:f>IF($O350="","",--(OR($O350=3,AND($H350="Sim",$L350=$M350,$I350=$J350,$O350=2))))</x:f>
      </x:c>
      <x:c r="T350" s="59" t="str">
        <x:f>IF($O350="","",--($O350=-2))</x:f>
      </x:c>
      <x:c r="U350" s="59" t="str">
        <x:f>IF($O350="","",--($O350=1))</x:f>
      </x:c>
      <x:c r="V350" s="59" t="n">
        <x:f>--(AND($I350&lt;&gt;"",$J350&lt;&gt;""))</x:f>
        <x:v>0</x:v>
      </x:c>
    </x:row>
    <x:row r="351">
      <x:c r="A351" s="21" t="str">
        <x:f>INDEX(Config!$B$10:$B$16,INT((ROW()-5)/104)+1)</x:f>
        <x:v>Gustavo</x:v>
      </x:c>
      <x:c r="B351" s="21" t="str">
        <x:v>GF5</x:v>
      </x:c>
      <x:c r="C351" s="21" t="n">
        <x:v>35</x:v>
      </x:c>
      <x:c r="D351" s="21" t="str">
        <x:v>Grupo F</x:v>
      </x:c>
      <x:c r="E351" s="21" t="str">
        <x:v>2026-06-25</x:v>
      </x:c>
      <x:c r="F351" s="21" t="str">
        <x:f>IFERROR(INDEX('Resultados'!$G$5:$G$108,MATCH($B351,'Resultados'!$A$5:$A$108,0)),"")</x:f>
        <x:v>Holanda</x:v>
      </x:c>
      <x:c r="G351" s="21" t="str">
        <x:f>IFERROR(INDEX('Resultados'!$J$5:$J$108,MATCH($B351,'Resultados'!$A$5:$A$108,0)),"")</x:f>
        <x:v>Tunísia</x:v>
      </x:c>
      <x:c r="H351" s="21" t="str">
        <x:v>Não</x:v>
      </x:c>
      <x:c r="I351" s="22"/>
      <x:c r="J351" s="22"/>
      <x:c r="K351" s="23"/>
      <x:c r="L351" s="21" t="str">
        <x:f>IFERROR(INDEX('Resultados'!$H$5:$H$108,MATCH($B351,'Resultados'!$A$5:$A$108,0)),"")</x:f>
      </x:c>
      <x:c r="M351" s="21" t="str">
        <x:f>IFERROR(INDEX('Resultados'!$I$5:$I$108,MATCH($B351,'Resultados'!$A$5:$A$108,0)),"")</x:f>
      </x:c>
      <x:c r="N351" s="21" t="str">
        <x:f>IFERROR(INDEX('Resultados'!$L$5:$L$108,MATCH($B351,'Resultados'!$A$5:$A$108,0)),"")</x:f>
      </x:c>
      <x:c r="O351" s="59" t="str">
        <x:f>IF(OR($I351="",$J351="",$L351="",$M351=""),"",IF(AND($H351="Sim",$L351=$M351),IF($I351&lt;&gt;$J351,0,IF(AND($I351=$L351,$J351=$M351),2,1)),IF(AND($I351=$L351,$J351=$M351),3,IF(AND($I351&lt;&gt;$J351,$I351=$M351,$J351=$L351),-2,IF(SIGN($I351-$J351)=SIGN($L351-$M351),1,0)))))</x:f>
      </x:c>
      <x:c r="P351" s="59" t="str">
        <x:f>IF(OR($H351&lt;&gt;"Sim",$I351="",$J351="",$L351="",$M351=""),"",IF(AND(IF($I351&gt;$J351,$F351,IF($I351&lt;$J351,$G351,$K351))&lt;&gt;"",IF($L351&gt;$M351,$F351,IF($L351&lt;$M351,$G351,$N351))&lt;&gt;"",IF($I351&gt;$J351,$F351,IF($I351&lt;$J351,$G351,$K351))=IF($L351&gt;$M351,$F351,IF($L351&lt;$M351,$G351,$N351))),1,0))</x:f>
      </x:c>
      <x:c r="Q351" s="59" t="str">
        <x:f>IF($O351="","",$O351+$P351)</x:f>
      </x:c>
      <x:c r="R351" s="59" t="str">
        <x:f>IF($Q351="","",IF($O351=3,"Cravada",IF(AND($H351="Sim",$L351=$M351,$I351=$J351,$O351=2),"Empate cravado",IF($O351=1,"Resultado certo",IF($O351=-2,"Invertida",IF($P351=1,"Acertou quem passa","Erro"))))))</x:f>
      </x:c>
      <x:c r="S351" s="59" t="str">
        <x:f>IF($O351="","",--(OR($O351=3,AND($H351="Sim",$L351=$M351,$I351=$J351,$O351=2))))</x:f>
      </x:c>
      <x:c r="T351" s="59" t="str">
        <x:f>IF($O351="","",--($O351=-2))</x:f>
      </x:c>
      <x:c r="U351" s="59" t="str">
        <x:f>IF($O351="","",--($O351=1))</x:f>
      </x:c>
      <x:c r="V351" s="59" t="n">
        <x:f>--(AND($I351&lt;&gt;"",$J351&lt;&gt;""))</x:f>
        <x:v>0</x:v>
      </x:c>
    </x:row>
    <x:row r="352">
      <x:c r="A352" s="21" t="str">
        <x:f>INDEX(Config!$B$10:$B$16,INT((ROW()-5)/104)+1)</x:f>
        <x:v>Gustavo</x:v>
      </x:c>
      <x:c r="B352" s="21" t="str">
        <x:v>GF6</x:v>
      </x:c>
      <x:c r="C352" s="21" t="n">
        <x:v>36</x:v>
      </x:c>
      <x:c r="D352" s="21" t="str">
        <x:v>Grupo F</x:v>
      </x:c>
      <x:c r="E352" s="21" t="str">
        <x:v>2026-06-25</x:v>
      </x:c>
      <x:c r="F352" s="21" t="str">
        <x:f>IFERROR(INDEX('Resultados'!$G$5:$G$108,MATCH($B352,'Resultados'!$A$5:$A$108,0)),"")</x:f>
        <x:v>Japão</x:v>
      </x:c>
      <x:c r="G352" s="21" t="str">
        <x:f>IFERROR(INDEX('Resultados'!$J$5:$J$108,MATCH($B352,'Resultados'!$A$5:$A$108,0)),"")</x:f>
        <x:v>Suécia</x:v>
      </x:c>
      <x:c r="H352" s="21" t="str">
        <x:v>Não</x:v>
      </x:c>
      <x:c r="I352" s="22"/>
      <x:c r="J352" s="22"/>
      <x:c r="K352" s="23"/>
      <x:c r="L352" s="21" t="str">
        <x:f>IFERROR(INDEX('Resultados'!$H$5:$H$108,MATCH($B352,'Resultados'!$A$5:$A$108,0)),"")</x:f>
      </x:c>
      <x:c r="M352" s="21" t="str">
        <x:f>IFERROR(INDEX('Resultados'!$I$5:$I$108,MATCH($B352,'Resultados'!$A$5:$A$108,0)),"")</x:f>
      </x:c>
      <x:c r="N352" s="21" t="str">
        <x:f>IFERROR(INDEX('Resultados'!$L$5:$L$108,MATCH($B352,'Resultados'!$A$5:$A$108,0)),"")</x:f>
      </x:c>
      <x:c r="O352" s="59" t="str">
        <x:f>IF(OR($I352="",$J352="",$L352="",$M352=""),"",IF(AND($H352="Sim",$L352=$M352),IF($I352&lt;&gt;$J352,0,IF(AND($I352=$L352,$J352=$M352),2,1)),IF(AND($I352=$L352,$J352=$M352),3,IF(AND($I352&lt;&gt;$J352,$I352=$M352,$J352=$L352),-2,IF(SIGN($I352-$J352)=SIGN($L352-$M352),1,0)))))</x:f>
      </x:c>
      <x:c r="P352" s="59" t="str">
        <x:f>IF(OR($H352&lt;&gt;"Sim",$I352="",$J352="",$L352="",$M352=""),"",IF(AND(IF($I352&gt;$J352,$F352,IF($I352&lt;$J352,$G352,$K352))&lt;&gt;"",IF($L352&gt;$M352,$F352,IF($L352&lt;$M352,$G352,$N352))&lt;&gt;"",IF($I352&gt;$J352,$F352,IF($I352&lt;$J352,$G352,$K352))=IF($L352&gt;$M352,$F352,IF($L352&lt;$M352,$G352,$N352))),1,0))</x:f>
      </x:c>
      <x:c r="Q352" s="59" t="str">
        <x:f>IF($O352="","",$O352+$P352)</x:f>
      </x:c>
      <x:c r="R352" s="59" t="str">
        <x:f>IF($Q352="","",IF($O352=3,"Cravada",IF(AND($H352="Sim",$L352=$M352,$I352=$J352,$O352=2),"Empate cravado",IF($O352=1,"Resultado certo",IF($O352=-2,"Invertida",IF($P352=1,"Acertou quem passa","Erro"))))))</x:f>
      </x:c>
      <x:c r="S352" s="59" t="str">
        <x:f>IF($O352="","",--(OR($O352=3,AND($H352="Sim",$L352=$M352,$I352=$J352,$O352=2))))</x:f>
      </x:c>
      <x:c r="T352" s="59" t="str">
        <x:f>IF($O352="","",--($O352=-2))</x:f>
      </x:c>
      <x:c r="U352" s="59" t="str">
        <x:f>IF($O352="","",--($O352=1))</x:f>
      </x:c>
      <x:c r="V352" s="59" t="n">
        <x:f>--(AND($I352&lt;&gt;"",$J352&lt;&gt;""))</x:f>
        <x:v>0</x:v>
      </x:c>
    </x:row>
    <x:row r="353">
      <x:c r="A353" s="21" t="str">
        <x:f>INDEX(Config!$B$10:$B$16,INT((ROW()-5)/104)+1)</x:f>
        <x:v>Gustavo</x:v>
      </x:c>
      <x:c r="B353" s="21" t="str">
        <x:v>GG1</x:v>
      </x:c>
      <x:c r="C353" s="21" t="n">
        <x:v>37</x:v>
      </x:c>
      <x:c r="D353" s="21" t="str">
        <x:v>Grupo G</x:v>
      </x:c>
      <x:c r="E353" s="21" t="str">
        <x:v>2026-06-15</x:v>
      </x:c>
      <x:c r="F353" s="21" t="str">
        <x:f>IFERROR(INDEX('Resultados'!$G$5:$G$108,MATCH($B353,'Resultados'!$A$5:$A$108,0)),"")</x:f>
        <x:v>Bélgica</x:v>
      </x:c>
      <x:c r="G353" s="21" t="str">
        <x:f>IFERROR(INDEX('Resultados'!$J$5:$J$108,MATCH($B353,'Resultados'!$A$5:$A$108,0)),"")</x:f>
        <x:v>Egito</x:v>
      </x:c>
      <x:c r="H353" s="21" t="str">
        <x:v>Não</x:v>
      </x:c>
      <x:c r="I353" s="22"/>
      <x:c r="J353" s="22"/>
      <x:c r="K353" s="23"/>
      <x:c r="L353" s="21" t="str">
        <x:f>IFERROR(INDEX('Resultados'!$H$5:$H$108,MATCH($B353,'Resultados'!$A$5:$A$108,0)),"")</x:f>
      </x:c>
      <x:c r="M353" s="21" t="str">
        <x:f>IFERROR(INDEX('Resultados'!$I$5:$I$108,MATCH($B353,'Resultados'!$A$5:$A$108,0)),"")</x:f>
      </x:c>
      <x:c r="N353" s="21" t="str">
        <x:f>IFERROR(INDEX('Resultados'!$L$5:$L$108,MATCH($B353,'Resultados'!$A$5:$A$108,0)),"")</x:f>
      </x:c>
      <x:c r="O353" s="59" t="str">
        <x:f>IF(OR($I353="",$J353="",$L353="",$M353=""),"",IF(AND($H353="Sim",$L353=$M353),IF($I353&lt;&gt;$J353,0,IF(AND($I353=$L353,$J353=$M353),2,1)),IF(AND($I353=$L353,$J353=$M353),3,IF(AND($I353&lt;&gt;$J353,$I353=$M353,$J353=$L353),-2,IF(SIGN($I353-$J353)=SIGN($L353-$M353),1,0)))))</x:f>
      </x:c>
      <x:c r="P353" s="59" t="str">
        <x:f>IF(OR($H353&lt;&gt;"Sim",$I353="",$J353="",$L353="",$M353=""),"",IF(AND(IF($I353&gt;$J353,$F353,IF($I353&lt;$J353,$G353,$K353))&lt;&gt;"",IF($L353&gt;$M353,$F353,IF($L353&lt;$M353,$G353,$N353))&lt;&gt;"",IF($I353&gt;$J353,$F353,IF($I353&lt;$J353,$G353,$K353))=IF($L353&gt;$M353,$F353,IF($L353&lt;$M353,$G353,$N353))),1,0))</x:f>
      </x:c>
      <x:c r="Q353" s="59" t="str">
        <x:f>IF($O353="","",$O353+$P353)</x:f>
      </x:c>
      <x:c r="R353" s="59" t="str">
        <x:f>IF($Q353="","",IF($O353=3,"Cravada",IF(AND($H353="Sim",$L353=$M353,$I353=$J353,$O353=2),"Empate cravado",IF($O353=1,"Resultado certo",IF($O353=-2,"Invertida",IF($P353=1,"Acertou quem passa","Erro"))))))</x:f>
      </x:c>
      <x:c r="S353" s="59" t="str">
        <x:f>IF($O353="","",--(OR($O353=3,AND($H353="Sim",$L353=$M353,$I353=$J353,$O353=2))))</x:f>
      </x:c>
      <x:c r="T353" s="59" t="str">
        <x:f>IF($O353="","",--($O353=-2))</x:f>
      </x:c>
      <x:c r="U353" s="59" t="str">
        <x:f>IF($O353="","",--($O353=1))</x:f>
      </x:c>
      <x:c r="V353" s="59" t="n">
        <x:f>--(AND($I353&lt;&gt;"",$J353&lt;&gt;""))</x:f>
        <x:v>0</x:v>
      </x:c>
    </x:row>
    <x:row r="354">
      <x:c r="A354" s="21" t="str">
        <x:f>INDEX(Config!$B$10:$B$16,INT((ROW()-5)/104)+1)</x:f>
        <x:v>Gustavo</x:v>
      </x:c>
      <x:c r="B354" s="21" t="str">
        <x:v>GG2</x:v>
      </x:c>
      <x:c r="C354" s="21" t="n">
        <x:v>38</x:v>
      </x:c>
      <x:c r="D354" s="21" t="str">
        <x:v>Grupo G</x:v>
      </x:c>
      <x:c r="E354" s="21" t="str">
        <x:v>2026-06-15</x:v>
      </x:c>
      <x:c r="F354" s="21" t="str">
        <x:f>IFERROR(INDEX('Resultados'!$G$5:$G$108,MATCH($B354,'Resultados'!$A$5:$A$108,0)),"")</x:f>
        <x:v>Irã</x:v>
      </x:c>
      <x:c r="G354" s="21" t="str">
        <x:f>IFERROR(INDEX('Resultados'!$J$5:$J$108,MATCH($B354,'Resultados'!$A$5:$A$108,0)),"")</x:f>
        <x:v>Nova Zelândia</x:v>
      </x:c>
      <x:c r="H354" s="21" t="str">
        <x:v>Não</x:v>
      </x:c>
      <x:c r="I354" s="22"/>
      <x:c r="J354" s="22"/>
      <x:c r="K354" s="23"/>
      <x:c r="L354" s="21" t="str">
        <x:f>IFERROR(INDEX('Resultados'!$H$5:$H$108,MATCH($B354,'Resultados'!$A$5:$A$108,0)),"")</x:f>
      </x:c>
      <x:c r="M354" s="21" t="str">
        <x:f>IFERROR(INDEX('Resultados'!$I$5:$I$108,MATCH($B354,'Resultados'!$A$5:$A$108,0)),"")</x:f>
      </x:c>
      <x:c r="N354" s="21" t="str">
        <x:f>IFERROR(INDEX('Resultados'!$L$5:$L$108,MATCH($B354,'Resultados'!$A$5:$A$108,0)),"")</x:f>
      </x:c>
      <x:c r="O354" s="59" t="str">
        <x:f>IF(OR($I354="",$J354="",$L354="",$M354=""),"",IF(AND($H354="Sim",$L354=$M354),IF($I354&lt;&gt;$J354,0,IF(AND($I354=$L354,$J354=$M354),2,1)),IF(AND($I354=$L354,$J354=$M354),3,IF(AND($I354&lt;&gt;$J354,$I354=$M354,$J354=$L354),-2,IF(SIGN($I354-$J354)=SIGN($L354-$M354),1,0)))))</x:f>
      </x:c>
      <x:c r="P354" s="59" t="str">
        <x:f>IF(OR($H354&lt;&gt;"Sim",$I354="",$J354="",$L354="",$M354=""),"",IF(AND(IF($I354&gt;$J354,$F354,IF($I354&lt;$J354,$G354,$K354))&lt;&gt;"",IF($L354&gt;$M354,$F354,IF($L354&lt;$M354,$G354,$N354))&lt;&gt;"",IF($I354&gt;$J354,$F354,IF($I354&lt;$J354,$G354,$K354))=IF($L354&gt;$M354,$F354,IF($L354&lt;$M354,$G354,$N354))),1,0))</x:f>
      </x:c>
      <x:c r="Q354" s="59" t="str">
        <x:f>IF($O354="","",$O354+$P354)</x:f>
      </x:c>
      <x:c r="R354" s="59" t="str">
        <x:f>IF($Q354="","",IF($O354=3,"Cravada",IF(AND($H354="Sim",$L354=$M354,$I354=$J354,$O354=2),"Empate cravado",IF($O354=1,"Resultado certo",IF($O354=-2,"Invertida",IF($P354=1,"Acertou quem passa","Erro"))))))</x:f>
      </x:c>
      <x:c r="S354" s="59" t="str">
        <x:f>IF($O354="","",--(OR($O354=3,AND($H354="Sim",$L354=$M354,$I354=$J354,$O354=2))))</x:f>
      </x:c>
      <x:c r="T354" s="59" t="str">
        <x:f>IF($O354="","",--($O354=-2))</x:f>
      </x:c>
      <x:c r="U354" s="59" t="str">
        <x:f>IF($O354="","",--($O354=1))</x:f>
      </x:c>
      <x:c r="V354" s="59" t="n">
        <x:f>--(AND($I354&lt;&gt;"",$J354&lt;&gt;""))</x:f>
        <x:v>0</x:v>
      </x:c>
    </x:row>
    <x:row r="355">
      <x:c r="A355" s="21" t="str">
        <x:f>INDEX(Config!$B$10:$B$16,INT((ROW()-5)/104)+1)</x:f>
        <x:v>Gustavo</x:v>
      </x:c>
      <x:c r="B355" s="21" t="str">
        <x:v>GG3</x:v>
      </x:c>
      <x:c r="C355" s="21" t="n">
        <x:v>39</x:v>
      </x:c>
      <x:c r="D355" s="21" t="str">
        <x:v>Grupo G</x:v>
      </x:c>
      <x:c r="E355" s="21" t="str">
        <x:v>2026-06-21</x:v>
      </x:c>
      <x:c r="F355" s="21" t="str">
        <x:f>IFERROR(INDEX('Resultados'!$G$5:$G$108,MATCH($B355,'Resultados'!$A$5:$A$108,0)),"")</x:f>
        <x:v>Bélgica</x:v>
      </x:c>
      <x:c r="G355" s="21" t="str">
        <x:f>IFERROR(INDEX('Resultados'!$J$5:$J$108,MATCH($B355,'Resultados'!$A$5:$A$108,0)),"")</x:f>
        <x:v>Irã</x:v>
      </x:c>
      <x:c r="H355" s="21" t="str">
        <x:v>Não</x:v>
      </x:c>
      <x:c r="I355" s="22"/>
      <x:c r="J355" s="22"/>
      <x:c r="K355" s="23"/>
      <x:c r="L355" s="21" t="str">
        <x:f>IFERROR(INDEX('Resultados'!$H$5:$H$108,MATCH($B355,'Resultados'!$A$5:$A$108,0)),"")</x:f>
      </x:c>
      <x:c r="M355" s="21" t="str">
        <x:f>IFERROR(INDEX('Resultados'!$I$5:$I$108,MATCH($B355,'Resultados'!$A$5:$A$108,0)),"")</x:f>
      </x:c>
      <x:c r="N355" s="21" t="str">
        <x:f>IFERROR(INDEX('Resultados'!$L$5:$L$108,MATCH($B355,'Resultados'!$A$5:$A$108,0)),"")</x:f>
      </x:c>
      <x:c r="O355" s="59" t="str">
        <x:f>IF(OR($I355="",$J355="",$L355="",$M355=""),"",IF(AND($H355="Sim",$L355=$M355),IF($I355&lt;&gt;$J355,0,IF(AND($I355=$L355,$J355=$M355),2,1)),IF(AND($I355=$L355,$J355=$M355),3,IF(AND($I355&lt;&gt;$J355,$I355=$M355,$J355=$L355),-2,IF(SIGN($I355-$J355)=SIGN($L355-$M355),1,0)))))</x:f>
      </x:c>
      <x:c r="P355" s="59" t="str">
        <x:f>IF(OR($H355&lt;&gt;"Sim",$I355="",$J355="",$L355="",$M355=""),"",IF(AND(IF($I355&gt;$J355,$F355,IF($I355&lt;$J355,$G355,$K355))&lt;&gt;"",IF($L355&gt;$M355,$F355,IF($L355&lt;$M355,$G355,$N355))&lt;&gt;"",IF($I355&gt;$J355,$F355,IF($I355&lt;$J355,$G355,$K355))=IF($L355&gt;$M355,$F355,IF($L355&lt;$M355,$G355,$N355))),1,0))</x:f>
      </x:c>
      <x:c r="Q355" s="59" t="str">
        <x:f>IF($O355="","",$O355+$P355)</x:f>
      </x:c>
      <x:c r="R355" s="59" t="str">
        <x:f>IF($Q355="","",IF($O355=3,"Cravada",IF(AND($H355="Sim",$L355=$M355,$I355=$J355,$O355=2),"Empate cravado",IF($O355=1,"Resultado certo",IF($O355=-2,"Invertida",IF($P355=1,"Acertou quem passa","Erro"))))))</x:f>
      </x:c>
      <x:c r="S355" s="59" t="str">
        <x:f>IF($O355="","",--(OR($O355=3,AND($H355="Sim",$L355=$M355,$I355=$J355,$O355=2))))</x:f>
      </x:c>
      <x:c r="T355" s="59" t="str">
        <x:f>IF($O355="","",--($O355=-2))</x:f>
      </x:c>
      <x:c r="U355" s="59" t="str">
        <x:f>IF($O355="","",--($O355=1))</x:f>
      </x:c>
      <x:c r="V355" s="59" t="n">
        <x:f>--(AND($I355&lt;&gt;"",$J355&lt;&gt;""))</x:f>
        <x:v>0</x:v>
      </x:c>
    </x:row>
    <x:row r="356">
      <x:c r="A356" s="21" t="str">
        <x:f>INDEX(Config!$B$10:$B$16,INT((ROW()-5)/104)+1)</x:f>
        <x:v>Gustavo</x:v>
      </x:c>
      <x:c r="B356" s="21" t="str">
        <x:v>GG4</x:v>
      </x:c>
      <x:c r="C356" s="21" t="n">
        <x:v>40</x:v>
      </x:c>
      <x:c r="D356" s="21" t="str">
        <x:v>Grupo G</x:v>
      </x:c>
      <x:c r="E356" s="21" t="str">
        <x:v>2026-06-21</x:v>
      </x:c>
      <x:c r="F356" s="21" t="str">
        <x:f>IFERROR(INDEX('Resultados'!$G$5:$G$108,MATCH($B356,'Resultados'!$A$5:$A$108,0)),"")</x:f>
        <x:v>Egito</x:v>
      </x:c>
      <x:c r="G356" s="21" t="str">
        <x:f>IFERROR(INDEX('Resultados'!$J$5:$J$108,MATCH($B356,'Resultados'!$A$5:$A$108,0)),"")</x:f>
        <x:v>Nova Zelândia</x:v>
      </x:c>
      <x:c r="H356" s="21" t="str">
        <x:v>Não</x:v>
      </x:c>
      <x:c r="I356" s="22"/>
      <x:c r="J356" s="22"/>
      <x:c r="K356" s="23"/>
      <x:c r="L356" s="21" t="str">
        <x:f>IFERROR(INDEX('Resultados'!$H$5:$H$108,MATCH($B356,'Resultados'!$A$5:$A$108,0)),"")</x:f>
      </x:c>
      <x:c r="M356" s="21" t="str">
        <x:f>IFERROR(INDEX('Resultados'!$I$5:$I$108,MATCH($B356,'Resultados'!$A$5:$A$108,0)),"")</x:f>
      </x:c>
      <x:c r="N356" s="21" t="str">
        <x:f>IFERROR(INDEX('Resultados'!$L$5:$L$108,MATCH($B356,'Resultados'!$A$5:$A$108,0)),"")</x:f>
      </x:c>
      <x:c r="O356" s="59" t="str">
        <x:f>IF(OR($I356="",$J356="",$L356="",$M356=""),"",IF(AND($H356="Sim",$L356=$M356),IF($I356&lt;&gt;$J356,0,IF(AND($I356=$L356,$J356=$M356),2,1)),IF(AND($I356=$L356,$J356=$M356),3,IF(AND($I356&lt;&gt;$J356,$I356=$M356,$J356=$L356),-2,IF(SIGN($I356-$J356)=SIGN($L356-$M356),1,0)))))</x:f>
      </x:c>
      <x:c r="P356" s="59" t="str">
        <x:f>IF(OR($H356&lt;&gt;"Sim",$I356="",$J356="",$L356="",$M356=""),"",IF(AND(IF($I356&gt;$J356,$F356,IF($I356&lt;$J356,$G356,$K356))&lt;&gt;"",IF($L356&gt;$M356,$F356,IF($L356&lt;$M356,$G356,$N356))&lt;&gt;"",IF($I356&gt;$J356,$F356,IF($I356&lt;$J356,$G356,$K356))=IF($L356&gt;$M356,$F356,IF($L356&lt;$M356,$G356,$N356))),1,0))</x:f>
      </x:c>
      <x:c r="Q356" s="59" t="str">
        <x:f>IF($O356="","",$O356+$P356)</x:f>
      </x:c>
      <x:c r="R356" s="59" t="str">
        <x:f>IF($Q356="","",IF($O356=3,"Cravada",IF(AND($H356="Sim",$L356=$M356,$I356=$J356,$O356=2),"Empate cravado",IF($O356=1,"Resultado certo",IF($O356=-2,"Invertida",IF($P356=1,"Acertou quem passa","Erro"))))))</x:f>
      </x:c>
      <x:c r="S356" s="59" t="str">
        <x:f>IF($O356="","",--(OR($O356=3,AND($H356="Sim",$L356=$M356,$I356=$J356,$O356=2))))</x:f>
      </x:c>
      <x:c r="T356" s="59" t="str">
        <x:f>IF($O356="","",--($O356=-2))</x:f>
      </x:c>
      <x:c r="U356" s="59" t="str">
        <x:f>IF($O356="","",--($O356=1))</x:f>
      </x:c>
      <x:c r="V356" s="59" t="n">
        <x:f>--(AND($I356&lt;&gt;"",$J356&lt;&gt;""))</x:f>
        <x:v>0</x:v>
      </x:c>
    </x:row>
    <x:row r="357">
      <x:c r="A357" s="21" t="str">
        <x:f>INDEX(Config!$B$10:$B$16,INT((ROW()-5)/104)+1)</x:f>
        <x:v>Gustavo</x:v>
      </x:c>
      <x:c r="B357" s="21" t="str">
        <x:v>GG5</x:v>
      </x:c>
      <x:c r="C357" s="21" t="n">
        <x:v>41</x:v>
      </x:c>
      <x:c r="D357" s="21" t="str">
        <x:v>Grupo G</x:v>
      </x:c>
      <x:c r="E357" s="21" t="str">
        <x:v>2026-06-27</x:v>
      </x:c>
      <x:c r="F357" s="21" t="str">
        <x:f>IFERROR(INDEX('Resultados'!$G$5:$G$108,MATCH($B357,'Resultados'!$A$5:$A$108,0)),"")</x:f>
        <x:v>Bélgica</x:v>
      </x:c>
      <x:c r="G357" s="21" t="str">
        <x:f>IFERROR(INDEX('Resultados'!$J$5:$J$108,MATCH($B357,'Resultados'!$A$5:$A$108,0)),"")</x:f>
        <x:v>Nova Zelândia</x:v>
      </x:c>
      <x:c r="H357" s="21" t="str">
        <x:v>Não</x:v>
      </x:c>
      <x:c r="I357" s="22"/>
      <x:c r="J357" s="22"/>
      <x:c r="K357" s="23"/>
      <x:c r="L357" s="21" t="str">
        <x:f>IFERROR(INDEX('Resultados'!$H$5:$H$108,MATCH($B357,'Resultados'!$A$5:$A$108,0)),"")</x:f>
      </x:c>
      <x:c r="M357" s="21" t="str">
        <x:f>IFERROR(INDEX('Resultados'!$I$5:$I$108,MATCH($B357,'Resultados'!$A$5:$A$108,0)),"")</x:f>
      </x:c>
      <x:c r="N357" s="21" t="str">
        <x:f>IFERROR(INDEX('Resultados'!$L$5:$L$108,MATCH($B357,'Resultados'!$A$5:$A$108,0)),"")</x:f>
      </x:c>
      <x:c r="O357" s="59" t="str">
        <x:f>IF(OR($I357="",$J357="",$L357="",$M357=""),"",IF(AND($H357="Sim",$L357=$M357),IF($I357&lt;&gt;$J357,0,IF(AND($I357=$L357,$J357=$M357),2,1)),IF(AND($I357=$L357,$J357=$M357),3,IF(AND($I357&lt;&gt;$J357,$I357=$M357,$J357=$L357),-2,IF(SIGN($I357-$J357)=SIGN($L357-$M357),1,0)))))</x:f>
      </x:c>
      <x:c r="P357" s="59" t="str">
        <x:f>IF(OR($H357&lt;&gt;"Sim",$I357="",$J357="",$L357="",$M357=""),"",IF(AND(IF($I357&gt;$J357,$F357,IF($I357&lt;$J357,$G357,$K357))&lt;&gt;"",IF($L357&gt;$M357,$F357,IF($L357&lt;$M357,$G357,$N357))&lt;&gt;"",IF($I357&gt;$J357,$F357,IF($I357&lt;$J357,$G357,$K357))=IF($L357&gt;$M357,$F357,IF($L357&lt;$M357,$G357,$N357))),1,0))</x:f>
      </x:c>
      <x:c r="Q357" s="59" t="str">
        <x:f>IF($O357="","",$O357+$P357)</x:f>
      </x:c>
      <x:c r="R357" s="59" t="str">
        <x:f>IF($Q357="","",IF($O357=3,"Cravada",IF(AND($H357="Sim",$L357=$M357,$I357=$J357,$O357=2),"Empate cravado",IF($O357=1,"Resultado certo",IF($O357=-2,"Invertida",IF($P357=1,"Acertou quem passa","Erro"))))))</x:f>
      </x:c>
      <x:c r="S357" s="59" t="str">
        <x:f>IF($O357="","",--(OR($O357=3,AND($H357="Sim",$L357=$M357,$I357=$J357,$O357=2))))</x:f>
      </x:c>
      <x:c r="T357" s="59" t="str">
        <x:f>IF($O357="","",--($O357=-2))</x:f>
      </x:c>
      <x:c r="U357" s="59" t="str">
        <x:f>IF($O357="","",--($O357=1))</x:f>
      </x:c>
      <x:c r="V357" s="59" t="n">
        <x:f>--(AND($I357&lt;&gt;"",$J357&lt;&gt;""))</x:f>
        <x:v>0</x:v>
      </x:c>
    </x:row>
    <x:row r="358">
      <x:c r="A358" s="21" t="str">
        <x:f>INDEX(Config!$B$10:$B$16,INT((ROW()-5)/104)+1)</x:f>
        <x:v>Gustavo</x:v>
      </x:c>
      <x:c r="B358" s="21" t="str">
        <x:v>GG6</x:v>
      </x:c>
      <x:c r="C358" s="21" t="n">
        <x:v>42</x:v>
      </x:c>
      <x:c r="D358" s="21" t="str">
        <x:v>Grupo G</x:v>
      </x:c>
      <x:c r="E358" s="21" t="str">
        <x:v>2026-06-27</x:v>
      </x:c>
      <x:c r="F358" s="21" t="str">
        <x:f>IFERROR(INDEX('Resultados'!$G$5:$G$108,MATCH($B358,'Resultados'!$A$5:$A$108,0)),"")</x:f>
        <x:v>Egito</x:v>
      </x:c>
      <x:c r="G358" s="21" t="str">
        <x:f>IFERROR(INDEX('Resultados'!$J$5:$J$108,MATCH($B358,'Resultados'!$A$5:$A$108,0)),"")</x:f>
        <x:v>Irã</x:v>
      </x:c>
      <x:c r="H358" s="21" t="str">
        <x:v>Não</x:v>
      </x:c>
      <x:c r="I358" s="22"/>
      <x:c r="J358" s="22"/>
      <x:c r="K358" s="23"/>
      <x:c r="L358" s="21" t="str">
        <x:f>IFERROR(INDEX('Resultados'!$H$5:$H$108,MATCH($B358,'Resultados'!$A$5:$A$108,0)),"")</x:f>
      </x:c>
      <x:c r="M358" s="21" t="str">
        <x:f>IFERROR(INDEX('Resultados'!$I$5:$I$108,MATCH($B358,'Resultados'!$A$5:$A$108,0)),"")</x:f>
      </x:c>
      <x:c r="N358" s="21" t="str">
        <x:f>IFERROR(INDEX('Resultados'!$L$5:$L$108,MATCH($B358,'Resultados'!$A$5:$A$108,0)),"")</x:f>
      </x:c>
      <x:c r="O358" s="59" t="str">
        <x:f>IF(OR($I358="",$J358="",$L358="",$M358=""),"",IF(AND($H358="Sim",$L358=$M358),IF($I358&lt;&gt;$J358,0,IF(AND($I358=$L358,$J358=$M358),2,1)),IF(AND($I358=$L358,$J358=$M358),3,IF(AND($I358&lt;&gt;$J358,$I358=$M358,$J358=$L358),-2,IF(SIGN($I358-$J358)=SIGN($L358-$M358),1,0)))))</x:f>
      </x:c>
      <x:c r="P358" s="59" t="str">
        <x:f>IF(OR($H358&lt;&gt;"Sim",$I358="",$J358="",$L358="",$M358=""),"",IF(AND(IF($I358&gt;$J358,$F358,IF($I358&lt;$J358,$G358,$K358))&lt;&gt;"",IF($L358&gt;$M358,$F358,IF($L358&lt;$M358,$G358,$N358))&lt;&gt;"",IF($I358&gt;$J358,$F358,IF($I358&lt;$J358,$G358,$K358))=IF($L358&gt;$M358,$F358,IF($L358&lt;$M358,$G358,$N358))),1,0))</x:f>
      </x:c>
      <x:c r="Q358" s="59" t="str">
        <x:f>IF($O358="","",$O358+$P358)</x:f>
      </x:c>
      <x:c r="R358" s="59" t="str">
        <x:f>IF($Q358="","",IF($O358=3,"Cravada",IF(AND($H358="Sim",$L358=$M358,$I358=$J358,$O358=2),"Empate cravado",IF($O358=1,"Resultado certo",IF($O358=-2,"Invertida",IF($P358=1,"Acertou quem passa","Erro"))))))</x:f>
      </x:c>
      <x:c r="S358" s="59" t="str">
        <x:f>IF($O358="","",--(OR($O358=3,AND($H358="Sim",$L358=$M358,$I358=$J358,$O358=2))))</x:f>
      </x:c>
      <x:c r="T358" s="59" t="str">
        <x:f>IF($O358="","",--($O358=-2))</x:f>
      </x:c>
      <x:c r="U358" s="59" t="str">
        <x:f>IF($O358="","",--($O358=1))</x:f>
      </x:c>
      <x:c r="V358" s="59" t="n">
        <x:f>--(AND($I358&lt;&gt;"",$J358&lt;&gt;""))</x:f>
        <x:v>0</x:v>
      </x:c>
    </x:row>
    <x:row r="359">
      <x:c r="A359" s="21" t="str">
        <x:f>INDEX(Config!$B$10:$B$16,INT((ROW()-5)/104)+1)</x:f>
        <x:v>Gustavo</x:v>
      </x:c>
      <x:c r="B359" s="21" t="str">
        <x:v>GH1</x:v>
      </x:c>
      <x:c r="C359" s="21" t="n">
        <x:v>43</x:v>
      </x:c>
      <x:c r="D359" s="21" t="str">
        <x:v>Grupo H</x:v>
      </x:c>
      <x:c r="E359" s="21" t="str">
        <x:v>2026-06-15</x:v>
      </x:c>
      <x:c r="F359" s="21" t="str">
        <x:f>IFERROR(INDEX('Resultados'!$G$5:$G$108,MATCH($B359,'Resultados'!$A$5:$A$108,0)),"")</x:f>
        <x:v>Espanha</x:v>
      </x:c>
      <x:c r="G359" s="21" t="str">
        <x:f>IFERROR(INDEX('Resultados'!$J$5:$J$108,MATCH($B359,'Resultados'!$A$5:$A$108,0)),"")</x:f>
        <x:v>Cabo Verde</x:v>
      </x:c>
      <x:c r="H359" s="21" t="str">
        <x:v>Não</x:v>
      </x:c>
      <x:c r="I359" s="22"/>
      <x:c r="J359" s="22"/>
      <x:c r="K359" s="23"/>
      <x:c r="L359" s="21" t="str">
        <x:f>IFERROR(INDEX('Resultados'!$H$5:$H$108,MATCH($B359,'Resultados'!$A$5:$A$108,0)),"")</x:f>
      </x:c>
      <x:c r="M359" s="21" t="str">
        <x:f>IFERROR(INDEX('Resultados'!$I$5:$I$108,MATCH($B359,'Resultados'!$A$5:$A$108,0)),"")</x:f>
      </x:c>
      <x:c r="N359" s="21" t="str">
        <x:f>IFERROR(INDEX('Resultados'!$L$5:$L$108,MATCH($B359,'Resultados'!$A$5:$A$108,0)),"")</x:f>
      </x:c>
      <x:c r="O359" s="59" t="str">
        <x:f>IF(OR($I359="",$J359="",$L359="",$M359=""),"",IF(AND($H359="Sim",$L359=$M359),IF($I359&lt;&gt;$J359,0,IF(AND($I359=$L359,$J359=$M359),2,1)),IF(AND($I359=$L359,$J359=$M359),3,IF(AND($I359&lt;&gt;$J359,$I359=$M359,$J359=$L359),-2,IF(SIGN($I359-$J359)=SIGN($L359-$M359),1,0)))))</x:f>
      </x:c>
      <x:c r="P359" s="59" t="str">
        <x:f>IF(OR($H359&lt;&gt;"Sim",$I359="",$J359="",$L359="",$M359=""),"",IF(AND(IF($I359&gt;$J359,$F359,IF($I359&lt;$J359,$G359,$K359))&lt;&gt;"",IF($L359&gt;$M359,$F359,IF($L359&lt;$M359,$G359,$N359))&lt;&gt;"",IF($I359&gt;$J359,$F359,IF($I359&lt;$J359,$G359,$K359))=IF($L359&gt;$M359,$F359,IF($L359&lt;$M359,$G359,$N359))),1,0))</x:f>
      </x:c>
      <x:c r="Q359" s="59" t="str">
        <x:f>IF($O359="","",$O359+$P359)</x:f>
      </x:c>
      <x:c r="R359" s="59" t="str">
        <x:f>IF($Q359="","",IF($O359=3,"Cravada",IF(AND($H359="Sim",$L359=$M359,$I359=$J359,$O359=2),"Empate cravado",IF($O359=1,"Resultado certo",IF($O359=-2,"Invertida",IF($P359=1,"Acertou quem passa","Erro"))))))</x:f>
      </x:c>
      <x:c r="S359" s="59" t="str">
        <x:f>IF($O359="","",--(OR($O359=3,AND($H359="Sim",$L359=$M359,$I359=$J359,$O359=2))))</x:f>
      </x:c>
      <x:c r="T359" s="59" t="str">
        <x:f>IF($O359="","",--($O359=-2))</x:f>
      </x:c>
      <x:c r="U359" s="59" t="str">
        <x:f>IF($O359="","",--($O359=1))</x:f>
      </x:c>
      <x:c r="V359" s="59" t="n">
        <x:f>--(AND($I359&lt;&gt;"",$J359&lt;&gt;""))</x:f>
        <x:v>0</x:v>
      </x:c>
    </x:row>
    <x:row r="360">
      <x:c r="A360" s="21" t="str">
        <x:f>INDEX(Config!$B$10:$B$16,INT((ROW()-5)/104)+1)</x:f>
        <x:v>Gustavo</x:v>
      </x:c>
      <x:c r="B360" s="21" t="str">
        <x:v>GH2</x:v>
      </x:c>
      <x:c r="C360" s="21" t="n">
        <x:v>44</x:v>
      </x:c>
      <x:c r="D360" s="21" t="str">
        <x:v>Grupo H</x:v>
      </x:c>
      <x:c r="E360" s="21" t="str">
        <x:v>2026-06-15</x:v>
      </x:c>
      <x:c r="F360" s="21" t="str">
        <x:f>IFERROR(INDEX('Resultados'!$G$5:$G$108,MATCH($B360,'Resultados'!$A$5:$A$108,0)),"")</x:f>
        <x:v>Arábia Saudita</x:v>
      </x:c>
      <x:c r="G360" s="21" t="str">
        <x:f>IFERROR(INDEX('Resultados'!$J$5:$J$108,MATCH($B360,'Resultados'!$A$5:$A$108,0)),"")</x:f>
        <x:v>Uruguai</x:v>
      </x:c>
      <x:c r="H360" s="21" t="str">
        <x:v>Não</x:v>
      </x:c>
      <x:c r="I360" s="22"/>
      <x:c r="J360" s="22"/>
      <x:c r="K360" s="23"/>
      <x:c r="L360" s="21" t="str">
        <x:f>IFERROR(INDEX('Resultados'!$H$5:$H$108,MATCH($B360,'Resultados'!$A$5:$A$108,0)),"")</x:f>
      </x:c>
      <x:c r="M360" s="21" t="str">
        <x:f>IFERROR(INDEX('Resultados'!$I$5:$I$108,MATCH($B360,'Resultados'!$A$5:$A$108,0)),"")</x:f>
      </x:c>
      <x:c r="N360" s="21" t="str">
        <x:f>IFERROR(INDEX('Resultados'!$L$5:$L$108,MATCH($B360,'Resultados'!$A$5:$A$108,0)),"")</x:f>
      </x:c>
      <x:c r="O360" s="59" t="str">
        <x:f>IF(OR($I360="",$J360="",$L360="",$M360=""),"",IF(AND($H360="Sim",$L360=$M360),IF($I360&lt;&gt;$J360,0,IF(AND($I360=$L360,$J360=$M360),2,1)),IF(AND($I360=$L360,$J360=$M360),3,IF(AND($I360&lt;&gt;$J360,$I360=$M360,$J360=$L360),-2,IF(SIGN($I360-$J360)=SIGN($L360-$M360),1,0)))))</x:f>
      </x:c>
      <x:c r="P360" s="59" t="str">
        <x:f>IF(OR($H360&lt;&gt;"Sim",$I360="",$J360="",$L360="",$M360=""),"",IF(AND(IF($I360&gt;$J360,$F360,IF($I360&lt;$J360,$G360,$K360))&lt;&gt;"",IF($L360&gt;$M360,$F360,IF($L360&lt;$M360,$G360,$N360))&lt;&gt;"",IF($I360&gt;$J360,$F360,IF($I360&lt;$J360,$G360,$K360))=IF($L360&gt;$M360,$F360,IF($L360&lt;$M360,$G360,$N360))),1,0))</x:f>
      </x:c>
      <x:c r="Q360" s="59" t="str">
        <x:f>IF($O360="","",$O360+$P360)</x:f>
      </x:c>
      <x:c r="R360" s="59" t="str">
        <x:f>IF($Q360="","",IF($O360=3,"Cravada",IF(AND($H360="Sim",$L360=$M360,$I360=$J360,$O360=2),"Empate cravado",IF($O360=1,"Resultado certo",IF($O360=-2,"Invertida",IF($P360=1,"Acertou quem passa","Erro"))))))</x:f>
      </x:c>
      <x:c r="S360" s="59" t="str">
        <x:f>IF($O360="","",--(OR($O360=3,AND($H360="Sim",$L360=$M360,$I360=$J360,$O360=2))))</x:f>
      </x:c>
      <x:c r="T360" s="59" t="str">
        <x:f>IF($O360="","",--($O360=-2))</x:f>
      </x:c>
      <x:c r="U360" s="59" t="str">
        <x:f>IF($O360="","",--($O360=1))</x:f>
      </x:c>
      <x:c r="V360" s="59" t="n">
        <x:f>--(AND($I360&lt;&gt;"",$J360&lt;&gt;""))</x:f>
        <x:v>0</x:v>
      </x:c>
    </x:row>
    <x:row r="361">
      <x:c r="A361" s="21" t="str">
        <x:f>INDEX(Config!$B$10:$B$16,INT((ROW()-5)/104)+1)</x:f>
        <x:v>Gustavo</x:v>
      </x:c>
      <x:c r="B361" s="21" t="str">
        <x:v>GH3</x:v>
      </x:c>
      <x:c r="C361" s="21" t="n">
        <x:v>45</x:v>
      </x:c>
      <x:c r="D361" s="21" t="str">
        <x:v>Grupo H</x:v>
      </x:c>
      <x:c r="E361" s="21" t="str">
        <x:v>2026-06-21</x:v>
      </x:c>
      <x:c r="F361" s="21" t="str">
        <x:f>IFERROR(INDEX('Resultados'!$G$5:$G$108,MATCH($B361,'Resultados'!$A$5:$A$108,0)),"")</x:f>
        <x:v>Espanha</x:v>
      </x:c>
      <x:c r="G361" s="21" t="str">
        <x:f>IFERROR(INDEX('Resultados'!$J$5:$J$108,MATCH($B361,'Resultados'!$A$5:$A$108,0)),"")</x:f>
        <x:v>Arábia Saudita</x:v>
      </x:c>
      <x:c r="H361" s="21" t="str">
        <x:v>Não</x:v>
      </x:c>
      <x:c r="I361" s="22"/>
      <x:c r="J361" s="22"/>
      <x:c r="K361" s="23"/>
      <x:c r="L361" s="21" t="str">
        <x:f>IFERROR(INDEX('Resultados'!$H$5:$H$108,MATCH($B361,'Resultados'!$A$5:$A$108,0)),"")</x:f>
      </x:c>
      <x:c r="M361" s="21" t="str">
        <x:f>IFERROR(INDEX('Resultados'!$I$5:$I$108,MATCH($B361,'Resultados'!$A$5:$A$108,0)),"")</x:f>
      </x:c>
      <x:c r="N361" s="21" t="str">
        <x:f>IFERROR(INDEX('Resultados'!$L$5:$L$108,MATCH($B361,'Resultados'!$A$5:$A$108,0)),"")</x:f>
      </x:c>
      <x:c r="O361" s="59" t="str">
        <x:f>IF(OR($I361="",$J361="",$L361="",$M361=""),"",IF(AND($H361="Sim",$L361=$M361),IF($I361&lt;&gt;$J361,0,IF(AND($I361=$L361,$J361=$M361),2,1)),IF(AND($I361=$L361,$J361=$M361),3,IF(AND($I361&lt;&gt;$J361,$I361=$M361,$J361=$L361),-2,IF(SIGN($I361-$J361)=SIGN($L361-$M361),1,0)))))</x:f>
      </x:c>
      <x:c r="P361" s="59" t="str">
        <x:f>IF(OR($H361&lt;&gt;"Sim",$I361="",$J361="",$L361="",$M361=""),"",IF(AND(IF($I361&gt;$J361,$F361,IF($I361&lt;$J361,$G361,$K361))&lt;&gt;"",IF($L361&gt;$M361,$F361,IF($L361&lt;$M361,$G361,$N361))&lt;&gt;"",IF($I361&gt;$J361,$F361,IF($I361&lt;$J361,$G361,$K361))=IF($L361&gt;$M361,$F361,IF($L361&lt;$M361,$G361,$N361))),1,0))</x:f>
      </x:c>
      <x:c r="Q361" s="59" t="str">
        <x:f>IF($O361="","",$O361+$P361)</x:f>
      </x:c>
      <x:c r="R361" s="59" t="str">
        <x:f>IF($Q361="","",IF($O361=3,"Cravada",IF(AND($H361="Sim",$L361=$M361,$I361=$J361,$O361=2),"Empate cravado",IF($O361=1,"Resultado certo",IF($O361=-2,"Invertida",IF($P361=1,"Acertou quem passa","Erro"))))))</x:f>
      </x:c>
      <x:c r="S361" s="59" t="str">
        <x:f>IF($O361="","",--(OR($O361=3,AND($H361="Sim",$L361=$M361,$I361=$J361,$O361=2))))</x:f>
      </x:c>
      <x:c r="T361" s="59" t="str">
        <x:f>IF($O361="","",--($O361=-2))</x:f>
      </x:c>
      <x:c r="U361" s="59" t="str">
        <x:f>IF($O361="","",--($O361=1))</x:f>
      </x:c>
      <x:c r="V361" s="59" t="n">
        <x:f>--(AND($I361&lt;&gt;"",$J361&lt;&gt;""))</x:f>
        <x:v>0</x:v>
      </x:c>
    </x:row>
    <x:row r="362">
      <x:c r="A362" s="21" t="str">
        <x:f>INDEX(Config!$B$10:$B$16,INT((ROW()-5)/104)+1)</x:f>
        <x:v>Gustavo</x:v>
      </x:c>
      <x:c r="B362" s="21" t="str">
        <x:v>GH4</x:v>
      </x:c>
      <x:c r="C362" s="21" t="n">
        <x:v>46</x:v>
      </x:c>
      <x:c r="D362" s="21" t="str">
        <x:v>Grupo H</x:v>
      </x:c>
      <x:c r="E362" s="21" t="str">
        <x:v>2026-06-21</x:v>
      </x:c>
      <x:c r="F362" s="21" t="str">
        <x:f>IFERROR(INDEX('Resultados'!$G$5:$G$108,MATCH($B362,'Resultados'!$A$5:$A$108,0)),"")</x:f>
        <x:v>Cabo Verde</x:v>
      </x:c>
      <x:c r="G362" s="21" t="str">
        <x:f>IFERROR(INDEX('Resultados'!$J$5:$J$108,MATCH($B362,'Resultados'!$A$5:$A$108,0)),"")</x:f>
        <x:v>Uruguai</x:v>
      </x:c>
      <x:c r="H362" s="21" t="str">
        <x:v>Não</x:v>
      </x:c>
      <x:c r="I362" s="22"/>
      <x:c r="J362" s="22"/>
      <x:c r="K362" s="23"/>
      <x:c r="L362" s="21" t="str">
        <x:f>IFERROR(INDEX('Resultados'!$H$5:$H$108,MATCH($B362,'Resultados'!$A$5:$A$108,0)),"")</x:f>
      </x:c>
      <x:c r="M362" s="21" t="str">
        <x:f>IFERROR(INDEX('Resultados'!$I$5:$I$108,MATCH($B362,'Resultados'!$A$5:$A$108,0)),"")</x:f>
      </x:c>
      <x:c r="N362" s="21" t="str">
        <x:f>IFERROR(INDEX('Resultados'!$L$5:$L$108,MATCH($B362,'Resultados'!$A$5:$A$108,0)),"")</x:f>
      </x:c>
      <x:c r="O362" s="59" t="str">
        <x:f>IF(OR($I362="",$J362="",$L362="",$M362=""),"",IF(AND($H362="Sim",$L362=$M362),IF($I362&lt;&gt;$J362,0,IF(AND($I362=$L362,$J362=$M362),2,1)),IF(AND($I362=$L362,$J362=$M362),3,IF(AND($I362&lt;&gt;$J362,$I362=$M362,$J362=$L362),-2,IF(SIGN($I362-$J362)=SIGN($L362-$M362),1,0)))))</x:f>
      </x:c>
      <x:c r="P362" s="59" t="str">
        <x:f>IF(OR($H362&lt;&gt;"Sim",$I362="",$J362="",$L362="",$M362=""),"",IF(AND(IF($I362&gt;$J362,$F362,IF($I362&lt;$J362,$G362,$K362))&lt;&gt;"",IF($L362&gt;$M362,$F362,IF($L362&lt;$M362,$G362,$N362))&lt;&gt;"",IF($I362&gt;$J362,$F362,IF($I362&lt;$J362,$G362,$K362))=IF($L362&gt;$M362,$F362,IF($L362&lt;$M362,$G362,$N362))),1,0))</x:f>
      </x:c>
      <x:c r="Q362" s="59" t="str">
        <x:f>IF($O362="","",$O362+$P362)</x:f>
      </x:c>
      <x:c r="R362" s="59" t="str">
        <x:f>IF($Q362="","",IF($O362=3,"Cravada",IF(AND($H362="Sim",$L362=$M362,$I362=$J362,$O362=2),"Empate cravado",IF($O362=1,"Resultado certo",IF($O362=-2,"Invertida",IF($P362=1,"Acertou quem passa","Erro"))))))</x:f>
      </x:c>
      <x:c r="S362" s="59" t="str">
        <x:f>IF($O362="","",--(OR($O362=3,AND($H362="Sim",$L362=$M362,$I362=$J362,$O362=2))))</x:f>
      </x:c>
      <x:c r="T362" s="59" t="str">
        <x:f>IF($O362="","",--($O362=-2))</x:f>
      </x:c>
      <x:c r="U362" s="59" t="str">
        <x:f>IF($O362="","",--($O362=1))</x:f>
      </x:c>
      <x:c r="V362" s="59" t="n">
        <x:f>--(AND($I362&lt;&gt;"",$J362&lt;&gt;""))</x:f>
        <x:v>0</x:v>
      </x:c>
    </x:row>
    <x:row r="363">
      <x:c r="A363" s="21" t="str">
        <x:f>INDEX(Config!$B$10:$B$16,INT((ROW()-5)/104)+1)</x:f>
        <x:v>Gustavo</x:v>
      </x:c>
      <x:c r="B363" s="21" t="str">
        <x:v>GH5</x:v>
      </x:c>
      <x:c r="C363" s="21" t="n">
        <x:v>47</x:v>
      </x:c>
      <x:c r="D363" s="21" t="str">
        <x:v>Grupo H</x:v>
      </x:c>
      <x:c r="E363" s="21" t="str">
        <x:v>2026-06-26</x:v>
      </x:c>
      <x:c r="F363" s="21" t="str">
        <x:f>IFERROR(INDEX('Resultados'!$G$5:$G$108,MATCH($B363,'Resultados'!$A$5:$A$108,0)),"")</x:f>
        <x:v>Espanha</x:v>
      </x:c>
      <x:c r="G363" s="21" t="str">
        <x:f>IFERROR(INDEX('Resultados'!$J$5:$J$108,MATCH($B363,'Resultados'!$A$5:$A$108,0)),"")</x:f>
        <x:v>Uruguai</x:v>
      </x:c>
      <x:c r="H363" s="21" t="str">
        <x:v>Não</x:v>
      </x:c>
      <x:c r="I363" s="22"/>
      <x:c r="J363" s="22"/>
      <x:c r="K363" s="23"/>
      <x:c r="L363" s="21" t="str">
        <x:f>IFERROR(INDEX('Resultados'!$H$5:$H$108,MATCH($B363,'Resultados'!$A$5:$A$108,0)),"")</x:f>
      </x:c>
      <x:c r="M363" s="21" t="str">
        <x:f>IFERROR(INDEX('Resultados'!$I$5:$I$108,MATCH($B363,'Resultados'!$A$5:$A$108,0)),"")</x:f>
      </x:c>
      <x:c r="N363" s="21" t="str">
        <x:f>IFERROR(INDEX('Resultados'!$L$5:$L$108,MATCH($B363,'Resultados'!$A$5:$A$108,0)),"")</x:f>
      </x:c>
      <x:c r="O363" s="59" t="str">
        <x:f>IF(OR($I363="",$J363="",$L363="",$M363=""),"",IF(AND($H363="Sim",$L363=$M363),IF($I363&lt;&gt;$J363,0,IF(AND($I363=$L363,$J363=$M363),2,1)),IF(AND($I363=$L363,$J363=$M363),3,IF(AND($I363&lt;&gt;$J363,$I363=$M363,$J363=$L363),-2,IF(SIGN($I363-$J363)=SIGN($L363-$M363),1,0)))))</x:f>
      </x:c>
      <x:c r="P363" s="59" t="str">
        <x:f>IF(OR($H363&lt;&gt;"Sim",$I363="",$J363="",$L363="",$M363=""),"",IF(AND(IF($I363&gt;$J363,$F363,IF($I363&lt;$J363,$G363,$K363))&lt;&gt;"",IF($L363&gt;$M363,$F363,IF($L363&lt;$M363,$G363,$N363))&lt;&gt;"",IF($I363&gt;$J363,$F363,IF($I363&lt;$J363,$G363,$K363))=IF($L363&gt;$M363,$F363,IF($L363&lt;$M363,$G363,$N363))),1,0))</x:f>
      </x:c>
      <x:c r="Q363" s="59" t="str">
        <x:f>IF($O363="","",$O363+$P363)</x:f>
      </x:c>
      <x:c r="R363" s="59" t="str">
        <x:f>IF($Q363="","",IF($O363=3,"Cravada",IF(AND($H363="Sim",$L363=$M363,$I363=$J363,$O363=2),"Empate cravado",IF($O363=1,"Resultado certo",IF($O363=-2,"Invertida",IF($P363=1,"Acertou quem passa","Erro"))))))</x:f>
      </x:c>
      <x:c r="S363" s="59" t="str">
        <x:f>IF($O363="","",--(OR($O363=3,AND($H363="Sim",$L363=$M363,$I363=$J363,$O363=2))))</x:f>
      </x:c>
      <x:c r="T363" s="59" t="str">
        <x:f>IF($O363="","",--($O363=-2))</x:f>
      </x:c>
      <x:c r="U363" s="59" t="str">
        <x:f>IF($O363="","",--($O363=1))</x:f>
      </x:c>
      <x:c r="V363" s="59" t="n">
        <x:f>--(AND($I363&lt;&gt;"",$J363&lt;&gt;""))</x:f>
        <x:v>0</x:v>
      </x:c>
    </x:row>
    <x:row r="364">
      <x:c r="A364" s="21" t="str">
        <x:f>INDEX(Config!$B$10:$B$16,INT((ROW()-5)/104)+1)</x:f>
        <x:v>Gustavo</x:v>
      </x:c>
      <x:c r="B364" s="21" t="str">
        <x:v>GH6</x:v>
      </x:c>
      <x:c r="C364" s="21" t="n">
        <x:v>48</x:v>
      </x:c>
      <x:c r="D364" s="21" t="str">
        <x:v>Grupo H</x:v>
      </x:c>
      <x:c r="E364" s="21" t="str">
        <x:v>2026-06-26</x:v>
      </x:c>
      <x:c r="F364" s="21" t="str">
        <x:f>IFERROR(INDEX('Resultados'!$G$5:$G$108,MATCH($B364,'Resultados'!$A$5:$A$108,0)),"")</x:f>
        <x:v>Cabo Verde</x:v>
      </x:c>
      <x:c r="G364" s="21" t="str">
        <x:f>IFERROR(INDEX('Resultados'!$J$5:$J$108,MATCH($B364,'Resultados'!$A$5:$A$108,0)),"")</x:f>
        <x:v>Arábia Saudita</x:v>
      </x:c>
      <x:c r="H364" s="21" t="str">
        <x:v>Não</x:v>
      </x:c>
      <x:c r="I364" s="22"/>
      <x:c r="J364" s="22"/>
      <x:c r="K364" s="23"/>
      <x:c r="L364" s="21" t="str">
        <x:f>IFERROR(INDEX('Resultados'!$H$5:$H$108,MATCH($B364,'Resultados'!$A$5:$A$108,0)),"")</x:f>
      </x:c>
      <x:c r="M364" s="21" t="str">
        <x:f>IFERROR(INDEX('Resultados'!$I$5:$I$108,MATCH($B364,'Resultados'!$A$5:$A$108,0)),"")</x:f>
      </x:c>
      <x:c r="N364" s="21" t="str">
        <x:f>IFERROR(INDEX('Resultados'!$L$5:$L$108,MATCH($B364,'Resultados'!$A$5:$A$108,0)),"")</x:f>
      </x:c>
      <x:c r="O364" s="59" t="str">
        <x:f>IF(OR($I364="",$J364="",$L364="",$M364=""),"",IF(AND($H364="Sim",$L364=$M364),IF($I364&lt;&gt;$J364,0,IF(AND($I364=$L364,$J364=$M364),2,1)),IF(AND($I364=$L364,$J364=$M364),3,IF(AND($I364&lt;&gt;$J364,$I364=$M364,$J364=$L364),-2,IF(SIGN($I364-$J364)=SIGN($L364-$M364),1,0)))))</x:f>
      </x:c>
      <x:c r="P364" s="59" t="str">
        <x:f>IF(OR($H364&lt;&gt;"Sim",$I364="",$J364="",$L364="",$M364=""),"",IF(AND(IF($I364&gt;$J364,$F364,IF($I364&lt;$J364,$G364,$K364))&lt;&gt;"",IF($L364&gt;$M364,$F364,IF($L364&lt;$M364,$G364,$N364))&lt;&gt;"",IF($I364&gt;$J364,$F364,IF($I364&lt;$J364,$G364,$K364))=IF($L364&gt;$M364,$F364,IF($L364&lt;$M364,$G364,$N364))),1,0))</x:f>
      </x:c>
      <x:c r="Q364" s="59" t="str">
        <x:f>IF($O364="","",$O364+$P364)</x:f>
      </x:c>
      <x:c r="R364" s="59" t="str">
        <x:f>IF($Q364="","",IF($O364=3,"Cravada",IF(AND($H364="Sim",$L364=$M364,$I364=$J364,$O364=2),"Empate cravado",IF($O364=1,"Resultado certo",IF($O364=-2,"Invertida",IF($P364=1,"Acertou quem passa","Erro"))))))</x:f>
      </x:c>
      <x:c r="S364" s="59" t="str">
        <x:f>IF($O364="","",--(OR($O364=3,AND($H364="Sim",$L364=$M364,$I364=$J364,$O364=2))))</x:f>
      </x:c>
      <x:c r="T364" s="59" t="str">
        <x:f>IF($O364="","",--($O364=-2))</x:f>
      </x:c>
      <x:c r="U364" s="59" t="str">
        <x:f>IF($O364="","",--($O364=1))</x:f>
      </x:c>
      <x:c r="V364" s="59" t="n">
        <x:f>--(AND($I364&lt;&gt;"",$J364&lt;&gt;""))</x:f>
        <x:v>0</x:v>
      </x:c>
    </x:row>
    <x:row r="365">
      <x:c r="A365" s="21" t="str">
        <x:f>INDEX(Config!$B$10:$B$16,INT((ROW()-5)/104)+1)</x:f>
        <x:v>Gustavo</x:v>
      </x:c>
      <x:c r="B365" s="21" t="str">
        <x:v>GI1</x:v>
      </x:c>
      <x:c r="C365" s="21" t="n">
        <x:v>49</x:v>
      </x:c>
      <x:c r="D365" s="21" t="str">
        <x:v>Grupo I</x:v>
      </x:c>
      <x:c r="E365" s="21" t="str">
        <x:v>2026-06-16</x:v>
      </x:c>
      <x:c r="F365" s="21" t="str">
        <x:f>IFERROR(INDEX('Resultados'!$G$5:$G$108,MATCH($B365,'Resultados'!$A$5:$A$108,0)),"")</x:f>
        <x:v>França</x:v>
      </x:c>
      <x:c r="G365" s="21" t="str">
        <x:f>IFERROR(INDEX('Resultados'!$J$5:$J$108,MATCH($B365,'Resultados'!$A$5:$A$108,0)),"")</x:f>
        <x:v>Senegal</x:v>
      </x:c>
      <x:c r="H365" s="21" t="str">
        <x:v>Não</x:v>
      </x:c>
      <x:c r="I365" s="22"/>
      <x:c r="J365" s="22"/>
      <x:c r="K365" s="23"/>
      <x:c r="L365" s="21" t="str">
        <x:f>IFERROR(INDEX('Resultados'!$H$5:$H$108,MATCH($B365,'Resultados'!$A$5:$A$108,0)),"")</x:f>
      </x:c>
      <x:c r="M365" s="21" t="str">
        <x:f>IFERROR(INDEX('Resultados'!$I$5:$I$108,MATCH($B365,'Resultados'!$A$5:$A$108,0)),"")</x:f>
      </x:c>
      <x:c r="N365" s="21" t="str">
        <x:f>IFERROR(INDEX('Resultados'!$L$5:$L$108,MATCH($B365,'Resultados'!$A$5:$A$108,0)),"")</x:f>
      </x:c>
      <x:c r="O365" s="59" t="str">
        <x:f>IF(OR($I365="",$J365="",$L365="",$M365=""),"",IF(AND($H365="Sim",$L365=$M365),IF($I365&lt;&gt;$J365,0,IF(AND($I365=$L365,$J365=$M365),2,1)),IF(AND($I365=$L365,$J365=$M365),3,IF(AND($I365&lt;&gt;$J365,$I365=$M365,$J365=$L365),-2,IF(SIGN($I365-$J365)=SIGN($L365-$M365),1,0)))))</x:f>
      </x:c>
      <x:c r="P365" s="59" t="str">
        <x:f>IF(OR($H365&lt;&gt;"Sim",$I365="",$J365="",$L365="",$M365=""),"",IF(AND(IF($I365&gt;$J365,$F365,IF($I365&lt;$J365,$G365,$K365))&lt;&gt;"",IF($L365&gt;$M365,$F365,IF($L365&lt;$M365,$G365,$N365))&lt;&gt;"",IF($I365&gt;$J365,$F365,IF($I365&lt;$J365,$G365,$K365))=IF($L365&gt;$M365,$F365,IF($L365&lt;$M365,$G365,$N365))),1,0))</x:f>
      </x:c>
      <x:c r="Q365" s="59" t="str">
        <x:f>IF($O365="","",$O365+$P365)</x:f>
      </x:c>
      <x:c r="R365" s="59" t="str">
        <x:f>IF($Q365="","",IF($O365=3,"Cravada",IF(AND($H365="Sim",$L365=$M365,$I365=$J365,$O365=2),"Empate cravado",IF($O365=1,"Resultado certo",IF($O365=-2,"Invertida",IF($P365=1,"Acertou quem passa","Erro"))))))</x:f>
      </x:c>
      <x:c r="S365" s="59" t="str">
        <x:f>IF($O365="","",--(OR($O365=3,AND($H365="Sim",$L365=$M365,$I365=$J365,$O365=2))))</x:f>
      </x:c>
      <x:c r="T365" s="59" t="str">
        <x:f>IF($O365="","",--($O365=-2))</x:f>
      </x:c>
      <x:c r="U365" s="59" t="str">
        <x:f>IF($O365="","",--($O365=1))</x:f>
      </x:c>
      <x:c r="V365" s="59" t="n">
        <x:f>--(AND($I365&lt;&gt;"",$J365&lt;&gt;""))</x:f>
        <x:v>0</x:v>
      </x:c>
    </x:row>
    <x:row r="366">
      <x:c r="A366" s="21" t="str">
        <x:f>INDEX(Config!$B$10:$B$16,INT((ROW()-5)/104)+1)</x:f>
        <x:v>Gustavo</x:v>
      </x:c>
      <x:c r="B366" s="21" t="str">
        <x:v>GI2</x:v>
      </x:c>
      <x:c r="C366" s="21" t="n">
        <x:v>50</x:v>
      </x:c>
      <x:c r="D366" s="21" t="str">
        <x:v>Grupo I</x:v>
      </x:c>
      <x:c r="E366" s="21" t="str">
        <x:v>2026-06-16</x:v>
      </x:c>
      <x:c r="F366" s="21" t="str">
        <x:f>IFERROR(INDEX('Resultados'!$G$5:$G$108,MATCH($B366,'Resultados'!$A$5:$A$108,0)),"")</x:f>
        <x:v>Iraque</x:v>
      </x:c>
      <x:c r="G366" s="21" t="str">
        <x:f>IFERROR(INDEX('Resultados'!$J$5:$J$108,MATCH($B366,'Resultados'!$A$5:$A$108,0)),"")</x:f>
        <x:v>Noruega</x:v>
      </x:c>
      <x:c r="H366" s="21" t="str">
        <x:v>Não</x:v>
      </x:c>
      <x:c r="I366" s="22"/>
      <x:c r="J366" s="22"/>
      <x:c r="K366" s="23"/>
      <x:c r="L366" s="21" t="str">
        <x:f>IFERROR(INDEX('Resultados'!$H$5:$H$108,MATCH($B366,'Resultados'!$A$5:$A$108,0)),"")</x:f>
      </x:c>
      <x:c r="M366" s="21" t="str">
        <x:f>IFERROR(INDEX('Resultados'!$I$5:$I$108,MATCH($B366,'Resultados'!$A$5:$A$108,0)),"")</x:f>
      </x:c>
      <x:c r="N366" s="21" t="str">
        <x:f>IFERROR(INDEX('Resultados'!$L$5:$L$108,MATCH($B366,'Resultados'!$A$5:$A$108,0)),"")</x:f>
      </x:c>
      <x:c r="O366" s="59" t="str">
        <x:f>IF(OR($I366="",$J366="",$L366="",$M366=""),"",IF(AND($H366="Sim",$L366=$M366),IF($I366&lt;&gt;$J366,0,IF(AND($I366=$L366,$J366=$M366),2,1)),IF(AND($I366=$L366,$J366=$M366),3,IF(AND($I366&lt;&gt;$J366,$I366=$M366,$J366=$L366),-2,IF(SIGN($I366-$J366)=SIGN($L366-$M366),1,0)))))</x:f>
      </x:c>
      <x:c r="P366" s="59" t="str">
        <x:f>IF(OR($H366&lt;&gt;"Sim",$I366="",$J366="",$L366="",$M366=""),"",IF(AND(IF($I366&gt;$J366,$F366,IF($I366&lt;$J366,$G366,$K366))&lt;&gt;"",IF($L366&gt;$M366,$F366,IF($L366&lt;$M366,$G366,$N366))&lt;&gt;"",IF($I366&gt;$J366,$F366,IF($I366&lt;$J366,$G366,$K366))=IF($L366&gt;$M366,$F366,IF($L366&lt;$M366,$G366,$N366))),1,0))</x:f>
      </x:c>
      <x:c r="Q366" s="59" t="str">
        <x:f>IF($O366="","",$O366+$P366)</x:f>
      </x:c>
      <x:c r="R366" s="59" t="str">
        <x:f>IF($Q366="","",IF($O366=3,"Cravada",IF(AND($H366="Sim",$L366=$M366,$I366=$J366,$O366=2),"Empate cravado",IF($O366=1,"Resultado certo",IF($O366=-2,"Invertida",IF($P366=1,"Acertou quem passa","Erro"))))))</x:f>
      </x:c>
      <x:c r="S366" s="59" t="str">
        <x:f>IF($O366="","",--(OR($O366=3,AND($H366="Sim",$L366=$M366,$I366=$J366,$O366=2))))</x:f>
      </x:c>
      <x:c r="T366" s="59" t="str">
        <x:f>IF($O366="","",--($O366=-2))</x:f>
      </x:c>
      <x:c r="U366" s="59" t="str">
        <x:f>IF($O366="","",--($O366=1))</x:f>
      </x:c>
      <x:c r="V366" s="59" t="n">
        <x:f>--(AND($I366&lt;&gt;"",$J366&lt;&gt;""))</x:f>
        <x:v>0</x:v>
      </x:c>
    </x:row>
    <x:row r="367">
      <x:c r="A367" s="21" t="str">
        <x:f>INDEX(Config!$B$10:$B$16,INT((ROW()-5)/104)+1)</x:f>
        <x:v>Gustavo</x:v>
      </x:c>
      <x:c r="B367" s="21" t="str">
        <x:v>GI3</x:v>
      </x:c>
      <x:c r="C367" s="21" t="n">
        <x:v>51</x:v>
      </x:c>
      <x:c r="D367" s="21" t="str">
        <x:v>Grupo I</x:v>
      </x:c>
      <x:c r="E367" s="21" t="str">
        <x:v>2026-06-22</x:v>
      </x:c>
      <x:c r="F367" s="21" t="str">
        <x:f>IFERROR(INDEX('Resultados'!$G$5:$G$108,MATCH($B367,'Resultados'!$A$5:$A$108,0)),"")</x:f>
        <x:v>França</x:v>
      </x:c>
      <x:c r="G367" s="21" t="str">
        <x:f>IFERROR(INDEX('Resultados'!$J$5:$J$108,MATCH($B367,'Resultados'!$A$5:$A$108,0)),"")</x:f>
        <x:v>Iraque</x:v>
      </x:c>
      <x:c r="H367" s="21" t="str">
        <x:v>Não</x:v>
      </x:c>
      <x:c r="I367" s="22"/>
      <x:c r="J367" s="22"/>
      <x:c r="K367" s="23"/>
      <x:c r="L367" s="21" t="str">
        <x:f>IFERROR(INDEX('Resultados'!$H$5:$H$108,MATCH($B367,'Resultados'!$A$5:$A$108,0)),"")</x:f>
      </x:c>
      <x:c r="M367" s="21" t="str">
        <x:f>IFERROR(INDEX('Resultados'!$I$5:$I$108,MATCH($B367,'Resultados'!$A$5:$A$108,0)),"")</x:f>
      </x:c>
      <x:c r="N367" s="21" t="str">
        <x:f>IFERROR(INDEX('Resultados'!$L$5:$L$108,MATCH($B367,'Resultados'!$A$5:$A$108,0)),"")</x:f>
      </x:c>
      <x:c r="O367" s="59" t="str">
        <x:f>IF(OR($I367="",$J367="",$L367="",$M367=""),"",IF(AND($H367="Sim",$L367=$M367),IF($I367&lt;&gt;$J367,0,IF(AND($I367=$L367,$J367=$M367),2,1)),IF(AND($I367=$L367,$J367=$M367),3,IF(AND($I367&lt;&gt;$J367,$I367=$M367,$J367=$L367),-2,IF(SIGN($I367-$J367)=SIGN($L367-$M367),1,0)))))</x:f>
      </x:c>
      <x:c r="P367" s="59" t="str">
        <x:f>IF(OR($H367&lt;&gt;"Sim",$I367="",$J367="",$L367="",$M367=""),"",IF(AND(IF($I367&gt;$J367,$F367,IF($I367&lt;$J367,$G367,$K367))&lt;&gt;"",IF($L367&gt;$M367,$F367,IF($L367&lt;$M367,$G367,$N367))&lt;&gt;"",IF($I367&gt;$J367,$F367,IF($I367&lt;$J367,$G367,$K367))=IF($L367&gt;$M367,$F367,IF($L367&lt;$M367,$G367,$N367))),1,0))</x:f>
      </x:c>
      <x:c r="Q367" s="59" t="str">
        <x:f>IF($O367="","",$O367+$P367)</x:f>
      </x:c>
      <x:c r="R367" s="59" t="str">
        <x:f>IF($Q367="","",IF($O367=3,"Cravada",IF(AND($H367="Sim",$L367=$M367,$I367=$J367,$O367=2),"Empate cravado",IF($O367=1,"Resultado certo",IF($O367=-2,"Invertida",IF($P367=1,"Acertou quem passa","Erro"))))))</x:f>
      </x:c>
      <x:c r="S367" s="59" t="str">
        <x:f>IF($O367="","",--(OR($O367=3,AND($H367="Sim",$L367=$M367,$I367=$J367,$O367=2))))</x:f>
      </x:c>
      <x:c r="T367" s="59" t="str">
        <x:f>IF($O367="","",--($O367=-2))</x:f>
      </x:c>
      <x:c r="U367" s="59" t="str">
        <x:f>IF($O367="","",--($O367=1))</x:f>
      </x:c>
      <x:c r="V367" s="59" t="n">
        <x:f>--(AND($I367&lt;&gt;"",$J367&lt;&gt;""))</x:f>
        <x:v>0</x:v>
      </x:c>
    </x:row>
    <x:row r="368">
      <x:c r="A368" s="21" t="str">
        <x:f>INDEX(Config!$B$10:$B$16,INT((ROW()-5)/104)+1)</x:f>
        <x:v>Gustavo</x:v>
      </x:c>
      <x:c r="B368" s="21" t="str">
        <x:v>GI4</x:v>
      </x:c>
      <x:c r="C368" s="21" t="n">
        <x:v>52</x:v>
      </x:c>
      <x:c r="D368" s="21" t="str">
        <x:v>Grupo I</x:v>
      </x:c>
      <x:c r="E368" s="21" t="str">
        <x:v>2026-06-22</x:v>
      </x:c>
      <x:c r="F368" s="21" t="str">
        <x:f>IFERROR(INDEX('Resultados'!$G$5:$G$108,MATCH($B368,'Resultados'!$A$5:$A$108,0)),"")</x:f>
        <x:v>Senegal</x:v>
      </x:c>
      <x:c r="G368" s="21" t="str">
        <x:f>IFERROR(INDEX('Resultados'!$J$5:$J$108,MATCH($B368,'Resultados'!$A$5:$A$108,0)),"")</x:f>
        <x:v>Noruega</x:v>
      </x:c>
      <x:c r="H368" s="21" t="str">
        <x:v>Não</x:v>
      </x:c>
      <x:c r="I368" s="22"/>
      <x:c r="J368" s="22"/>
      <x:c r="K368" s="23"/>
      <x:c r="L368" s="21" t="str">
        <x:f>IFERROR(INDEX('Resultados'!$H$5:$H$108,MATCH($B368,'Resultados'!$A$5:$A$108,0)),"")</x:f>
      </x:c>
      <x:c r="M368" s="21" t="str">
        <x:f>IFERROR(INDEX('Resultados'!$I$5:$I$108,MATCH($B368,'Resultados'!$A$5:$A$108,0)),"")</x:f>
      </x:c>
      <x:c r="N368" s="21" t="str">
        <x:f>IFERROR(INDEX('Resultados'!$L$5:$L$108,MATCH($B368,'Resultados'!$A$5:$A$108,0)),"")</x:f>
      </x:c>
      <x:c r="O368" s="59" t="str">
        <x:f>IF(OR($I368="",$J368="",$L368="",$M368=""),"",IF(AND($H368="Sim",$L368=$M368),IF($I368&lt;&gt;$J368,0,IF(AND($I368=$L368,$J368=$M368),2,1)),IF(AND($I368=$L368,$J368=$M368),3,IF(AND($I368&lt;&gt;$J368,$I368=$M368,$J368=$L368),-2,IF(SIGN($I368-$J368)=SIGN($L368-$M368),1,0)))))</x:f>
      </x:c>
      <x:c r="P368" s="59" t="str">
        <x:f>IF(OR($H368&lt;&gt;"Sim",$I368="",$J368="",$L368="",$M368=""),"",IF(AND(IF($I368&gt;$J368,$F368,IF($I368&lt;$J368,$G368,$K368))&lt;&gt;"",IF($L368&gt;$M368,$F368,IF($L368&lt;$M368,$G368,$N368))&lt;&gt;"",IF($I368&gt;$J368,$F368,IF($I368&lt;$J368,$G368,$K368))=IF($L368&gt;$M368,$F368,IF($L368&lt;$M368,$G368,$N368))),1,0))</x:f>
      </x:c>
      <x:c r="Q368" s="59" t="str">
        <x:f>IF($O368="","",$O368+$P368)</x:f>
      </x:c>
      <x:c r="R368" s="59" t="str">
        <x:f>IF($Q368="","",IF($O368=3,"Cravada",IF(AND($H368="Sim",$L368=$M368,$I368=$J368,$O368=2),"Empate cravado",IF($O368=1,"Resultado certo",IF($O368=-2,"Invertida",IF($P368=1,"Acertou quem passa","Erro"))))))</x:f>
      </x:c>
      <x:c r="S368" s="59" t="str">
        <x:f>IF($O368="","",--(OR($O368=3,AND($H368="Sim",$L368=$M368,$I368=$J368,$O368=2))))</x:f>
      </x:c>
      <x:c r="T368" s="59" t="str">
        <x:f>IF($O368="","",--($O368=-2))</x:f>
      </x:c>
      <x:c r="U368" s="59" t="str">
        <x:f>IF($O368="","",--($O368=1))</x:f>
      </x:c>
      <x:c r="V368" s="59" t="n">
        <x:f>--(AND($I368&lt;&gt;"",$J368&lt;&gt;""))</x:f>
        <x:v>0</x:v>
      </x:c>
    </x:row>
    <x:row r="369">
      <x:c r="A369" s="21" t="str">
        <x:f>INDEX(Config!$B$10:$B$16,INT((ROW()-5)/104)+1)</x:f>
        <x:v>Gustavo</x:v>
      </x:c>
      <x:c r="B369" s="21" t="str">
        <x:v>GI5</x:v>
      </x:c>
      <x:c r="C369" s="21" t="n">
        <x:v>53</x:v>
      </x:c>
      <x:c r="D369" s="21" t="str">
        <x:v>Grupo I</x:v>
      </x:c>
      <x:c r="E369" s="21" t="str">
        <x:v>2026-06-26</x:v>
      </x:c>
      <x:c r="F369" s="21" t="str">
        <x:f>IFERROR(INDEX('Resultados'!$G$5:$G$108,MATCH($B369,'Resultados'!$A$5:$A$108,0)),"")</x:f>
        <x:v>França</x:v>
      </x:c>
      <x:c r="G369" s="21" t="str">
        <x:f>IFERROR(INDEX('Resultados'!$J$5:$J$108,MATCH($B369,'Resultados'!$A$5:$A$108,0)),"")</x:f>
        <x:v>Noruega</x:v>
      </x:c>
      <x:c r="H369" s="21" t="str">
        <x:v>Não</x:v>
      </x:c>
      <x:c r="I369" s="22"/>
      <x:c r="J369" s="22"/>
      <x:c r="K369" s="23"/>
      <x:c r="L369" s="21" t="str">
        <x:f>IFERROR(INDEX('Resultados'!$H$5:$H$108,MATCH($B369,'Resultados'!$A$5:$A$108,0)),"")</x:f>
      </x:c>
      <x:c r="M369" s="21" t="str">
        <x:f>IFERROR(INDEX('Resultados'!$I$5:$I$108,MATCH($B369,'Resultados'!$A$5:$A$108,0)),"")</x:f>
      </x:c>
      <x:c r="N369" s="21" t="str">
        <x:f>IFERROR(INDEX('Resultados'!$L$5:$L$108,MATCH($B369,'Resultados'!$A$5:$A$108,0)),"")</x:f>
      </x:c>
      <x:c r="O369" s="59" t="str">
        <x:f>IF(OR($I369="",$J369="",$L369="",$M369=""),"",IF(AND($H369="Sim",$L369=$M369),IF($I369&lt;&gt;$J369,0,IF(AND($I369=$L369,$J369=$M369),2,1)),IF(AND($I369=$L369,$J369=$M369),3,IF(AND($I369&lt;&gt;$J369,$I369=$M369,$J369=$L369),-2,IF(SIGN($I369-$J369)=SIGN($L369-$M369),1,0)))))</x:f>
      </x:c>
      <x:c r="P369" s="59" t="str">
        <x:f>IF(OR($H369&lt;&gt;"Sim",$I369="",$J369="",$L369="",$M369=""),"",IF(AND(IF($I369&gt;$J369,$F369,IF($I369&lt;$J369,$G369,$K369))&lt;&gt;"",IF($L369&gt;$M369,$F369,IF($L369&lt;$M369,$G369,$N369))&lt;&gt;"",IF($I369&gt;$J369,$F369,IF($I369&lt;$J369,$G369,$K369))=IF($L369&gt;$M369,$F369,IF($L369&lt;$M369,$G369,$N369))),1,0))</x:f>
      </x:c>
      <x:c r="Q369" s="59" t="str">
        <x:f>IF($O369="","",$O369+$P369)</x:f>
      </x:c>
      <x:c r="R369" s="59" t="str">
        <x:f>IF($Q369="","",IF($O369=3,"Cravada",IF(AND($H369="Sim",$L369=$M369,$I369=$J369,$O369=2),"Empate cravado",IF($O369=1,"Resultado certo",IF($O369=-2,"Invertida",IF($P369=1,"Acertou quem passa","Erro"))))))</x:f>
      </x:c>
      <x:c r="S369" s="59" t="str">
        <x:f>IF($O369="","",--(OR($O369=3,AND($H369="Sim",$L369=$M369,$I369=$J369,$O369=2))))</x:f>
      </x:c>
      <x:c r="T369" s="59" t="str">
        <x:f>IF($O369="","",--($O369=-2))</x:f>
      </x:c>
      <x:c r="U369" s="59" t="str">
        <x:f>IF($O369="","",--($O369=1))</x:f>
      </x:c>
      <x:c r="V369" s="59" t="n">
        <x:f>--(AND($I369&lt;&gt;"",$J369&lt;&gt;""))</x:f>
        <x:v>0</x:v>
      </x:c>
    </x:row>
    <x:row r="370">
      <x:c r="A370" s="21" t="str">
        <x:f>INDEX(Config!$B$10:$B$16,INT((ROW()-5)/104)+1)</x:f>
        <x:v>Gustavo</x:v>
      </x:c>
      <x:c r="B370" s="21" t="str">
        <x:v>GI6</x:v>
      </x:c>
      <x:c r="C370" s="21" t="n">
        <x:v>54</x:v>
      </x:c>
      <x:c r="D370" s="21" t="str">
        <x:v>Grupo I</x:v>
      </x:c>
      <x:c r="E370" s="21" t="str">
        <x:v>2026-06-26</x:v>
      </x:c>
      <x:c r="F370" s="21" t="str">
        <x:f>IFERROR(INDEX('Resultados'!$G$5:$G$108,MATCH($B370,'Resultados'!$A$5:$A$108,0)),"")</x:f>
        <x:v>Senegal</x:v>
      </x:c>
      <x:c r="G370" s="21" t="str">
        <x:f>IFERROR(INDEX('Resultados'!$J$5:$J$108,MATCH($B370,'Resultados'!$A$5:$A$108,0)),"")</x:f>
        <x:v>Iraque</x:v>
      </x:c>
      <x:c r="H370" s="21" t="str">
        <x:v>Não</x:v>
      </x:c>
      <x:c r="I370" s="22"/>
      <x:c r="J370" s="22"/>
      <x:c r="K370" s="23"/>
      <x:c r="L370" s="21" t="str">
        <x:f>IFERROR(INDEX('Resultados'!$H$5:$H$108,MATCH($B370,'Resultados'!$A$5:$A$108,0)),"")</x:f>
      </x:c>
      <x:c r="M370" s="21" t="str">
        <x:f>IFERROR(INDEX('Resultados'!$I$5:$I$108,MATCH($B370,'Resultados'!$A$5:$A$108,0)),"")</x:f>
      </x:c>
      <x:c r="N370" s="21" t="str">
        <x:f>IFERROR(INDEX('Resultados'!$L$5:$L$108,MATCH($B370,'Resultados'!$A$5:$A$108,0)),"")</x:f>
      </x:c>
      <x:c r="O370" s="59" t="str">
        <x:f>IF(OR($I370="",$J370="",$L370="",$M370=""),"",IF(AND($H370="Sim",$L370=$M370),IF($I370&lt;&gt;$J370,0,IF(AND($I370=$L370,$J370=$M370),2,1)),IF(AND($I370=$L370,$J370=$M370),3,IF(AND($I370&lt;&gt;$J370,$I370=$M370,$J370=$L370),-2,IF(SIGN($I370-$J370)=SIGN($L370-$M370),1,0)))))</x:f>
      </x:c>
      <x:c r="P370" s="59" t="str">
        <x:f>IF(OR($H370&lt;&gt;"Sim",$I370="",$J370="",$L370="",$M370=""),"",IF(AND(IF($I370&gt;$J370,$F370,IF($I370&lt;$J370,$G370,$K370))&lt;&gt;"",IF($L370&gt;$M370,$F370,IF($L370&lt;$M370,$G370,$N370))&lt;&gt;"",IF($I370&gt;$J370,$F370,IF($I370&lt;$J370,$G370,$K370))=IF($L370&gt;$M370,$F370,IF($L370&lt;$M370,$G370,$N370))),1,0))</x:f>
      </x:c>
      <x:c r="Q370" s="59" t="str">
        <x:f>IF($O370="","",$O370+$P370)</x:f>
      </x:c>
      <x:c r="R370" s="59" t="str">
        <x:f>IF($Q370="","",IF($O370=3,"Cravada",IF(AND($H370="Sim",$L370=$M370,$I370=$J370,$O370=2),"Empate cravado",IF($O370=1,"Resultado certo",IF($O370=-2,"Invertida",IF($P370=1,"Acertou quem passa","Erro"))))))</x:f>
      </x:c>
      <x:c r="S370" s="59" t="str">
        <x:f>IF($O370="","",--(OR($O370=3,AND($H370="Sim",$L370=$M370,$I370=$J370,$O370=2))))</x:f>
      </x:c>
      <x:c r="T370" s="59" t="str">
        <x:f>IF($O370="","",--($O370=-2))</x:f>
      </x:c>
      <x:c r="U370" s="59" t="str">
        <x:f>IF($O370="","",--($O370=1))</x:f>
      </x:c>
      <x:c r="V370" s="59" t="n">
        <x:f>--(AND($I370&lt;&gt;"",$J370&lt;&gt;""))</x:f>
        <x:v>0</x:v>
      </x:c>
    </x:row>
    <x:row r="371">
      <x:c r="A371" s="21" t="str">
        <x:f>INDEX(Config!$B$10:$B$16,INT((ROW()-5)/104)+1)</x:f>
        <x:v>Gustavo</x:v>
      </x:c>
      <x:c r="B371" s="21" t="str">
        <x:v>GJ1</x:v>
      </x:c>
      <x:c r="C371" s="21" t="n">
        <x:v>55</x:v>
      </x:c>
      <x:c r="D371" s="21" t="str">
        <x:v>Grupo J</x:v>
      </x:c>
      <x:c r="E371" s="21" t="str">
        <x:v>2026-06-16</x:v>
      </x:c>
      <x:c r="F371" s="21" t="str">
        <x:f>IFERROR(INDEX('Resultados'!$G$5:$G$108,MATCH($B371,'Resultados'!$A$5:$A$108,0)),"")</x:f>
        <x:v>Argentina</x:v>
      </x:c>
      <x:c r="G371" s="21" t="str">
        <x:f>IFERROR(INDEX('Resultados'!$J$5:$J$108,MATCH($B371,'Resultados'!$A$5:$A$108,0)),"")</x:f>
        <x:v>Argélia</x:v>
      </x:c>
      <x:c r="H371" s="21" t="str">
        <x:v>Não</x:v>
      </x:c>
      <x:c r="I371" s="22"/>
      <x:c r="J371" s="22"/>
      <x:c r="K371" s="23"/>
      <x:c r="L371" s="21" t="str">
        <x:f>IFERROR(INDEX('Resultados'!$H$5:$H$108,MATCH($B371,'Resultados'!$A$5:$A$108,0)),"")</x:f>
      </x:c>
      <x:c r="M371" s="21" t="str">
        <x:f>IFERROR(INDEX('Resultados'!$I$5:$I$108,MATCH($B371,'Resultados'!$A$5:$A$108,0)),"")</x:f>
      </x:c>
      <x:c r="N371" s="21" t="str">
        <x:f>IFERROR(INDEX('Resultados'!$L$5:$L$108,MATCH($B371,'Resultados'!$A$5:$A$108,0)),"")</x:f>
      </x:c>
      <x:c r="O371" s="59" t="str">
        <x:f>IF(OR($I371="",$J371="",$L371="",$M371=""),"",IF(AND($H371="Sim",$L371=$M371),IF($I371&lt;&gt;$J371,0,IF(AND($I371=$L371,$J371=$M371),2,1)),IF(AND($I371=$L371,$J371=$M371),3,IF(AND($I371&lt;&gt;$J371,$I371=$M371,$J371=$L371),-2,IF(SIGN($I371-$J371)=SIGN($L371-$M371),1,0)))))</x:f>
      </x:c>
      <x:c r="P371" s="59" t="str">
        <x:f>IF(OR($H371&lt;&gt;"Sim",$I371="",$J371="",$L371="",$M371=""),"",IF(AND(IF($I371&gt;$J371,$F371,IF($I371&lt;$J371,$G371,$K371))&lt;&gt;"",IF($L371&gt;$M371,$F371,IF($L371&lt;$M371,$G371,$N371))&lt;&gt;"",IF($I371&gt;$J371,$F371,IF($I371&lt;$J371,$G371,$K371))=IF($L371&gt;$M371,$F371,IF($L371&lt;$M371,$G371,$N371))),1,0))</x:f>
      </x:c>
      <x:c r="Q371" s="59" t="str">
        <x:f>IF($O371="","",$O371+$P371)</x:f>
      </x:c>
      <x:c r="R371" s="59" t="str">
        <x:f>IF($Q371="","",IF($O371=3,"Cravada",IF(AND($H371="Sim",$L371=$M371,$I371=$J371,$O371=2),"Empate cravado",IF($O371=1,"Resultado certo",IF($O371=-2,"Invertida",IF($P371=1,"Acertou quem passa","Erro"))))))</x:f>
      </x:c>
      <x:c r="S371" s="59" t="str">
        <x:f>IF($O371="","",--(OR($O371=3,AND($H371="Sim",$L371=$M371,$I371=$J371,$O371=2))))</x:f>
      </x:c>
      <x:c r="T371" s="59" t="str">
        <x:f>IF($O371="","",--($O371=-2))</x:f>
      </x:c>
      <x:c r="U371" s="59" t="str">
        <x:f>IF($O371="","",--($O371=1))</x:f>
      </x:c>
      <x:c r="V371" s="59" t="n">
        <x:f>--(AND($I371&lt;&gt;"",$J371&lt;&gt;""))</x:f>
        <x:v>0</x:v>
      </x:c>
    </x:row>
    <x:row r="372">
      <x:c r="A372" s="21" t="str">
        <x:f>INDEX(Config!$B$10:$B$16,INT((ROW()-5)/104)+1)</x:f>
        <x:v>Gustavo</x:v>
      </x:c>
      <x:c r="B372" s="21" t="str">
        <x:v>GJ2</x:v>
      </x:c>
      <x:c r="C372" s="21" t="n">
        <x:v>56</x:v>
      </x:c>
      <x:c r="D372" s="21" t="str">
        <x:v>Grupo J</x:v>
      </x:c>
      <x:c r="E372" s="21" t="str">
        <x:v>2026-06-17</x:v>
      </x:c>
      <x:c r="F372" s="21" t="str">
        <x:f>IFERROR(INDEX('Resultados'!$G$5:$G$108,MATCH($B372,'Resultados'!$A$5:$A$108,0)),"")</x:f>
        <x:v>Áustria</x:v>
      </x:c>
      <x:c r="G372" s="21" t="str">
        <x:f>IFERROR(INDEX('Resultados'!$J$5:$J$108,MATCH($B372,'Resultados'!$A$5:$A$108,0)),"")</x:f>
        <x:v>Jordânia</x:v>
      </x:c>
      <x:c r="H372" s="21" t="str">
        <x:v>Não</x:v>
      </x:c>
      <x:c r="I372" s="22"/>
      <x:c r="J372" s="22"/>
      <x:c r="K372" s="23"/>
      <x:c r="L372" s="21" t="str">
        <x:f>IFERROR(INDEX('Resultados'!$H$5:$H$108,MATCH($B372,'Resultados'!$A$5:$A$108,0)),"")</x:f>
      </x:c>
      <x:c r="M372" s="21" t="str">
        <x:f>IFERROR(INDEX('Resultados'!$I$5:$I$108,MATCH($B372,'Resultados'!$A$5:$A$108,0)),"")</x:f>
      </x:c>
      <x:c r="N372" s="21" t="str">
        <x:f>IFERROR(INDEX('Resultados'!$L$5:$L$108,MATCH($B372,'Resultados'!$A$5:$A$108,0)),"")</x:f>
      </x:c>
      <x:c r="O372" s="59" t="str">
        <x:f>IF(OR($I372="",$J372="",$L372="",$M372=""),"",IF(AND($H372="Sim",$L372=$M372),IF($I372&lt;&gt;$J372,0,IF(AND($I372=$L372,$J372=$M372),2,1)),IF(AND($I372=$L372,$J372=$M372),3,IF(AND($I372&lt;&gt;$J372,$I372=$M372,$J372=$L372),-2,IF(SIGN($I372-$J372)=SIGN($L372-$M372),1,0)))))</x:f>
      </x:c>
      <x:c r="P372" s="59" t="str">
        <x:f>IF(OR($H372&lt;&gt;"Sim",$I372="",$J372="",$L372="",$M372=""),"",IF(AND(IF($I372&gt;$J372,$F372,IF($I372&lt;$J372,$G372,$K372))&lt;&gt;"",IF($L372&gt;$M372,$F372,IF($L372&lt;$M372,$G372,$N372))&lt;&gt;"",IF($I372&gt;$J372,$F372,IF($I372&lt;$J372,$G372,$K372))=IF($L372&gt;$M372,$F372,IF($L372&lt;$M372,$G372,$N372))),1,0))</x:f>
      </x:c>
      <x:c r="Q372" s="59" t="str">
        <x:f>IF($O372="","",$O372+$P372)</x:f>
      </x:c>
      <x:c r="R372" s="59" t="str">
        <x:f>IF($Q372="","",IF($O372=3,"Cravada",IF(AND($H372="Sim",$L372=$M372,$I372=$J372,$O372=2),"Empate cravado",IF($O372=1,"Resultado certo",IF($O372=-2,"Invertida",IF($P372=1,"Acertou quem passa","Erro"))))))</x:f>
      </x:c>
      <x:c r="S372" s="59" t="str">
        <x:f>IF($O372="","",--(OR($O372=3,AND($H372="Sim",$L372=$M372,$I372=$J372,$O372=2))))</x:f>
      </x:c>
      <x:c r="T372" s="59" t="str">
        <x:f>IF($O372="","",--($O372=-2))</x:f>
      </x:c>
      <x:c r="U372" s="59" t="str">
        <x:f>IF($O372="","",--($O372=1))</x:f>
      </x:c>
      <x:c r="V372" s="59" t="n">
        <x:f>--(AND($I372&lt;&gt;"",$J372&lt;&gt;""))</x:f>
        <x:v>0</x:v>
      </x:c>
    </x:row>
    <x:row r="373">
      <x:c r="A373" s="21" t="str">
        <x:f>INDEX(Config!$B$10:$B$16,INT((ROW()-5)/104)+1)</x:f>
        <x:v>Gustavo</x:v>
      </x:c>
      <x:c r="B373" s="21" t="str">
        <x:v>GJ3</x:v>
      </x:c>
      <x:c r="C373" s="21" t="n">
        <x:v>57</x:v>
      </x:c>
      <x:c r="D373" s="21" t="str">
        <x:v>Grupo J</x:v>
      </x:c>
      <x:c r="E373" s="21" t="str">
        <x:v>2026-06-22</x:v>
      </x:c>
      <x:c r="F373" s="21" t="str">
        <x:f>IFERROR(INDEX('Resultados'!$G$5:$G$108,MATCH($B373,'Resultados'!$A$5:$A$108,0)),"")</x:f>
        <x:v>Argentina</x:v>
      </x:c>
      <x:c r="G373" s="21" t="str">
        <x:f>IFERROR(INDEX('Resultados'!$J$5:$J$108,MATCH($B373,'Resultados'!$A$5:$A$108,0)),"")</x:f>
        <x:v>Áustria</x:v>
      </x:c>
      <x:c r="H373" s="21" t="str">
        <x:v>Não</x:v>
      </x:c>
      <x:c r="I373" s="22"/>
      <x:c r="J373" s="22"/>
      <x:c r="K373" s="23"/>
      <x:c r="L373" s="21" t="str">
        <x:f>IFERROR(INDEX('Resultados'!$H$5:$H$108,MATCH($B373,'Resultados'!$A$5:$A$108,0)),"")</x:f>
      </x:c>
      <x:c r="M373" s="21" t="str">
        <x:f>IFERROR(INDEX('Resultados'!$I$5:$I$108,MATCH($B373,'Resultados'!$A$5:$A$108,0)),"")</x:f>
      </x:c>
      <x:c r="N373" s="21" t="str">
        <x:f>IFERROR(INDEX('Resultados'!$L$5:$L$108,MATCH($B373,'Resultados'!$A$5:$A$108,0)),"")</x:f>
      </x:c>
      <x:c r="O373" s="59" t="str">
        <x:f>IF(OR($I373="",$J373="",$L373="",$M373=""),"",IF(AND($H373="Sim",$L373=$M373),IF($I373&lt;&gt;$J373,0,IF(AND($I373=$L373,$J373=$M373),2,1)),IF(AND($I373=$L373,$J373=$M373),3,IF(AND($I373&lt;&gt;$J373,$I373=$M373,$J373=$L373),-2,IF(SIGN($I373-$J373)=SIGN($L373-$M373),1,0)))))</x:f>
      </x:c>
      <x:c r="P373" s="59" t="str">
        <x:f>IF(OR($H373&lt;&gt;"Sim",$I373="",$J373="",$L373="",$M373=""),"",IF(AND(IF($I373&gt;$J373,$F373,IF($I373&lt;$J373,$G373,$K373))&lt;&gt;"",IF($L373&gt;$M373,$F373,IF($L373&lt;$M373,$G373,$N373))&lt;&gt;"",IF($I373&gt;$J373,$F373,IF($I373&lt;$J373,$G373,$K373))=IF($L373&gt;$M373,$F373,IF($L373&lt;$M373,$G373,$N373))),1,0))</x:f>
      </x:c>
      <x:c r="Q373" s="59" t="str">
        <x:f>IF($O373="","",$O373+$P373)</x:f>
      </x:c>
      <x:c r="R373" s="59" t="str">
        <x:f>IF($Q373="","",IF($O373=3,"Cravada",IF(AND($H373="Sim",$L373=$M373,$I373=$J373,$O373=2),"Empate cravado",IF($O373=1,"Resultado certo",IF($O373=-2,"Invertida",IF($P373=1,"Acertou quem passa","Erro"))))))</x:f>
      </x:c>
      <x:c r="S373" s="59" t="str">
        <x:f>IF($O373="","",--(OR($O373=3,AND($H373="Sim",$L373=$M373,$I373=$J373,$O373=2))))</x:f>
      </x:c>
      <x:c r="T373" s="59" t="str">
        <x:f>IF($O373="","",--($O373=-2))</x:f>
      </x:c>
      <x:c r="U373" s="59" t="str">
        <x:f>IF($O373="","",--($O373=1))</x:f>
      </x:c>
      <x:c r="V373" s="59" t="n">
        <x:f>--(AND($I373&lt;&gt;"",$J373&lt;&gt;""))</x:f>
        <x:v>0</x:v>
      </x:c>
    </x:row>
    <x:row r="374">
      <x:c r="A374" s="21" t="str">
        <x:f>INDEX(Config!$B$10:$B$16,INT((ROW()-5)/104)+1)</x:f>
        <x:v>Gustavo</x:v>
      </x:c>
      <x:c r="B374" s="21" t="str">
        <x:v>GJ4</x:v>
      </x:c>
      <x:c r="C374" s="21" t="n">
        <x:v>58</x:v>
      </x:c>
      <x:c r="D374" s="21" t="str">
        <x:v>Grupo J</x:v>
      </x:c>
      <x:c r="E374" s="21" t="str">
        <x:v>2026-06-23</x:v>
      </x:c>
      <x:c r="F374" s="21" t="str">
        <x:f>IFERROR(INDEX('Resultados'!$G$5:$G$108,MATCH($B374,'Resultados'!$A$5:$A$108,0)),"")</x:f>
        <x:v>Argélia</x:v>
      </x:c>
      <x:c r="G374" s="21" t="str">
        <x:f>IFERROR(INDEX('Resultados'!$J$5:$J$108,MATCH($B374,'Resultados'!$A$5:$A$108,0)),"")</x:f>
        <x:v>Jordânia</x:v>
      </x:c>
      <x:c r="H374" s="21" t="str">
        <x:v>Não</x:v>
      </x:c>
      <x:c r="I374" s="22"/>
      <x:c r="J374" s="22"/>
      <x:c r="K374" s="23"/>
      <x:c r="L374" s="21" t="str">
        <x:f>IFERROR(INDEX('Resultados'!$H$5:$H$108,MATCH($B374,'Resultados'!$A$5:$A$108,0)),"")</x:f>
      </x:c>
      <x:c r="M374" s="21" t="str">
        <x:f>IFERROR(INDEX('Resultados'!$I$5:$I$108,MATCH($B374,'Resultados'!$A$5:$A$108,0)),"")</x:f>
      </x:c>
      <x:c r="N374" s="21" t="str">
        <x:f>IFERROR(INDEX('Resultados'!$L$5:$L$108,MATCH($B374,'Resultados'!$A$5:$A$108,0)),"")</x:f>
      </x:c>
      <x:c r="O374" s="59" t="str">
        <x:f>IF(OR($I374="",$J374="",$L374="",$M374=""),"",IF(AND($H374="Sim",$L374=$M374),IF($I374&lt;&gt;$J374,0,IF(AND($I374=$L374,$J374=$M374),2,1)),IF(AND($I374=$L374,$J374=$M374),3,IF(AND($I374&lt;&gt;$J374,$I374=$M374,$J374=$L374),-2,IF(SIGN($I374-$J374)=SIGN($L374-$M374),1,0)))))</x:f>
      </x:c>
      <x:c r="P374" s="59" t="str">
        <x:f>IF(OR($H374&lt;&gt;"Sim",$I374="",$J374="",$L374="",$M374=""),"",IF(AND(IF($I374&gt;$J374,$F374,IF($I374&lt;$J374,$G374,$K374))&lt;&gt;"",IF($L374&gt;$M374,$F374,IF($L374&lt;$M374,$G374,$N374))&lt;&gt;"",IF($I374&gt;$J374,$F374,IF($I374&lt;$J374,$G374,$K374))=IF($L374&gt;$M374,$F374,IF($L374&lt;$M374,$G374,$N374))),1,0))</x:f>
      </x:c>
      <x:c r="Q374" s="59" t="str">
        <x:f>IF($O374="","",$O374+$P374)</x:f>
      </x:c>
      <x:c r="R374" s="59" t="str">
        <x:f>IF($Q374="","",IF($O374=3,"Cravada",IF(AND($H374="Sim",$L374=$M374,$I374=$J374,$O374=2),"Empate cravado",IF($O374=1,"Resultado certo",IF($O374=-2,"Invertida",IF($P374=1,"Acertou quem passa","Erro"))))))</x:f>
      </x:c>
      <x:c r="S374" s="59" t="str">
        <x:f>IF($O374="","",--(OR($O374=3,AND($H374="Sim",$L374=$M374,$I374=$J374,$O374=2))))</x:f>
      </x:c>
      <x:c r="T374" s="59" t="str">
        <x:f>IF($O374="","",--($O374=-2))</x:f>
      </x:c>
      <x:c r="U374" s="59" t="str">
        <x:f>IF($O374="","",--($O374=1))</x:f>
      </x:c>
      <x:c r="V374" s="59" t="n">
        <x:f>--(AND($I374&lt;&gt;"",$J374&lt;&gt;""))</x:f>
        <x:v>0</x:v>
      </x:c>
    </x:row>
    <x:row r="375">
      <x:c r="A375" s="21" t="str">
        <x:f>INDEX(Config!$B$10:$B$16,INT((ROW()-5)/104)+1)</x:f>
        <x:v>Gustavo</x:v>
      </x:c>
      <x:c r="B375" s="21" t="str">
        <x:v>GJ5</x:v>
      </x:c>
      <x:c r="C375" s="21" t="n">
        <x:v>59</x:v>
      </x:c>
      <x:c r="D375" s="21" t="str">
        <x:v>Grupo J</x:v>
      </x:c>
      <x:c r="E375" s="21" t="str">
        <x:v>2026-06-27</x:v>
      </x:c>
      <x:c r="F375" s="21" t="str">
        <x:f>IFERROR(INDEX('Resultados'!$G$5:$G$108,MATCH($B375,'Resultados'!$A$5:$A$108,0)),"")</x:f>
        <x:v>Argentina</x:v>
      </x:c>
      <x:c r="G375" s="21" t="str">
        <x:f>IFERROR(INDEX('Resultados'!$J$5:$J$108,MATCH($B375,'Resultados'!$A$5:$A$108,0)),"")</x:f>
        <x:v>Jordânia</x:v>
      </x:c>
      <x:c r="H375" s="21" t="str">
        <x:v>Não</x:v>
      </x:c>
      <x:c r="I375" s="22"/>
      <x:c r="J375" s="22"/>
      <x:c r="K375" s="23"/>
      <x:c r="L375" s="21" t="str">
        <x:f>IFERROR(INDEX('Resultados'!$H$5:$H$108,MATCH($B375,'Resultados'!$A$5:$A$108,0)),"")</x:f>
      </x:c>
      <x:c r="M375" s="21" t="str">
        <x:f>IFERROR(INDEX('Resultados'!$I$5:$I$108,MATCH($B375,'Resultados'!$A$5:$A$108,0)),"")</x:f>
      </x:c>
      <x:c r="N375" s="21" t="str">
        <x:f>IFERROR(INDEX('Resultados'!$L$5:$L$108,MATCH($B375,'Resultados'!$A$5:$A$108,0)),"")</x:f>
      </x:c>
      <x:c r="O375" s="59" t="str">
        <x:f>IF(OR($I375="",$J375="",$L375="",$M375=""),"",IF(AND($H375="Sim",$L375=$M375),IF($I375&lt;&gt;$J375,0,IF(AND($I375=$L375,$J375=$M375),2,1)),IF(AND($I375=$L375,$J375=$M375),3,IF(AND($I375&lt;&gt;$J375,$I375=$M375,$J375=$L375),-2,IF(SIGN($I375-$J375)=SIGN($L375-$M375),1,0)))))</x:f>
      </x:c>
      <x:c r="P375" s="59" t="str">
        <x:f>IF(OR($H375&lt;&gt;"Sim",$I375="",$J375="",$L375="",$M375=""),"",IF(AND(IF($I375&gt;$J375,$F375,IF($I375&lt;$J375,$G375,$K375))&lt;&gt;"",IF($L375&gt;$M375,$F375,IF($L375&lt;$M375,$G375,$N375))&lt;&gt;"",IF($I375&gt;$J375,$F375,IF($I375&lt;$J375,$G375,$K375))=IF($L375&gt;$M375,$F375,IF($L375&lt;$M375,$G375,$N375))),1,0))</x:f>
      </x:c>
      <x:c r="Q375" s="59" t="str">
        <x:f>IF($O375="","",$O375+$P375)</x:f>
      </x:c>
      <x:c r="R375" s="59" t="str">
        <x:f>IF($Q375="","",IF($O375=3,"Cravada",IF(AND($H375="Sim",$L375=$M375,$I375=$J375,$O375=2),"Empate cravado",IF($O375=1,"Resultado certo",IF($O375=-2,"Invertida",IF($P375=1,"Acertou quem passa","Erro"))))))</x:f>
      </x:c>
      <x:c r="S375" s="59" t="str">
        <x:f>IF($O375="","",--(OR($O375=3,AND($H375="Sim",$L375=$M375,$I375=$J375,$O375=2))))</x:f>
      </x:c>
      <x:c r="T375" s="59" t="str">
        <x:f>IF($O375="","",--($O375=-2))</x:f>
      </x:c>
      <x:c r="U375" s="59" t="str">
        <x:f>IF($O375="","",--($O375=1))</x:f>
      </x:c>
      <x:c r="V375" s="59" t="n">
        <x:f>--(AND($I375&lt;&gt;"",$J375&lt;&gt;""))</x:f>
        <x:v>0</x:v>
      </x:c>
    </x:row>
    <x:row r="376">
      <x:c r="A376" s="21" t="str">
        <x:f>INDEX(Config!$B$10:$B$16,INT((ROW()-5)/104)+1)</x:f>
        <x:v>Gustavo</x:v>
      </x:c>
      <x:c r="B376" s="21" t="str">
        <x:v>GJ6</x:v>
      </x:c>
      <x:c r="C376" s="21" t="n">
        <x:v>60</x:v>
      </x:c>
      <x:c r="D376" s="21" t="str">
        <x:v>Grupo J</x:v>
      </x:c>
      <x:c r="E376" s="21" t="str">
        <x:v>2026-06-27</x:v>
      </x:c>
      <x:c r="F376" s="21" t="str">
        <x:f>IFERROR(INDEX('Resultados'!$G$5:$G$108,MATCH($B376,'Resultados'!$A$5:$A$108,0)),"")</x:f>
        <x:v>Argélia</x:v>
      </x:c>
      <x:c r="G376" s="21" t="str">
        <x:f>IFERROR(INDEX('Resultados'!$J$5:$J$108,MATCH($B376,'Resultados'!$A$5:$A$108,0)),"")</x:f>
        <x:v>Áustria</x:v>
      </x:c>
      <x:c r="H376" s="21" t="str">
        <x:v>Não</x:v>
      </x:c>
      <x:c r="I376" s="22"/>
      <x:c r="J376" s="22"/>
      <x:c r="K376" s="23"/>
      <x:c r="L376" s="21" t="str">
        <x:f>IFERROR(INDEX('Resultados'!$H$5:$H$108,MATCH($B376,'Resultados'!$A$5:$A$108,0)),"")</x:f>
      </x:c>
      <x:c r="M376" s="21" t="str">
        <x:f>IFERROR(INDEX('Resultados'!$I$5:$I$108,MATCH($B376,'Resultados'!$A$5:$A$108,0)),"")</x:f>
      </x:c>
      <x:c r="N376" s="21" t="str">
        <x:f>IFERROR(INDEX('Resultados'!$L$5:$L$108,MATCH($B376,'Resultados'!$A$5:$A$108,0)),"")</x:f>
      </x:c>
      <x:c r="O376" s="59" t="str">
        <x:f>IF(OR($I376="",$J376="",$L376="",$M376=""),"",IF(AND($H376="Sim",$L376=$M376),IF($I376&lt;&gt;$J376,0,IF(AND($I376=$L376,$J376=$M376),2,1)),IF(AND($I376=$L376,$J376=$M376),3,IF(AND($I376&lt;&gt;$J376,$I376=$M376,$J376=$L376),-2,IF(SIGN($I376-$J376)=SIGN($L376-$M376),1,0)))))</x:f>
      </x:c>
      <x:c r="P376" s="59" t="str">
        <x:f>IF(OR($H376&lt;&gt;"Sim",$I376="",$J376="",$L376="",$M376=""),"",IF(AND(IF($I376&gt;$J376,$F376,IF($I376&lt;$J376,$G376,$K376))&lt;&gt;"",IF($L376&gt;$M376,$F376,IF($L376&lt;$M376,$G376,$N376))&lt;&gt;"",IF($I376&gt;$J376,$F376,IF($I376&lt;$J376,$G376,$K376))=IF($L376&gt;$M376,$F376,IF($L376&lt;$M376,$G376,$N376))),1,0))</x:f>
      </x:c>
      <x:c r="Q376" s="59" t="str">
        <x:f>IF($O376="","",$O376+$P376)</x:f>
      </x:c>
      <x:c r="R376" s="59" t="str">
        <x:f>IF($Q376="","",IF($O376=3,"Cravada",IF(AND($H376="Sim",$L376=$M376,$I376=$J376,$O376=2),"Empate cravado",IF($O376=1,"Resultado certo",IF($O376=-2,"Invertida",IF($P376=1,"Acertou quem passa","Erro"))))))</x:f>
      </x:c>
      <x:c r="S376" s="59" t="str">
        <x:f>IF($O376="","",--(OR($O376=3,AND($H376="Sim",$L376=$M376,$I376=$J376,$O376=2))))</x:f>
      </x:c>
      <x:c r="T376" s="59" t="str">
        <x:f>IF($O376="","",--($O376=-2))</x:f>
      </x:c>
      <x:c r="U376" s="59" t="str">
        <x:f>IF($O376="","",--($O376=1))</x:f>
      </x:c>
      <x:c r="V376" s="59" t="n">
        <x:f>--(AND($I376&lt;&gt;"",$J376&lt;&gt;""))</x:f>
        <x:v>0</x:v>
      </x:c>
    </x:row>
    <x:row r="377">
      <x:c r="A377" s="21" t="str">
        <x:f>INDEX(Config!$B$10:$B$16,INT((ROW()-5)/104)+1)</x:f>
        <x:v>Gustavo</x:v>
      </x:c>
      <x:c r="B377" s="21" t="str">
        <x:v>GK1</x:v>
      </x:c>
      <x:c r="C377" s="21" t="n">
        <x:v>61</x:v>
      </x:c>
      <x:c r="D377" s="21" t="str">
        <x:v>Grupo K</x:v>
      </x:c>
      <x:c r="E377" s="21" t="str">
        <x:v>2026-06-17</x:v>
      </x:c>
      <x:c r="F377" s="21" t="str">
        <x:f>IFERROR(INDEX('Resultados'!$G$5:$G$108,MATCH($B377,'Resultados'!$A$5:$A$108,0)),"")</x:f>
        <x:v>Portugal</x:v>
      </x:c>
      <x:c r="G377" s="21" t="str">
        <x:f>IFERROR(INDEX('Resultados'!$J$5:$J$108,MATCH($B377,'Resultados'!$A$5:$A$108,0)),"")</x:f>
        <x:v>Rep. D. do Congo</x:v>
      </x:c>
      <x:c r="H377" s="21" t="str">
        <x:v>Não</x:v>
      </x:c>
      <x:c r="I377" s="22"/>
      <x:c r="J377" s="22"/>
      <x:c r="K377" s="23"/>
      <x:c r="L377" s="21" t="str">
        <x:f>IFERROR(INDEX('Resultados'!$H$5:$H$108,MATCH($B377,'Resultados'!$A$5:$A$108,0)),"")</x:f>
      </x:c>
      <x:c r="M377" s="21" t="str">
        <x:f>IFERROR(INDEX('Resultados'!$I$5:$I$108,MATCH($B377,'Resultados'!$A$5:$A$108,0)),"")</x:f>
      </x:c>
      <x:c r="N377" s="21" t="str">
        <x:f>IFERROR(INDEX('Resultados'!$L$5:$L$108,MATCH($B377,'Resultados'!$A$5:$A$108,0)),"")</x:f>
      </x:c>
      <x:c r="O377" s="59" t="str">
        <x:f>IF(OR($I377="",$J377="",$L377="",$M377=""),"",IF(AND($H377="Sim",$L377=$M377),IF($I377&lt;&gt;$J377,0,IF(AND($I377=$L377,$J377=$M377),2,1)),IF(AND($I377=$L377,$J377=$M377),3,IF(AND($I377&lt;&gt;$J377,$I377=$M377,$J377=$L377),-2,IF(SIGN($I377-$J377)=SIGN($L377-$M377),1,0)))))</x:f>
      </x:c>
      <x:c r="P377" s="59" t="str">
        <x:f>IF(OR($H377&lt;&gt;"Sim",$I377="",$J377="",$L377="",$M377=""),"",IF(AND(IF($I377&gt;$J377,$F377,IF($I377&lt;$J377,$G377,$K377))&lt;&gt;"",IF($L377&gt;$M377,$F377,IF($L377&lt;$M377,$G377,$N377))&lt;&gt;"",IF($I377&gt;$J377,$F377,IF($I377&lt;$J377,$G377,$K377))=IF($L377&gt;$M377,$F377,IF($L377&lt;$M377,$G377,$N377))),1,0))</x:f>
      </x:c>
      <x:c r="Q377" s="59" t="str">
        <x:f>IF($O377="","",$O377+$P377)</x:f>
      </x:c>
      <x:c r="R377" s="59" t="str">
        <x:f>IF($Q377="","",IF($O377=3,"Cravada",IF(AND($H377="Sim",$L377=$M377,$I377=$J377,$O377=2),"Empate cravado",IF($O377=1,"Resultado certo",IF($O377=-2,"Invertida",IF($P377=1,"Acertou quem passa","Erro"))))))</x:f>
      </x:c>
      <x:c r="S377" s="59" t="str">
        <x:f>IF($O377="","",--(OR($O377=3,AND($H377="Sim",$L377=$M377,$I377=$J377,$O377=2))))</x:f>
      </x:c>
      <x:c r="T377" s="59" t="str">
        <x:f>IF($O377="","",--($O377=-2))</x:f>
      </x:c>
      <x:c r="U377" s="59" t="str">
        <x:f>IF($O377="","",--($O377=1))</x:f>
      </x:c>
      <x:c r="V377" s="59" t="n">
        <x:f>--(AND($I377&lt;&gt;"",$J377&lt;&gt;""))</x:f>
        <x:v>0</x:v>
      </x:c>
    </x:row>
    <x:row r="378">
      <x:c r="A378" s="21" t="str">
        <x:f>INDEX(Config!$B$10:$B$16,INT((ROW()-5)/104)+1)</x:f>
        <x:v>Gustavo</x:v>
      </x:c>
      <x:c r="B378" s="21" t="str">
        <x:v>GK2</x:v>
      </x:c>
      <x:c r="C378" s="21" t="n">
        <x:v>62</x:v>
      </x:c>
      <x:c r="D378" s="21" t="str">
        <x:v>Grupo K</x:v>
      </x:c>
      <x:c r="E378" s="21" t="str">
        <x:v>2026-06-17</x:v>
      </x:c>
      <x:c r="F378" s="21" t="str">
        <x:f>IFERROR(INDEX('Resultados'!$G$5:$G$108,MATCH($B378,'Resultados'!$A$5:$A$108,0)),"")</x:f>
        <x:v>Uzbequistão</x:v>
      </x:c>
      <x:c r="G378" s="21" t="str">
        <x:f>IFERROR(INDEX('Resultados'!$J$5:$J$108,MATCH($B378,'Resultados'!$A$5:$A$108,0)),"")</x:f>
        <x:v>Colômbia</x:v>
      </x:c>
      <x:c r="H378" s="21" t="str">
        <x:v>Não</x:v>
      </x:c>
      <x:c r="I378" s="22"/>
      <x:c r="J378" s="22"/>
      <x:c r="K378" s="23"/>
      <x:c r="L378" s="21" t="str">
        <x:f>IFERROR(INDEX('Resultados'!$H$5:$H$108,MATCH($B378,'Resultados'!$A$5:$A$108,0)),"")</x:f>
      </x:c>
      <x:c r="M378" s="21" t="str">
        <x:f>IFERROR(INDEX('Resultados'!$I$5:$I$108,MATCH($B378,'Resultados'!$A$5:$A$108,0)),"")</x:f>
      </x:c>
      <x:c r="N378" s="21" t="str">
        <x:f>IFERROR(INDEX('Resultados'!$L$5:$L$108,MATCH($B378,'Resultados'!$A$5:$A$108,0)),"")</x:f>
      </x:c>
      <x:c r="O378" s="59" t="str">
        <x:f>IF(OR($I378="",$J378="",$L378="",$M378=""),"",IF(AND($H378="Sim",$L378=$M378),IF($I378&lt;&gt;$J378,0,IF(AND($I378=$L378,$J378=$M378),2,1)),IF(AND($I378=$L378,$J378=$M378),3,IF(AND($I378&lt;&gt;$J378,$I378=$M378,$J378=$L378),-2,IF(SIGN($I378-$J378)=SIGN($L378-$M378),1,0)))))</x:f>
      </x:c>
      <x:c r="P378" s="59" t="str">
        <x:f>IF(OR($H378&lt;&gt;"Sim",$I378="",$J378="",$L378="",$M378=""),"",IF(AND(IF($I378&gt;$J378,$F378,IF($I378&lt;$J378,$G378,$K378))&lt;&gt;"",IF($L378&gt;$M378,$F378,IF($L378&lt;$M378,$G378,$N378))&lt;&gt;"",IF($I378&gt;$J378,$F378,IF($I378&lt;$J378,$G378,$K378))=IF($L378&gt;$M378,$F378,IF($L378&lt;$M378,$G378,$N378))),1,0))</x:f>
      </x:c>
      <x:c r="Q378" s="59" t="str">
        <x:f>IF($O378="","",$O378+$P378)</x:f>
      </x:c>
      <x:c r="R378" s="59" t="str">
        <x:f>IF($Q378="","",IF($O378=3,"Cravada",IF(AND($H378="Sim",$L378=$M378,$I378=$J378,$O378=2),"Empate cravado",IF($O378=1,"Resultado certo",IF($O378=-2,"Invertida",IF($P378=1,"Acertou quem passa","Erro"))))))</x:f>
      </x:c>
      <x:c r="S378" s="59" t="str">
        <x:f>IF($O378="","",--(OR($O378=3,AND($H378="Sim",$L378=$M378,$I378=$J378,$O378=2))))</x:f>
      </x:c>
      <x:c r="T378" s="59" t="str">
        <x:f>IF($O378="","",--($O378=-2))</x:f>
      </x:c>
      <x:c r="U378" s="59" t="str">
        <x:f>IF($O378="","",--($O378=1))</x:f>
      </x:c>
      <x:c r="V378" s="59" t="n">
        <x:f>--(AND($I378&lt;&gt;"",$J378&lt;&gt;""))</x:f>
        <x:v>0</x:v>
      </x:c>
    </x:row>
    <x:row r="379">
      <x:c r="A379" s="21" t="str">
        <x:f>INDEX(Config!$B$10:$B$16,INT((ROW()-5)/104)+1)</x:f>
        <x:v>Gustavo</x:v>
      </x:c>
      <x:c r="B379" s="21" t="str">
        <x:v>GK3</x:v>
      </x:c>
      <x:c r="C379" s="21" t="n">
        <x:v>63</x:v>
      </x:c>
      <x:c r="D379" s="21" t="str">
        <x:v>Grupo K</x:v>
      </x:c>
      <x:c r="E379" s="21" t="str">
        <x:v>2026-06-23</x:v>
      </x:c>
      <x:c r="F379" s="21" t="str">
        <x:f>IFERROR(INDEX('Resultados'!$G$5:$G$108,MATCH($B379,'Resultados'!$A$5:$A$108,0)),"")</x:f>
        <x:v>Portugal</x:v>
      </x:c>
      <x:c r="G379" s="21" t="str">
        <x:f>IFERROR(INDEX('Resultados'!$J$5:$J$108,MATCH($B379,'Resultados'!$A$5:$A$108,0)),"")</x:f>
        <x:v>Uzbequistão</x:v>
      </x:c>
      <x:c r="H379" s="21" t="str">
        <x:v>Não</x:v>
      </x:c>
      <x:c r="I379" s="22"/>
      <x:c r="J379" s="22"/>
      <x:c r="K379" s="23"/>
      <x:c r="L379" s="21" t="str">
        <x:f>IFERROR(INDEX('Resultados'!$H$5:$H$108,MATCH($B379,'Resultados'!$A$5:$A$108,0)),"")</x:f>
      </x:c>
      <x:c r="M379" s="21" t="str">
        <x:f>IFERROR(INDEX('Resultados'!$I$5:$I$108,MATCH($B379,'Resultados'!$A$5:$A$108,0)),"")</x:f>
      </x:c>
      <x:c r="N379" s="21" t="str">
        <x:f>IFERROR(INDEX('Resultados'!$L$5:$L$108,MATCH($B379,'Resultados'!$A$5:$A$108,0)),"")</x:f>
      </x:c>
      <x:c r="O379" s="59" t="str">
        <x:f>IF(OR($I379="",$J379="",$L379="",$M379=""),"",IF(AND($H379="Sim",$L379=$M379),IF($I379&lt;&gt;$J379,0,IF(AND($I379=$L379,$J379=$M379),2,1)),IF(AND($I379=$L379,$J379=$M379),3,IF(AND($I379&lt;&gt;$J379,$I379=$M379,$J379=$L379),-2,IF(SIGN($I379-$J379)=SIGN($L379-$M379),1,0)))))</x:f>
      </x:c>
      <x:c r="P379" s="59" t="str">
        <x:f>IF(OR($H379&lt;&gt;"Sim",$I379="",$J379="",$L379="",$M379=""),"",IF(AND(IF($I379&gt;$J379,$F379,IF($I379&lt;$J379,$G379,$K379))&lt;&gt;"",IF($L379&gt;$M379,$F379,IF($L379&lt;$M379,$G379,$N379))&lt;&gt;"",IF($I379&gt;$J379,$F379,IF($I379&lt;$J379,$G379,$K379))=IF($L379&gt;$M379,$F379,IF($L379&lt;$M379,$G379,$N379))),1,0))</x:f>
      </x:c>
      <x:c r="Q379" s="59" t="str">
        <x:f>IF($O379="","",$O379+$P379)</x:f>
      </x:c>
      <x:c r="R379" s="59" t="str">
        <x:f>IF($Q379="","",IF($O379=3,"Cravada",IF(AND($H379="Sim",$L379=$M379,$I379=$J379,$O379=2),"Empate cravado",IF($O379=1,"Resultado certo",IF($O379=-2,"Invertida",IF($P379=1,"Acertou quem passa","Erro"))))))</x:f>
      </x:c>
      <x:c r="S379" s="59" t="str">
        <x:f>IF($O379="","",--(OR($O379=3,AND($H379="Sim",$L379=$M379,$I379=$J379,$O379=2))))</x:f>
      </x:c>
      <x:c r="T379" s="59" t="str">
        <x:f>IF($O379="","",--($O379=-2))</x:f>
      </x:c>
      <x:c r="U379" s="59" t="str">
        <x:f>IF($O379="","",--($O379=1))</x:f>
      </x:c>
      <x:c r="V379" s="59" t="n">
        <x:f>--(AND($I379&lt;&gt;"",$J379&lt;&gt;""))</x:f>
        <x:v>0</x:v>
      </x:c>
    </x:row>
    <x:row r="380">
      <x:c r="A380" s="21" t="str">
        <x:f>INDEX(Config!$B$10:$B$16,INT((ROW()-5)/104)+1)</x:f>
        <x:v>Gustavo</x:v>
      </x:c>
      <x:c r="B380" s="21" t="str">
        <x:v>GK4</x:v>
      </x:c>
      <x:c r="C380" s="21" t="n">
        <x:v>64</x:v>
      </x:c>
      <x:c r="D380" s="21" t="str">
        <x:v>Grupo K</x:v>
      </x:c>
      <x:c r="E380" s="21" t="str">
        <x:v>2026-06-23</x:v>
      </x:c>
      <x:c r="F380" s="21" t="str">
        <x:f>IFERROR(INDEX('Resultados'!$G$5:$G$108,MATCH($B380,'Resultados'!$A$5:$A$108,0)),"")</x:f>
        <x:v>Rep. D. do Congo</x:v>
      </x:c>
      <x:c r="G380" s="21" t="str">
        <x:f>IFERROR(INDEX('Resultados'!$J$5:$J$108,MATCH($B380,'Resultados'!$A$5:$A$108,0)),"")</x:f>
        <x:v>Colômbia</x:v>
      </x:c>
      <x:c r="H380" s="21" t="str">
        <x:v>Não</x:v>
      </x:c>
      <x:c r="I380" s="22"/>
      <x:c r="J380" s="22"/>
      <x:c r="K380" s="23"/>
      <x:c r="L380" s="21" t="str">
        <x:f>IFERROR(INDEX('Resultados'!$H$5:$H$108,MATCH($B380,'Resultados'!$A$5:$A$108,0)),"")</x:f>
      </x:c>
      <x:c r="M380" s="21" t="str">
        <x:f>IFERROR(INDEX('Resultados'!$I$5:$I$108,MATCH($B380,'Resultados'!$A$5:$A$108,0)),"")</x:f>
      </x:c>
      <x:c r="N380" s="21" t="str">
        <x:f>IFERROR(INDEX('Resultados'!$L$5:$L$108,MATCH($B380,'Resultados'!$A$5:$A$108,0)),"")</x:f>
      </x:c>
      <x:c r="O380" s="59" t="str">
        <x:f>IF(OR($I380="",$J380="",$L380="",$M380=""),"",IF(AND($H380="Sim",$L380=$M380),IF($I380&lt;&gt;$J380,0,IF(AND($I380=$L380,$J380=$M380),2,1)),IF(AND($I380=$L380,$J380=$M380),3,IF(AND($I380&lt;&gt;$J380,$I380=$M380,$J380=$L380),-2,IF(SIGN($I380-$J380)=SIGN($L380-$M380),1,0)))))</x:f>
      </x:c>
      <x:c r="P380" s="59" t="str">
        <x:f>IF(OR($H380&lt;&gt;"Sim",$I380="",$J380="",$L380="",$M380=""),"",IF(AND(IF($I380&gt;$J380,$F380,IF($I380&lt;$J380,$G380,$K380))&lt;&gt;"",IF($L380&gt;$M380,$F380,IF($L380&lt;$M380,$G380,$N380))&lt;&gt;"",IF($I380&gt;$J380,$F380,IF($I380&lt;$J380,$G380,$K380))=IF($L380&gt;$M380,$F380,IF($L380&lt;$M380,$G380,$N380))),1,0))</x:f>
      </x:c>
      <x:c r="Q380" s="59" t="str">
        <x:f>IF($O380="","",$O380+$P380)</x:f>
      </x:c>
      <x:c r="R380" s="59" t="str">
        <x:f>IF($Q380="","",IF($O380=3,"Cravada",IF(AND($H380="Sim",$L380=$M380,$I380=$J380,$O380=2),"Empate cravado",IF($O380=1,"Resultado certo",IF($O380=-2,"Invertida",IF($P380=1,"Acertou quem passa","Erro"))))))</x:f>
      </x:c>
      <x:c r="S380" s="59" t="str">
        <x:f>IF($O380="","",--(OR($O380=3,AND($H380="Sim",$L380=$M380,$I380=$J380,$O380=2))))</x:f>
      </x:c>
      <x:c r="T380" s="59" t="str">
        <x:f>IF($O380="","",--($O380=-2))</x:f>
      </x:c>
      <x:c r="U380" s="59" t="str">
        <x:f>IF($O380="","",--($O380=1))</x:f>
      </x:c>
      <x:c r="V380" s="59" t="n">
        <x:f>--(AND($I380&lt;&gt;"",$J380&lt;&gt;""))</x:f>
        <x:v>0</x:v>
      </x:c>
    </x:row>
    <x:row r="381">
      <x:c r="A381" s="21" t="str">
        <x:f>INDEX(Config!$B$10:$B$16,INT((ROW()-5)/104)+1)</x:f>
        <x:v>Gustavo</x:v>
      </x:c>
      <x:c r="B381" s="21" t="str">
        <x:v>GK5</x:v>
      </x:c>
      <x:c r="C381" s="21" t="n">
        <x:v>65</x:v>
      </x:c>
      <x:c r="D381" s="21" t="str">
        <x:v>Grupo K</x:v>
      </x:c>
      <x:c r="E381" s="21" t="str">
        <x:v>2026-06-27</x:v>
      </x:c>
      <x:c r="F381" s="21" t="str">
        <x:f>IFERROR(INDEX('Resultados'!$G$5:$G$108,MATCH($B381,'Resultados'!$A$5:$A$108,0)),"")</x:f>
        <x:v>Portugal</x:v>
      </x:c>
      <x:c r="G381" s="21" t="str">
        <x:f>IFERROR(INDEX('Resultados'!$J$5:$J$108,MATCH($B381,'Resultados'!$A$5:$A$108,0)),"")</x:f>
        <x:v>Colômbia</x:v>
      </x:c>
      <x:c r="H381" s="21" t="str">
        <x:v>Não</x:v>
      </x:c>
      <x:c r="I381" s="22"/>
      <x:c r="J381" s="22"/>
      <x:c r="K381" s="23"/>
      <x:c r="L381" s="21" t="str">
        <x:f>IFERROR(INDEX('Resultados'!$H$5:$H$108,MATCH($B381,'Resultados'!$A$5:$A$108,0)),"")</x:f>
      </x:c>
      <x:c r="M381" s="21" t="str">
        <x:f>IFERROR(INDEX('Resultados'!$I$5:$I$108,MATCH($B381,'Resultados'!$A$5:$A$108,0)),"")</x:f>
      </x:c>
      <x:c r="N381" s="21" t="str">
        <x:f>IFERROR(INDEX('Resultados'!$L$5:$L$108,MATCH($B381,'Resultados'!$A$5:$A$108,0)),"")</x:f>
      </x:c>
      <x:c r="O381" s="59" t="str">
        <x:f>IF(OR($I381="",$J381="",$L381="",$M381=""),"",IF(AND($H381="Sim",$L381=$M381),IF($I381&lt;&gt;$J381,0,IF(AND($I381=$L381,$J381=$M381),2,1)),IF(AND($I381=$L381,$J381=$M381),3,IF(AND($I381&lt;&gt;$J381,$I381=$M381,$J381=$L381),-2,IF(SIGN($I381-$J381)=SIGN($L381-$M381),1,0)))))</x:f>
      </x:c>
      <x:c r="P381" s="59" t="str">
        <x:f>IF(OR($H381&lt;&gt;"Sim",$I381="",$J381="",$L381="",$M381=""),"",IF(AND(IF($I381&gt;$J381,$F381,IF($I381&lt;$J381,$G381,$K381))&lt;&gt;"",IF($L381&gt;$M381,$F381,IF($L381&lt;$M381,$G381,$N381))&lt;&gt;"",IF($I381&gt;$J381,$F381,IF($I381&lt;$J381,$G381,$K381))=IF($L381&gt;$M381,$F381,IF($L381&lt;$M381,$G381,$N381))),1,0))</x:f>
      </x:c>
      <x:c r="Q381" s="59" t="str">
        <x:f>IF($O381="","",$O381+$P381)</x:f>
      </x:c>
      <x:c r="R381" s="59" t="str">
        <x:f>IF($Q381="","",IF($O381=3,"Cravada",IF(AND($H381="Sim",$L381=$M381,$I381=$J381,$O381=2),"Empate cravado",IF($O381=1,"Resultado certo",IF($O381=-2,"Invertida",IF($P381=1,"Acertou quem passa","Erro"))))))</x:f>
      </x:c>
      <x:c r="S381" s="59" t="str">
        <x:f>IF($O381="","",--(OR($O381=3,AND($H381="Sim",$L381=$M381,$I381=$J381,$O381=2))))</x:f>
      </x:c>
      <x:c r="T381" s="59" t="str">
        <x:f>IF($O381="","",--($O381=-2))</x:f>
      </x:c>
      <x:c r="U381" s="59" t="str">
        <x:f>IF($O381="","",--($O381=1))</x:f>
      </x:c>
      <x:c r="V381" s="59" t="n">
        <x:f>--(AND($I381&lt;&gt;"",$J381&lt;&gt;""))</x:f>
        <x:v>0</x:v>
      </x:c>
    </x:row>
    <x:row r="382">
      <x:c r="A382" s="21" t="str">
        <x:f>INDEX(Config!$B$10:$B$16,INT((ROW()-5)/104)+1)</x:f>
        <x:v>Gustavo</x:v>
      </x:c>
      <x:c r="B382" s="21" t="str">
        <x:v>GK6</x:v>
      </x:c>
      <x:c r="C382" s="21" t="n">
        <x:v>66</x:v>
      </x:c>
      <x:c r="D382" s="21" t="str">
        <x:v>Grupo K</x:v>
      </x:c>
      <x:c r="E382" s="21" t="str">
        <x:v>2026-06-27</x:v>
      </x:c>
      <x:c r="F382" s="21" t="str">
        <x:f>IFERROR(INDEX('Resultados'!$G$5:$G$108,MATCH($B382,'Resultados'!$A$5:$A$108,0)),"")</x:f>
        <x:v>Rep. D. do Congo</x:v>
      </x:c>
      <x:c r="G382" s="21" t="str">
        <x:f>IFERROR(INDEX('Resultados'!$J$5:$J$108,MATCH($B382,'Resultados'!$A$5:$A$108,0)),"")</x:f>
        <x:v>Uzbequistão</x:v>
      </x:c>
      <x:c r="H382" s="21" t="str">
        <x:v>Não</x:v>
      </x:c>
      <x:c r="I382" s="22"/>
      <x:c r="J382" s="22"/>
      <x:c r="K382" s="23"/>
      <x:c r="L382" s="21" t="str">
        <x:f>IFERROR(INDEX('Resultados'!$H$5:$H$108,MATCH($B382,'Resultados'!$A$5:$A$108,0)),"")</x:f>
      </x:c>
      <x:c r="M382" s="21" t="str">
        <x:f>IFERROR(INDEX('Resultados'!$I$5:$I$108,MATCH($B382,'Resultados'!$A$5:$A$108,0)),"")</x:f>
      </x:c>
      <x:c r="N382" s="21" t="str">
        <x:f>IFERROR(INDEX('Resultados'!$L$5:$L$108,MATCH($B382,'Resultados'!$A$5:$A$108,0)),"")</x:f>
      </x:c>
      <x:c r="O382" s="59" t="str">
        <x:f>IF(OR($I382="",$J382="",$L382="",$M382=""),"",IF(AND($H382="Sim",$L382=$M382),IF($I382&lt;&gt;$J382,0,IF(AND($I382=$L382,$J382=$M382),2,1)),IF(AND($I382=$L382,$J382=$M382),3,IF(AND($I382&lt;&gt;$J382,$I382=$M382,$J382=$L382),-2,IF(SIGN($I382-$J382)=SIGN($L382-$M382),1,0)))))</x:f>
      </x:c>
      <x:c r="P382" s="59" t="str">
        <x:f>IF(OR($H382&lt;&gt;"Sim",$I382="",$J382="",$L382="",$M382=""),"",IF(AND(IF($I382&gt;$J382,$F382,IF($I382&lt;$J382,$G382,$K382))&lt;&gt;"",IF($L382&gt;$M382,$F382,IF($L382&lt;$M382,$G382,$N382))&lt;&gt;"",IF($I382&gt;$J382,$F382,IF($I382&lt;$J382,$G382,$K382))=IF($L382&gt;$M382,$F382,IF($L382&lt;$M382,$G382,$N382))),1,0))</x:f>
      </x:c>
      <x:c r="Q382" s="59" t="str">
        <x:f>IF($O382="","",$O382+$P382)</x:f>
      </x:c>
      <x:c r="R382" s="59" t="str">
        <x:f>IF($Q382="","",IF($O382=3,"Cravada",IF(AND($H382="Sim",$L382=$M382,$I382=$J382,$O382=2),"Empate cravado",IF($O382=1,"Resultado certo",IF($O382=-2,"Invertida",IF($P382=1,"Acertou quem passa","Erro"))))))</x:f>
      </x:c>
      <x:c r="S382" s="59" t="str">
        <x:f>IF($O382="","",--(OR($O382=3,AND($H382="Sim",$L382=$M382,$I382=$J382,$O382=2))))</x:f>
      </x:c>
      <x:c r="T382" s="59" t="str">
        <x:f>IF($O382="","",--($O382=-2))</x:f>
      </x:c>
      <x:c r="U382" s="59" t="str">
        <x:f>IF($O382="","",--($O382=1))</x:f>
      </x:c>
      <x:c r="V382" s="59" t="n">
        <x:f>--(AND($I382&lt;&gt;"",$J382&lt;&gt;""))</x:f>
        <x:v>0</x:v>
      </x:c>
    </x:row>
    <x:row r="383">
      <x:c r="A383" s="21" t="str">
        <x:f>INDEX(Config!$B$10:$B$16,INT((ROW()-5)/104)+1)</x:f>
        <x:v>Gustavo</x:v>
      </x:c>
      <x:c r="B383" s="21" t="str">
        <x:v>GL1</x:v>
      </x:c>
      <x:c r="C383" s="21" t="n">
        <x:v>67</x:v>
      </x:c>
      <x:c r="D383" s="21" t="str">
        <x:v>Grupo L</x:v>
      </x:c>
      <x:c r="E383" s="21" t="str">
        <x:v>2026-06-17</x:v>
      </x:c>
      <x:c r="F383" s="21" t="str">
        <x:f>IFERROR(INDEX('Resultados'!$G$5:$G$108,MATCH($B383,'Resultados'!$A$5:$A$108,0)),"")</x:f>
        <x:v>Inglaterra</x:v>
      </x:c>
      <x:c r="G383" s="21" t="str">
        <x:f>IFERROR(INDEX('Resultados'!$J$5:$J$108,MATCH($B383,'Resultados'!$A$5:$A$108,0)),"")</x:f>
        <x:v>Croácia</x:v>
      </x:c>
      <x:c r="H383" s="21" t="str">
        <x:v>Não</x:v>
      </x:c>
      <x:c r="I383" s="22"/>
      <x:c r="J383" s="22"/>
      <x:c r="K383" s="23"/>
      <x:c r="L383" s="21" t="str">
        <x:f>IFERROR(INDEX('Resultados'!$H$5:$H$108,MATCH($B383,'Resultados'!$A$5:$A$108,0)),"")</x:f>
      </x:c>
      <x:c r="M383" s="21" t="str">
        <x:f>IFERROR(INDEX('Resultados'!$I$5:$I$108,MATCH($B383,'Resultados'!$A$5:$A$108,0)),"")</x:f>
      </x:c>
      <x:c r="N383" s="21" t="str">
        <x:f>IFERROR(INDEX('Resultados'!$L$5:$L$108,MATCH($B383,'Resultados'!$A$5:$A$108,0)),"")</x:f>
      </x:c>
      <x:c r="O383" s="59" t="str">
        <x:f>IF(OR($I383="",$J383="",$L383="",$M383=""),"",IF(AND($H383="Sim",$L383=$M383),IF($I383&lt;&gt;$J383,0,IF(AND($I383=$L383,$J383=$M383),2,1)),IF(AND($I383=$L383,$J383=$M383),3,IF(AND($I383&lt;&gt;$J383,$I383=$M383,$J383=$L383),-2,IF(SIGN($I383-$J383)=SIGN($L383-$M383),1,0)))))</x:f>
      </x:c>
      <x:c r="P383" s="59" t="str">
        <x:f>IF(OR($H383&lt;&gt;"Sim",$I383="",$J383="",$L383="",$M383=""),"",IF(AND(IF($I383&gt;$J383,$F383,IF($I383&lt;$J383,$G383,$K383))&lt;&gt;"",IF($L383&gt;$M383,$F383,IF($L383&lt;$M383,$G383,$N383))&lt;&gt;"",IF($I383&gt;$J383,$F383,IF($I383&lt;$J383,$G383,$K383))=IF($L383&gt;$M383,$F383,IF($L383&lt;$M383,$G383,$N383))),1,0))</x:f>
      </x:c>
      <x:c r="Q383" s="59" t="str">
        <x:f>IF($O383="","",$O383+$P383)</x:f>
      </x:c>
      <x:c r="R383" s="59" t="str">
        <x:f>IF($Q383="","",IF($O383=3,"Cravada",IF(AND($H383="Sim",$L383=$M383,$I383=$J383,$O383=2),"Empate cravado",IF($O383=1,"Resultado certo",IF($O383=-2,"Invertida",IF($P383=1,"Acertou quem passa","Erro"))))))</x:f>
      </x:c>
      <x:c r="S383" s="59" t="str">
        <x:f>IF($O383="","",--(OR($O383=3,AND($H383="Sim",$L383=$M383,$I383=$J383,$O383=2))))</x:f>
      </x:c>
      <x:c r="T383" s="59" t="str">
        <x:f>IF($O383="","",--($O383=-2))</x:f>
      </x:c>
      <x:c r="U383" s="59" t="str">
        <x:f>IF($O383="","",--($O383=1))</x:f>
      </x:c>
      <x:c r="V383" s="59" t="n">
        <x:f>--(AND($I383&lt;&gt;"",$J383&lt;&gt;""))</x:f>
        <x:v>0</x:v>
      </x:c>
    </x:row>
    <x:row r="384">
      <x:c r="A384" s="21" t="str">
        <x:f>INDEX(Config!$B$10:$B$16,INT((ROW()-5)/104)+1)</x:f>
        <x:v>Gustavo</x:v>
      </x:c>
      <x:c r="B384" s="21" t="str">
        <x:v>GL2</x:v>
      </x:c>
      <x:c r="C384" s="21" t="n">
        <x:v>68</x:v>
      </x:c>
      <x:c r="D384" s="21" t="str">
        <x:v>Grupo L</x:v>
      </x:c>
      <x:c r="E384" s="21" t="str">
        <x:v>2026-06-17</x:v>
      </x:c>
      <x:c r="F384" s="21" t="str">
        <x:f>IFERROR(INDEX('Resultados'!$G$5:$G$108,MATCH($B384,'Resultados'!$A$5:$A$108,0)),"")</x:f>
        <x:v>Gana</x:v>
      </x:c>
      <x:c r="G384" s="21" t="str">
        <x:f>IFERROR(INDEX('Resultados'!$J$5:$J$108,MATCH($B384,'Resultados'!$A$5:$A$108,0)),"")</x:f>
        <x:v>Panamá</x:v>
      </x:c>
      <x:c r="H384" s="21" t="str">
        <x:v>Não</x:v>
      </x:c>
      <x:c r="I384" s="22"/>
      <x:c r="J384" s="22"/>
      <x:c r="K384" s="23"/>
      <x:c r="L384" s="21" t="str">
        <x:f>IFERROR(INDEX('Resultados'!$H$5:$H$108,MATCH($B384,'Resultados'!$A$5:$A$108,0)),"")</x:f>
      </x:c>
      <x:c r="M384" s="21" t="str">
        <x:f>IFERROR(INDEX('Resultados'!$I$5:$I$108,MATCH($B384,'Resultados'!$A$5:$A$108,0)),"")</x:f>
      </x:c>
      <x:c r="N384" s="21" t="str">
        <x:f>IFERROR(INDEX('Resultados'!$L$5:$L$108,MATCH($B384,'Resultados'!$A$5:$A$108,0)),"")</x:f>
      </x:c>
      <x:c r="O384" s="59" t="str">
        <x:f>IF(OR($I384="",$J384="",$L384="",$M384=""),"",IF(AND($H384="Sim",$L384=$M384),IF($I384&lt;&gt;$J384,0,IF(AND($I384=$L384,$J384=$M384),2,1)),IF(AND($I384=$L384,$J384=$M384),3,IF(AND($I384&lt;&gt;$J384,$I384=$M384,$J384=$L384),-2,IF(SIGN($I384-$J384)=SIGN($L384-$M384),1,0)))))</x:f>
      </x:c>
      <x:c r="P384" s="59" t="str">
        <x:f>IF(OR($H384&lt;&gt;"Sim",$I384="",$J384="",$L384="",$M384=""),"",IF(AND(IF($I384&gt;$J384,$F384,IF($I384&lt;$J384,$G384,$K384))&lt;&gt;"",IF($L384&gt;$M384,$F384,IF($L384&lt;$M384,$G384,$N384))&lt;&gt;"",IF($I384&gt;$J384,$F384,IF($I384&lt;$J384,$G384,$K384))=IF($L384&gt;$M384,$F384,IF($L384&lt;$M384,$G384,$N384))),1,0))</x:f>
      </x:c>
      <x:c r="Q384" s="59" t="str">
        <x:f>IF($O384="","",$O384+$P384)</x:f>
      </x:c>
      <x:c r="R384" s="59" t="str">
        <x:f>IF($Q384="","",IF($O384=3,"Cravada",IF(AND($H384="Sim",$L384=$M384,$I384=$J384,$O384=2),"Empate cravado",IF($O384=1,"Resultado certo",IF($O384=-2,"Invertida",IF($P384=1,"Acertou quem passa","Erro"))))))</x:f>
      </x:c>
      <x:c r="S384" s="59" t="str">
        <x:f>IF($O384="","",--(OR($O384=3,AND($H384="Sim",$L384=$M384,$I384=$J384,$O384=2))))</x:f>
      </x:c>
      <x:c r="T384" s="59" t="str">
        <x:f>IF($O384="","",--($O384=-2))</x:f>
      </x:c>
      <x:c r="U384" s="59" t="str">
        <x:f>IF($O384="","",--($O384=1))</x:f>
      </x:c>
      <x:c r="V384" s="59" t="n">
        <x:f>--(AND($I384&lt;&gt;"",$J384&lt;&gt;""))</x:f>
        <x:v>0</x:v>
      </x:c>
    </x:row>
    <x:row r="385">
      <x:c r="A385" s="21" t="str">
        <x:f>INDEX(Config!$B$10:$B$16,INT((ROW()-5)/104)+1)</x:f>
        <x:v>Gustavo</x:v>
      </x:c>
      <x:c r="B385" s="21" t="str">
        <x:v>GL3</x:v>
      </x:c>
      <x:c r="C385" s="21" t="n">
        <x:v>69</x:v>
      </x:c>
      <x:c r="D385" s="21" t="str">
        <x:v>Grupo L</x:v>
      </x:c>
      <x:c r="E385" s="21" t="str">
        <x:v>2026-06-23</x:v>
      </x:c>
      <x:c r="F385" s="21" t="str">
        <x:f>IFERROR(INDEX('Resultados'!$G$5:$G$108,MATCH($B385,'Resultados'!$A$5:$A$108,0)),"")</x:f>
        <x:v>Inglaterra</x:v>
      </x:c>
      <x:c r="G385" s="21" t="str">
        <x:f>IFERROR(INDEX('Resultados'!$J$5:$J$108,MATCH($B385,'Resultados'!$A$5:$A$108,0)),"")</x:f>
        <x:v>Gana</x:v>
      </x:c>
      <x:c r="H385" s="21" t="str">
        <x:v>Não</x:v>
      </x:c>
      <x:c r="I385" s="22"/>
      <x:c r="J385" s="22"/>
      <x:c r="K385" s="23"/>
      <x:c r="L385" s="21" t="str">
        <x:f>IFERROR(INDEX('Resultados'!$H$5:$H$108,MATCH($B385,'Resultados'!$A$5:$A$108,0)),"")</x:f>
      </x:c>
      <x:c r="M385" s="21" t="str">
        <x:f>IFERROR(INDEX('Resultados'!$I$5:$I$108,MATCH($B385,'Resultados'!$A$5:$A$108,0)),"")</x:f>
      </x:c>
      <x:c r="N385" s="21" t="str">
        <x:f>IFERROR(INDEX('Resultados'!$L$5:$L$108,MATCH($B385,'Resultados'!$A$5:$A$108,0)),"")</x:f>
      </x:c>
      <x:c r="O385" s="59" t="str">
        <x:f>IF(OR($I385="",$J385="",$L385="",$M385=""),"",IF(AND($H385="Sim",$L385=$M385),IF($I385&lt;&gt;$J385,0,IF(AND($I385=$L385,$J385=$M385),2,1)),IF(AND($I385=$L385,$J385=$M385),3,IF(AND($I385&lt;&gt;$J385,$I385=$M385,$J385=$L385),-2,IF(SIGN($I385-$J385)=SIGN($L385-$M385),1,0)))))</x:f>
      </x:c>
      <x:c r="P385" s="59" t="str">
        <x:f>IF(OR($H385&lt;&gt;"Sim",$I385="",$J385="",$L385="",$M385=""),"",IF(AND(IF($I385&gt;$J385,$F385,IF($I385&lt;$J385,$G385,$K385))&lt;&gt;"",IF($L385&gt;$M385,$F385,IF($L385&lt;$M385,$G385,$N385))&lt;&gt;"",IF($I385&gt;$J385,$F385,IF($I385&lt;$J385,$G385,$K385))=IF($L385&gt;$M385,$F385,IF($L385&lt;$M385,$G385,$N385))),1,0))</x:f>
      </x:c>
      <x:c r="Q385" s="59" t="str">
        <x:f>IF($O385="","",$O385+$P385)</x:f>
      </x:c>
      <x:c r="R385" s="59" t="str">
        <x:f>IF($Q385="","",IF($O385=3,"Cravada",IF(AND($H385="Sim",$L385=$M385,$I385=$J385,$O385=2),"Empate cravado",IF($O385=1,"Resultado certo",IF($O385=-2,"Invertida",IF($P385=1,"Acertou quem passa","Erro"))))))</x:f>
      </x:c>
      <x:c r="S385" s="59" t="str">
        <x:f>IF($O385="","",--(OR($O385=3,AND($H385="Sim",$L385=$M385,$I385=$J385,$O385=2))))</x:f>
      </x:c>
      <x:c r="T385" s="59" t="str">
        <x:f>IF($O385="","",--($O385=-2))</x:f>
      </x:c>
      <x:c r="U385" s="59" t="str">
        <x:f>IF($O385="","",--($O385=1))</x:f>
      </x:c>
      <x:c r="V385" s="59" t="n">
        <x:f>--(AND($I385&lt;&gt;"",$J385&lt;&gt;""))</x:f>
        <x:v>0</x:v>
      </x:c>
    </x:row>
    <x:row r="386">
      <x:c r="A386" s="21" t="str">
        <x:f>INDEX(Config!$B$10:$B$16,INT((ROW()-5)/104)+1)</x:f>
        <x:v>Gustavo</x:v>
      </x:c>
      <x:c r="B386" s="21" t="str">
        <x:v>GL4</x:v>
      </x:c>
      <x:c r="C386" s="21" t="n">
        <x:v>70</x:v>
      </x:c>
      <x:c r="D386" s="21" t="str">
        <x:v>Grupo L</x:v>
      </x:c>
      <x:c r="E386" s="21" t="str">
        <x:v>2026-06-23</x:v>
      </x:c>
      <x:c r="F386" s="21" t="str">
        <x:f>IFERROR(INDEX('Resultados'!$G$5:$G$108,MATCH($B386,'Resultados'!$A$5:$A$108,0)),"")</x:f>
        <x:v>Croácia</x:v>
      </x:c>
      <x:c r="G386" s="21" t="str">
        <x:f>IFERROR(INDEX('Resultados'!$J$5:$J$108,MATCH($B386,'Resultados'!$A$5:$A$108,0)),"")</x:f>
        <x:v>Panamá</x:v>
      </x:c>
      <x:c r="H386" s="21" t="str">
        <x:v>Não</x:v>
      </x:c>
      <x:c r="I386" s="22"/>
      <x:c r="J386" s="22"/>
      <x:c r="K386" s="23"/>
      <x:c r="L386" s="21" t="str">
        <x:f>IFERROR(INDEX('Resultados'!$H$5:$H$108,MATCH($B386,'Resultados'!$A$5:$A$108,0)),"")</x:f>
      </x:c>
      <x:c r="M386" s="21" t="str">
        <x:f>IFERROR(INDEX('Resultados'!$I$5:$I$108,MATCH($B386,'Resultados'!$A$5:$A$108,0)),"")</x:f>
      </x:c>
      <x:c r="N386" s="21" t="str">
        <x:f>IFERROR(INDEX('Resultados'!$L$5:$L$108,MATCH($B386,'Resultados'!$A$5:$A$108,0)),"")</x:f>
      </x:c>
      <x:c r="O386" s="59" t="str">
        <x:f>IF(OR($I386="",$J386="",$L386="",$M386=""),"",IF(AND($H386="Sim",$L386=$M386),IF($I386&lt;&gt;$J386,0,IF(AND($I386=$L386,$J386=$M386),2,1)),IF(AND($I386=$L386,$J386=$M386),3,IF(AND($I386&lt;&gt;$J386,$I386=$M386,$J386=$L386),-2,IF(SIGN($I386-$J386)=SIGN($L386-$M386),1,0)))))</x:f>
      </x:c>
      <x:c r="P386" s="59" t="str">
        <x:f>IF(OR($H386&lt;&gt;"Sim",$I386="",$J386="",$L386="",$M386=""),"",IF(AND(IF($I386&gt;$J386,$F386,IF($I386&lt;$J386,$G386,$K386))&lt;&gt;"",IF($L386&gt;$M386,$F386,IF($L386&lt;$M386,$G386,$N386))&lt;&gt;"",IF($I386&gt;$J386,$F386,IF($I386&lt;$J386,$G386,$K386))=IF($L386&gt;$M386,$F386,IF($L386&lt;$M386,$G386,$N386))),1,0))</x:f>
      </x:c>
      <x:c r="Q386" s="59" t="str">
        <x:f>IF($O386="","",$O386+$P386)</x:f>
      </x:c>
      <x:c r="R386" s="59" t="str">
        <x:f>IF($Q386="","",IF($O386=3,"Cravada",IF(AND($H386="Sim",$L386=$M386,$I386=$J386,$O386=2),"Empate cravado",IF($O386=1,"Resultado certo",IF($O386=-2,"Invertida",IF($P386=1,"Acertou quem passa","Erro"))))))</x:f>
      </x:c>
      <x:c r="S386" s="59" t="str">
        <x:f>IF($O386="","",--(OR($O386=3,AND($H386="Sim",$L386=$M386,$I386=$J386,$O386=2))))</x:f>
      </x:c>
      <x:c r="T386" s="59" t="str">
        <x:f>IF($O386="","",--($O386=-2))</x:f>
      </x:c>
      <x:c r="U386" s="59" t="str">
        <x:f>IF($O386="","",--($O386=1))</x:f>
      </x:c>
      <x:c r="V386" s="59" t="n">
        <x:f>--(AND($I386&lt;&gt;"",$J386&lt;&gt;""))</x:f>
        <x:v>0</x:v>
      </x:c>
    </x:row>
    <x:row r="387">
      <x:c r="A387" s="21" t="str">
        <x:f>INDEX(Config!$B$10:$B$16,INT((ROW()-5)/104)+1)</x:f>
        <x:v>Gustavo</x:v>
      </x:c>
      <x:c r="B387" s="21" t="str">
        <x:v>GL5</x:v>
      </x:c>
      <x:c r="C387" s="21" t="n">
        <x:v>71</x:v>
      </x:c>
      <x:c r="D387" s="21" t="str">
        <x:v>Grupo L</x:v>
      </x:c>
      <x:c r="E387" s="21" t="str">
        <x:v>2026-06-27</x:v>
      </x:c>
      <x:c r="F387" s="21" t="str">
        <x:f>IFERROR(INDEX('Resultados'!$G$5:$G$108,MATCH($B387,'Resultados'!$A$5:$A$108,0)),"")</x:f>
        <x:v>Inglaterra</x:v>
      </x:c>
      <x:c r="G387" s="21" t="str">
        <x:f>IFERROR(INDEX('Resultados'!$J$5:$J$108,MATCH($B387,'Resultados'!$A$5:$A$108,0)),"")</x:f>
        <x:v>Panamá</x:v>
      </x:c>
      <x:c r="H387" s="21" t="str">
        <x:v>Não</x:v>
      </x:c>
      <x:c r="I387" s="22"/>
      <x:c r="J387" s="22"/>
      <x:c r="K387" s="23"/>
      <x:c r="L387" s="21" t="str">
        <x:f>IFERROR(INDEX('Resultados'!$H$5:$H$108,MATCH($B387,'Resultados'!$A$5:$A$108,0)),"")</x:f>
      </x:c>
      <x:c r="M387" s="21" t="str">
        <x:f>IFERROR(INDEX('Resultados'!$I$5:$I$108,MATCH($B387,'Resultados'!$A$5:$A$108,0)),"")</x:f>
      </x:c>
      <x:c r="N387" s="21" t="str">
        <x:f>IFERROR(INDEX('Resultados'!$L$5:$L$108,MATCH($B387,'Resultados'!$A$5:$A$108,0)),"")</x:f>
      </x:c>
      <x:c r="O387" s="59" t="str">
        <x:f>IF(OR($I387="",$J387="",$L387="",$M387=""),"",IF(AND($H387="Sim",$L387=$M387),IF($I387&lt;&gt;$J387,0,IF(AND($I387=$L387,$J387=$M387),2,1)),IF(AND($I387=$L387,$J387=$M387),3,IF(AND($I387&lt;&gt;$J387,$I387=$M387,$J387=$L387),-2,IF(SIGN($I387-$J387)=SIGN($L387-$M387),1,0)))))</x:f>
      </x:c>
      <x:c r="P387" s="59" t="str">
        <x:f>IF(OR($H387&lt;&gt;"Sim",$I387="",$J387="",$L387="",$M387=""),"",IF(AND(IF($I387&gt;$J387,$F387,IF($I387&lt;$J387,$G387,$K387))&lt;&gt;"",IF($L387&gt;$M387,$F387,IF($L387&lt;$M387,$G387,$N387))&lt;&gt;"",IF($I387&gt;$J387,$F387,IF($I387&lt;$J387,$G387,$K387))=IF($L387&gt;$M387,$F387,IF($L387&lt;$M387,$G387,$N387))),1,0))</x:f>
      </x:c>
      <x:c r="Q387" s="59" t="str">
        <x:f>IF($O387="","",$O387+$P387)</x:f>
      </x:c>
      <x:c r="R387" s="59" t="str">
        <x:f>IF($Q387="","",IF($O387=3,"Cravada",IF(AND($H387="Sim",$L387=$M387,$I387=$J387,$O387=2),"Empate cravado",IF($O387=1,"Resultado certo",IF($O387=-2,"Invertida",IF($P387=1,"Acertou quem passa","Erro"))))))</x:f>
      </x:c>
      <x:c r="S387" s="59" t="str">
        <x:f>IF($O387="","",--(OR($O387=3,AND($H387="Sim",$L387=$M387,$I387=$J387,$O387=2))))</x:f>
      </x:c>
      <x:c r="T387" s="59" t="str">
        <x:f>IF($O387="","",--($O387=-2))</x:f>
      </x:c>
      <x:c r="U387" s="59" t="str">
        <x:f>IF($O387="","",--($O387=1))</x:f>
      </x:c>
      <x:c r="V387" s="59" t="n">
        <x:f>--(AND($I387&lt;&gt;"",$J387&lt;&gt;""))</x:f>
        <x:v>0</x:v>
      </x:c>
    </x:row>
    <x:row r="388">
      <x:c r="A388" s="21" t="str">
        <x:f>INDEX(Config!$B$10:$B$16,INT((ROW()-5)/104)+1)</x:f>
        <x:v>Gustavo</x:v>
      </x:c>
      <x:c r="B388" s="21" t="str">
        <x:v>GL6</x:v>
      </x:c>
      <x:c r="C388" s="21" t="n">
        <x:v>72</x:v>
      </x:c>
      <x:c r="D388" s="21" t="str">
        <x:v>Grupo L</x:v>
      </x:c>
      <x:c r="E388" s="21" t="str">
        <x:v>2026-06-27</x:v>
      </x:c>
      <x:c r="F388" s="21" t="str">
        <x:f>IFERROR(INDEX('Resultados'!$G$5:$G$108,MATCH($B388,'Resultados'!$A$5:$A$108,0)),"")</x:f>
        <x:v>Croácia</x:v>
      </x:c>
      <x:c r="G388" s="21" t="str">
        <x:f>IFERROR(INDEX('Resultados'!$J$5:$J$108,MATCH($B388,'Resultados'!$A$5:$A$108,0)),"")</x:f>
        <x:v>Gana</x:v>
      </x:c>
      <x:c r="H388" s="21" t="str">
        <x:v>Não</x:v>
      </x:c>
      <x:c r="I388" s="22"/>
      <x:c r="J388" s="22"/>
      <x:c r="K388" s="23"/>
      <x:c r="L388" s="21" t="str">
        <x:f>IFERROR(INDEX('Resultados'!$H$5:$H$108,MATCH($B388,'Resultados'!$A$5:$A$108,0)),"")</x:f>
      </x:c>
      <x:c r="M388" s="21" t="str">
        <x:f>IFERROR(INDEX('Resultados'!$I$5:$I$108,MATCH($B388,'Resultados'!$A$5:$A$108,0)),"")</x:f>
      </x:c>
      <x:c r="N388" s="21" t="str">
        <x:f>IFERROR(INDEX('Resultados'!$L$5:$L$108,MATCH($B388,'Resultados'!$A$5:$A$108,0)),"")</x:f>
      </x:c>
      <x:c r="O388" s="59" t="str">
        <x:f>IF(OR($I388="",$J388="",$L388="",$M388=""),"",IF(AND($H388="Sim",$L388=$M388),IF($I388&lt;&gt;$J388,0,IF(AND($I388=$L388,$J388=$M388),2,1)),IF(AND($I388=$L388,$J388=$M388),3,IF(AND($I388&lt;&gt;$J388,$I388=$M388,$J388=$L388),-2,IF(SIGN($I388-$J388)=SIGN($L388-$M388),1,0)))))</x:f>
      </x:c>
      <x:c r="P388" s="59" t="str">
        <x:f>IF(OR($H388&lt;&gt;"Sim",$I388="",$J388="",$L388="",$M388=""),"",IF(AND(IF($I388&gt;$J388,$F388,IF($I388&lt;$J388,$G388,$K388))&lt;&gt;"",IF($L388&gt;$M388,$F388,IF($L388&lt;$M388,$G388,$N388))&lt;&gt;"",IF($I388&gt;$J388,$F388,IF($I388&lt;$J388,$G388,$K388))=IF($L388&gt;$M388,$F388,IF($L388&lt;$M388,$G388,$N388))),1,0))</x:f>
      </x:c>
      <x:c r="Q388" s="59" t="str">
        <x:f>IF($O388="","",$O388+$P388)</x:f>
      </x:c>
      <x:c r="R388" s="59" t="str">
        <x:f>IF($Q388="","",IF($O388=3,"Cravada",IF(AND($H388="Sim",$L388=$M388,$I388=$J388,$O388=2),"Empate cravado",IF($O388=1,"Resultado certo",IF($O388=-2,"Invertida",IF($P388=1,"Acertou quem passa","Erro"))))))</x:f>
      </x:c>
      <x:c r="S388" s="59" t="str">
        <x:f>IF($O388="","",--(OR($O388=3,AND($H388="Sim",$L388=$M388,$I388=$J388,$O388=2))))</x:f>
      </x:c>
      <x:c r="T388" s="59" t="str">
        <x:f>IF($O388="","",--($O388=-2))</x:f>
      </x:c>
      <x:c r="U388" s="59" t="str">
        <x:f>IF($O388="","",--($O388=1))</x:f>
      </x:c>
      <x:c r="V388" s="59" t="n">
        <x:f>--(AND($I388&lt;&gt;"",$J388&lt;&gt;""))</x:f>
        <x:v>0</x:v>
      </x:c>
    </x:row>
    <x:row r="389">
      <x:c r="A389" s="21" t="str">
        <x:f>INDEX(Config!$B$10:$B$16,INT((ROW()-5)/104)+1)</x:f>
        <x:v>Gustavo</x:v>
      </x:c>
      <x:c r="B389" s="21" t="str">
        <x:v>R32_01</x:v>
      </x:c>
      <x:c r="C389" s="21" t="n">
        <x:v>73</x:v>
      </x:c>
      <x:c r="D389" s="21" t="str">
        <x:v>16-avos de final</x:v>
      </x:c>
      <x:c r="E389" s="21" t="str">
        <x:v>2026-06-28</x:v>
      </x:c>
      <x:c r="F389" s="21" t="str">
        <x:f>IFERROR(INDEX('Resultados'!$G$5:$G$108,MATCH($B389,'Resultados'!$A$5:$A$108,0)),"")</x:f>
        <x:v>2º Grupo A</x:v>
      </x:c>
      <x:c r="G389" s="21" t="str">
        <x:f>IFERROR(INDEX('Resultados'!$J$5:$J$108,MATCH($B389,'Resultados'!$A$5:$A$108,0)),"")</x:f>
        <x:v>2º Grupo B</x:v>
      </x:c>
      <x:c r="H389" s="21" t="str">
        <x:v>Sim</x:v>
      </x:c>
      <x:c r="I389" s="22"/>
      <x:c r="J389" s="22"/>
      <x:c r="K389" s="23"/>
      <x:c r="L389" s="21" t="str">
        <x:f>IFERROR(INDEX('Resultados'!$H$5:$H$108,MATCH($B389,'Resultados'!$A$5:$A$108,0)),"")</x:f>
      </x:c>
      <x:c r="M389" s="21" t="str">
        <x:f>IFERROR(INDEX('Resultados'!$I$5:$I$108,MATCH($B389,'Resultados'!$A$5:$A$108,0)),"")</x:f>
      </x:c>
      <x:c r="N389" s="21" t="str">
        <x:f>IFERROR(INDEX('Resultados'!$L$5:$L$108,MATCH($B389,'Resultados'!$A$5:$A$108,0)),"")</x:f>
      </x:c>
      <x:c r="O389" s="59" t="str">
        <x:f>IF(OR($I389="",$J389="",$L389="",$M389=""),"",IF(AND($H389="Sim",$L389=$M389),IF($I389&lt;&gt;$J389,0,IF(AND($I389=$L389,$J389=$M389),2,1)),IF(AND($I389=$L389,$J389=$M389),3,IF(AND($I389&lt;&gt;$J389,$I389=$M389,$J389=$L389),-2,IF(SIGN($I389-$J389)=SIGN($L389-$M389),1,0)))))</x:f>
      </x:c>
      <x:c r="P389" s="59" t="str">
        <x:f>IF(OR($H389&lt;&gt;"Sim",$I389="",$J389="",$L389="",$M389=""),"",IF(AND(IF($I389&gt;$J389,$F389,IF($I389&lt;$J389,$G389,$K389))&lt;&gt;"",IF($L389&gt;$M389,$F389,IF($L389&lt;$M389,$G389,$N389))&lt;&gt;"",IF($I389&gt;$J389,$F389,IF($I389&lt;$J389,$G389,$K389))=IF($L389&gt;$M389,$F389,IF($L389&lt;$M389,$G389,$N389))),1,0))</x:f>
      </x:c>
      <x:c r="Q389" s="59" t="str">
        <x:f>IF($O389="","",$O389+$P389)</x:f>
      </x:c>
      <x:c r="R389" s="59" t="str">
        <x:f>IF($Q389="","",IF($O389=3,"Cravada",IF(AND($H389="Sim",$L389=$M389,$I389=$J389,$O389=2),"Empate cravado",IF($O389=1,"Resultado certo",IF($O389=-2,"Invertida",IF($P389=1,"Acertou quem passa","Erro"))))))</x:f>
      </x:c>
      <x:c r="S389" s="59" t="str">
        <x:f>IF($O389="","",--(OR($O389=3,AND($H389="Sim",$L389=$M389,$I389=$J389,$O389=2))))</x:f>
      </x:c>
      <x:c r="T389" s="59" t="str">
        <x:f>IF($O389="","",--($O389=-2))</x:f>
      </x:c>
      <x:c r="U389" s="59" t="str">
        <x:f>IF($O389="","",--($O389=1))</x:f>
      </x:c>
      <x:c r="V389" s="59" t="n">
        <x:f>--(AND($I389&lt;&gt;"",$J389&lt;&gt;""))</x:f>
        <x:v>0</x:v>
      </x:c>
    </x:row>
    <x:row r="390">
      <x:c r="A390" s="21" t="str">
        <x:f>INDEX(Config!$B$10:$B$16,INT((ROW()-5)/104)+1)</x:f>
        <x:v>Gustavo</x:v>
      </x:c>
      <x:c r="B390" s="21" t="str">
        <x:v>R32_02</x:v>
      </x:c>
      <x:c r="C390" s="21" t="n">
        <x:v>74</x:v>
      </x:c>
      <x:c r="D390" s="21" t="str">
        <x:v>16-avos de final</x:v>
      </x:c>
      <x:c r="E390" s="21" t="str">
        <x:v>2026-06-29</x:v>
      </x:c>
      <x:c r="F390" s="21" t="str">
        <x:f>IFERROR(INDEX('Resultados'!$G$5:$G$108,MATCH($B390,'Resultados'!$A$5:$A$108,0)),"")</x:f>
        <x:v>1º Grupo E</x:v>
      </x:c>
      <x:c r="G390" s="21" t="str">
        <x:f>IFERROR(INDEX('Resultados'!$J$5:$J$108,MATCH($B390,'Resultados'!$A$5:$A$108,0)),"")</x:f>
        <x:v>3º A/B/C/D/F</x:v>
      </x:c>
      <x:c r="H390" s="21" t="str">
        <x:v>Sim</x:v>
      </x:c>
      <x:c r="I390" s="22"/>
      <x:c r="J390" s="22"/>
      <x:c r="K390" s="23"/>
      <x:c r="L390" s="21" t="str">
        <x:f>IFERROR(INDEX('Resultados'!$H$5:$H$108,MATCH($B390,'Resultados'!$A$5:$A$108,0)),"")</x:f>
      </x:c>
      <x:c r="M390" s="21" t="str">
        <x:f>IFERROR(INDEX('Resultados'!$I$5:$I$108,MATCH($B390,'Resultados'!$A$5:$A$108,0)),"")</x:f>
      </x:c>
      <x:c r="N390" s="21" t="str">
        <x:f>IFERROR(INDEX('Resultados'!$L$5:$L$108,MATCH($B390,'Resultados'!$A$5:$A$108,0)),"")</x:f>
      </x:c>
      <x:c r="O390" s="59" t="str">
        <x:f>IF(OR($I390="",$J390="",$L390="",$M390=""),"",IF(AND($H390="Sim",$L390=$M390),IF($I390&lt;&gt;$J390,0,IF(AND($I390=$L390,$J390=$M390),2,1)),IF(AND($I390=$L390,$J390=$M390),3,IF(AND($I390&lt;&gt;$J390,$I390=$M390,$J390=$L390),-2,IF(SIGN($I390-$J390)=SIGN($L390-$M390),1,0)))))</x:f>
      </x:c>
      <x:c r="P390" s="59" t="str">
        <x:f>IF(OR($H390&lt;&gt;"Sim",$I390="",$J390="",$L390="",$M390=""),"",IF(AND(IF($I390&gt;$J390,$F390,IF($I390&lt;$J390,$G390,$K390))&lt;&gt;"",IF($L390&gt;$M390,$F390,IF($L390&lt;$M390,$G390,$N390))&lt;&gt;"",IF($I390&gt;$J390,$F390,IF($I390&lt;$J390,$G390,$K390))=IF($L390&gt;$M390,$F390,IF($L390&lt;$M390,$G390,$N390))),1,0))</x:f>
      </x:c>
      <x:c r="Q390" s="59" t="str">
        <x:f>IF($O390="","",$O390+$P390)</x:f>
      </x:c>
      <x:c r="R390" s="59" t="str">
        <x:f>IF($Q390="","",IF($O390=3,"Cravada",IF(AND($H390="Sim",$L390=$M390,$I390=$J390,$O390=2),"Empate cravado",IF($O390=1,"Resultado certo",IF($O390=-2,"Invertida",IF($P390=1,"Acertou quem passa","Erro"))))))</x:f>
      </x:c>
      <x:c r="S390" s="59" t="str">
        <x:f>IF($O390="","",--(OR($O390=3,AND($H390="Sim",$L390=$M390,$I390=$J390,$O390=2))))</x:f>
      </x:c>
      <x:c r="T390" s="59" t="str">
        <x:f>IF($O390="","",--($O390=-2))</x:f>
      </x:c>
      <x:c r="U390" s="59" t="str">
        <x:f>IF($O390="","",--($O390=1))</x:f>
      </x:c>
      <x:c r="V390" s="59" t="n">
        <x:f>--(AND($I390&lt;&gt;"",$J390&lt;&gt;""))</x:f>
        <x:v>0</x:v>
      </x:c>
    </x:row>
    <x:row r="391">
      <x:c r="A391" s="21" t="str">
        <x:f>INDEX(Config!$B$10:$B$16,INT((ROW()-5)/104)+1)</x:f>
        <x:v>Gustavo</x:v>
      </x:c>
      <x:c r="B391" s="21" t="str">
        <x:v>R32_03</x:v>
      </x:c>
      <x:c r="C391" s="21" t="n">
        <x:v>75</x:v>
      </x:c>
      <x:c r="D391" s="21" t="str">
        <x:v>16-avos de final</x:v>
      </x:c>
      <x:c r="E391" s="21" t="str">
        <x:v>2026-06-29</x:v>
      </x:c>
      <x:c r="F391" s="21" t="str">
        <x:f>IFERROR(INDEX('Resultados'!$G$5:$G$108,MATCH($B391,'Resultados'!$A$5:$A$108,0)),"")</x:f>
        <x:v>1º Grupo F</x:v>
      </x:c>
      <x:c r="G391" s="21" t="str">
        <x:f>IFERROR(INDEX('Resultados'!$J$5:$J$108,MATCH($B391,'Resultados'!$A$5:$A$108,0)),"")</x:f>
        <x:v>2º Grupo C</x:v>
      </x:c>
      <x:c r="H391" s="21" t="str">
        <x:v>Sim</x:v>
      </x:c>
      <x:c r="I391" s="22"/>
      <x:c r="J391" s="22"/>
      <x:c r="K391" s="23"/>
      <x:c r="L391" s="21" t="str">
        <x:f>IFERROR(INDEX('Resultados'!$H$5:$H$108,MATCH($B391,'Resultados'!$A$5:$A$108,0)),"")</x:f>
      </x:c>
      <x:c r="M391" s="21" t="str">
        <x:f>IFERROR(INDEX('Resultados'!$I$5:$I$108,MATCH($B391,'Resultados'!$A$5:$A$108,0)),"")</x:f>
      </x:c>
      <x:c r="N391" s="21" t="str">
        <x:f>IFERROR(INDEX('Resultados'!$L$5:$L$108,MATCH($B391,'Resultados'!$A$5:$A$108,0)),"")</x:f>
      </x:c>
      <x:c r="O391" s="59" t="str">
        <x:f>IF(OR($I391="",$J391="",$L391="",$M391=""),"",IF(AND($H391="Sim",$L391=$M391),IF($I391&lt;&gt;$J391,0,IF(AND($I391=$L391,$J391=$M391),2,1)),IF(AND($I391=$L391,$J391=$M391),3,IF(AND($I391&lt;&gt;$J391,$I391=$M391,$J391=$L391),-2,IF(SIGN($I391-$J391)=SIGN($L391-$M391),1,0)))))</x:f>
      </x:c>
      <x:c r="P391" s="59" t="str">
        <x:f>IF(OR($H391&lt;&gt;"Sim",$I391="",$J391="",$L391="",$M391=""),"",IF(AND(IF($I391&gt;$J391,$F391,IF($I391&lt;$J391,$G391,$K391))&lt;&gt;"",IF($L391&gt;$M391,$F391,IF($L391&lt;$M391,$G391,$N391))&lt;&gt;"",IF($I391&gt;$J391,$F391,IF($I391&lt;$J391,$G391,$K391))=IF($L391&gt;$M391,$F391,IF($L391&lt;$M391,$G391,$N391))),1,0))</x:f>
      </x:c>
      <x:c r="Q391" s="59" t="str">
        <x:f>IF($O391="","",$O391+$P391)</x:f>
      </x:c>
      <x:c r="R391" s="59" t="str">
        <x:f>IF($Q391="","",IF($O391=3,"Cravada",IF(AND($H391="Sim",$L391=$M391,$I391=$J391,$O391=2),"Empate cravado",IF($O391=1,"Resultado certo",IF($O391=-2,"Invertida",IF($P391=1,"Acertou quem passa","Erro"))))))</x:f>
      </x:c>
      <x:c r="S391" s="59" t="str">
        <x:f>IF($O391="","",--(OR($O391=3,AND($H391="Sim",$L391=$M391,$I391=$J391,$O391=2))))</x:f>
      </x:c>
      <x:c r="T391" s="59" t="str">
        <x:f>IF($O391="","",--($O391=-2))</x:f>
      </x:c>
      <x:c r="U391" s="59" t="str">
        <x:f>IF($O391="","",--($O391=1))</x:f>
      </x:c>
      <x:c r="V391" s="59" t="n">
        <x:f>--(AND($I391&lt;&gt;"",$J391&lt;&gt;""))</x:f>
        <x:v>0</x:v>
      </x:c>
    </x:row>
    <x:row r="392">
      <x:c r="A392" s="21" t="str">
        <x:f>INDEX(Config!$B$10:$B$16,INT((ROW()-5)/104)+1)</x:f>
        <x:v>Gustavo</x:v>
      </x:c>
      <x:c r="B392" s="21" t="str">
        <x:v>R32_04</x:v>
      </x:c>
      <x:c r="C392" s="21" t="n">
        <x:v>76</x:v>
      </x:c>
      <x:c r="D392" s="21" t="str">
        <x:v>16-avos de final</x:v>
      </x:c>
      <x:c r="E392" s="21" t="str">
        <x:v>2026-06-29</x:v>
      </x:c>
      <x:c r="F392" s="21" t="str">
        <x:f>IFERROR(INDEX('Resultados'!$G$5:$G$108,MATCH($B392,'Resultados'!$A$5:$A$108,0)),"")</x:f>
        <x:v>1º Grupo C</x:v>
      </x:c>
      <x:c r="G392" s="21" t="str">
        <x:f>IFERROR(INDEX('Resultados'!$J$5:$J$108,MATCH($B392,'Resultados'!$A$5:$A$108,0)),"")</x:f>
        <x:v>2º Grupo F</x:v>
      </x:c>
      <x:c r="H392" s="21" t="str">
        <x:v>Sim</x:v>
      </x:c>
      <x:c r="I392" s="22"/>
      <x:c r="J392" s="22"/>
      <x:c r="K392" s="23"/>
      <x:c r="L392" s="21" t="str">
        <x:f>IFERROR(INDEX('Resultados'!$H$5:$H$108,MATCH($B392,'Resultados'!$A$5:$A$108,0)),"")</x:f>
      </x:c>
      <x:c r="M392" s="21" t="str">
        <x:f>IFERROR(INDEX('Resultados'!$I$5:$I$108,MATCH($B392,'Resultados'!$A$5:$A$108,0)),"")</x:f>
      </x:c>
      <x:c r="N392" s="21" t="str">
        <x:f>IFERROR(INDEX('Resultados'!$L$5:$L$108,MATCH($B392,'Resultados'!$A$5:$A$108,0)),"")</x:f>
      </x:c>
      <x:c r="O392" s="59" t="str">
        <x:f>IF(OR($I392="",$J392="",$L392="",$M392=""),"",IF(AND($H392="Sim",$L392=$M392),IF($I392&lt;&gt;$J392,0,IF(AND($I392=$L392,$J392=$M392),2,1)),IF(AND($I392=$L392,$J392=$M392),3,IF(AND($I392&lt;&gt;$J392,$I392=$M392,$J392=$L392),-2,IF(SIGN($I392-$J392)=SIGN($L392-$M392),1,0)))))</x:f>
      </x:c>
      <x:c r="P392" s="59" t="str">
        <x:f>IF(OR($H392&lt;&gt;"Sim",$I392="",$J392="",$L392="",$M392=""),"",IF(AND(IF($I392&gt;$J392,$F392,IF($I392&lt;$J392,$G392,$K392))&lt;&gt;"",IF($L392&gt;$M392,$F392,IF($L392&lt;$M392,$G392,$N392))&lt;&gt;"",IF($I392&gt;$J392,$F392,IF($I392&lt;$J392,$G392,$K392))=IF($L392&gt;$M392,$F392,IF($L392&lt;$M392,$G392,$N392))),1,0))</x:f>
      </x:c>
      <x:c r="Q392" s="59" t="str">
        <x:f>IF($O392="","",$O392+$P392)</x:f>
      </x:c>
      <x:c r="R392" s="59" t="str">
        <x:f>IF($Q392="","",IF($O392=3,"Cravada",IF(AND($H392="Sim",$L392=$M392,$I392=$J392,$O392=2),"Empate cravado",IF($O392=1,"Resultado certo",IF($O392=-2,"Invertida",IF($P392=1,"Acertou quem passa","Erro"))))))</x:f>
      </x:c>
      <x:c r="S392" s="59" t="str">
        <x:f>IF($O392="","",--(OR($O392=3,AND($H392="Sim",$L392=$M392,$I392=$J392,$O392=2))))</x:f>
      </x:c>
      <x:c r="T392" s="59" t="str">
        <x:f>IF($O392="","",--($O392=-2))</x:f>
      </x:c>
      <x:c r="U392" s="59" t="str">
        <x:f>IF($O392="","",--($O392=1))</x:f>
      </x:c>
      <x:c r="V392" s="59" t="n">
        <x:f>--(AND($I392&lt;&gt;"",$J392&lt;&gt;""))</x:f>
        <x:v>0</x:v>
      </x:c>
    </x:row>
    <x:row r="393">
      <x:c r="A393" s="21" t="str">
        <x:f>INDEX(Config!$B$10:$B$16,INT((ROW()-5)/104)+1)</x:f>
        <x:v>Gustavo</x:v>
      </x:c>
      <x:c r="B393" s="21" t="str">
        <x:v>R32_05</x:v>
      </x:c>
      <x:c r="C393" s="21" t="n">
        <x:v>77</x:v>
      </x:c>
      <x:c r="D393" s="21" t="str">
        <x:v>16-avos de final</x:v>
      </x:c>
      <x:c r="E393" s="21" t="str">
        <x:v>2026-06-30</x:v>
      </x:c>
      <x:c r="F393" s="21" t="str">
        <x:f>IFERROR(INDEX('Resultados'!$G$5:$G$108,MATCH($B393,'Resultados'!$A$5:$A$108,0)),"")</x:f>
        <x:v>1º Grupo I</x:v>
      </x:c>
      <x:c r="G393" s="21" t="str">
        <x:f>IFERROR(INDEX('Resultados'!$J$5:$J$108,MATCH($B393,'Resultados'!$A$5:$A$108,0)),"")</x:f>
        <x:v>3º C/D/F/G/H</x:v>
      </x:c>
      <x:c r="H393" s="21" t="str">
        <x:v>Sim</x:v>
      </x:c>
      <x:c r="I393" s="22"/>
      <x:c r="J393" s="22"/>
      <x:c r="K393" s="23"/>
      <x:c r="L393" s="21" t="str">
        <x:f>IFERROR(INDEX('Resultados'!$H$5:$H$108,MATCH($B393,'Resultados'!$A$5:$A$108,0)),"")</x:f>
      </x:c>
      <x:c r="M393" s="21" t="str">
        <x:f>IFERROR(INDEX('Resultados'!$I$5:$I$108,MATCH($B393,'Resultados'!$A$5:$A$108,0)),"")</x:f>
      </x:c>
      <x:c r="N393" s="21" t="str">
        <x:f>IFERROR(INDEX('Resultados'!$L$5:$L$108,MATCH($B393,'Resultados'!$A$5:$A$108,0)),"")</x:f>
      </x:c>
      <x:c r="O393" s="59" t="str">
        <x:f>IF(OR($I393="",$J393="",$L393="",$M393=""),"",IF(AND($H393="Sim",$L393=$M393),IF($I393&lt;&gt;$J393,0,IF(AND($I393=$L393,$J393=$M393),2,1)),IF(AND($I393=$L393,$J393=$M393),3,IF(AND($I393&lt;&gt;$J393,$I393=$M393,$J393=$L393),-2,IF(SIGN($I393-$J393)=SIGN($L393-$M393),1,0)))))</x:f>
      </x:c>
      <x:c r="P393" s="59" t="str">
        <x:f>IF(OR($H393&lt;&gt;"Sim",$I393="",$J393="",$L393="",$M393=""),"",IF(AND(IF($I393&gt;$J393,$F393,IF($I393&lt;$J393,$G393,$K393))&lt;&gt;"",IF($L393&gt;$M393,$F393,IF($L393&lt;$M393,$G393,$N393))&lt;&gt;"",IF($I393&gt;$J393,$F393,IF($I393&lt;$J393,$G393,$K393))=IF($L393&gt;$M393,$F393,IF($L393&lt;$M393,$G393,$N393))),1,0))</x:f>
      </x:c>
      <x:c r="Q393" s="59" t="str">
        <x:f>IF($O393="","",$O393+$P393)</x:f>
      </x:c>
      <x:c r="R393" s="59" t="str">
        <x:f>IF($Q393="","",IF($O393=3,"Cravada",IF(AND($H393="Sim",$L393=$M393,$I393=$J393,$O393=2),"Empate cravado",IF($O393=1,"Resultado certo",IF($O393=-2,"Invertida",IF($P393=1,"Acertou quem passa","Erro"))))))</x:f>
      </x:c>
      <x:c r="S393" s="59" t="str">
        <x:f>IF($O393="","",--(OR($O393=3,AND($H393="Sim",$L393=$M393,$I393=$J393,$O393=2))))</x:f>
      </x:c>
      <x:c r="T393" s="59" t="str">
        <x:f>IF($O393="","",--($O393=-2))</x:f>
      </x:c>
      <x:c r="U393" s="59" t="str">
        <x:f>IF($O393="","",--($O393=1))</x:f>
      </x:c>
      <x:c r="V393" s="59" t="n">
        <x:f>--(AND($I393&lt;&gt;"",$J393&lt;&gt;""))</x:f>
        <x:v>0</x:v>
      </x:c>
    </x:row>
    <x:row r="394">
      <x:c r="A394" s="21" t="str">
        <x:f>INDEX(Config!$B$10:$B$16,INT((ROW()-5)/104)+1)</x:f>
        <x:v>Gustavo</x:v>
      </x:c>
      <x:c r="B394" s="21" t="str">
        <x:v>R32_06</x:v>
      </x:c>
      <x:c r="C394" s="21" t="n">
        <x:v>78</x:v>
      </x:c>
      <x:c r="D394" s="21" t="str">
        <x:v>16-avos de final</x:v>
      </x:c>
      <x:c r="E394" s="21" t="str">
        <x:v>2026-06-30</x:v>
      </x:c>
      <x:c r="F394" s="21" t="str">
        <x:f>IFERROR(INDEX('Resultados'!$G$5:$G$108,MATCH($B394,'Resultados'!$A$5:$A$108,0)),"")</x:f>
        <x:v>2º Grupo E</x:v>
      </x:c>
      <x:c r="G394" s="21" t="str">
        <x:f>IFERROR(INDEX('Resultados'!$J$5:$J$108,MATCH($B394,'Resultados'!$A$5:$A$108,0)),"")</x:f>
        <x:v>2º Grupo I</x:v>
      </x:c>
      <x:c r="H394" s="21" t="str">
        <x:v>Sim</x:v>
      </x:c>
      <x:c r="I394" s="22"/>
      <x:c r="J394" s="22"/>
      <x:c r="K394" s="23"/>
      <x:c r="L394" s="21" t="str">
        <x:f>IFERROR(INDEX('Resultados'!$H$5:$H$108,MATCH($B394,'Resultados'!$A$5:$A$108,0)),"")</x:f>
      </x:c>
      <x:c r="M394" s="21" t="str">
        <x:f>IFERROR(INDEX('Resultados'!$I$5:$I$108,MATCH($B394,'Resultados'!$A$5:$A$108,0)),"")</x:f>
      </x:c>
      <x:c r="N394" s="21" t="str">
        <x:f>IFERROR(INDEX('Resultados'!$L$5:$L$108,MATCH($B394,'Resultados'!$A$5:$A$108,0)),"")</x:f>
      </x:c>
      <x:c r="O394" s="59" t="str">
        <x:f>IF(OR($I394="",$J394="",$L394="",$M394=""),"",IF(AND($H394="Sim",$L394=$M394),IF($I394&lt;&gt;$J394,0,IF(AND($I394=$L394,$J394=$M394),2,1)),IF(AND($I394=$L394,$J394=$M394),3,IF(AND($I394&lt;&gt;$J394,$I394=$M394,$J394=$L394),-2,IF(SIGN($I394-$J394)=SIGN($L394-$M394),1,0)))))</x:f>
      </x:c>
      <x:c r="P394" s="59" t="str">
        <x:f>IF(OR($H394&lt;&gt;"Sim",$I394="",$J394="",$L394="",$M394=""),"",IF(AND(IF($I394&gt;$J394,$F394,IF($I394&lt;$J394,$G394,$K394))&lt;&gt;"",IF($L394&gt;$M394,$F394,IF($L394&lt;$M394,$G394,$N394))&lt;&gt;"",IF($I394&gt;$J394,$F394,IF($I394&lt;$J394,$G394,$K394))=IF($L394&gt;$M394,$F394,IF($L394&lt;$M394,$G394,$N394))),1,0))</x:f>
      </x:c>
      <x:c r="Q394" s="59" t="str">
        <x:f>IF($O394="","",$O394+$P394)</x:f>
      </x:c>
      <x:c r="R394" s="59" t="str">
        <x:f>IF($Q394="","",IF($O394=3,"Cravada",IF(AND($H394="Sim",$L394=$M394,$I394=$J394,$O394=2),"Empate cravado",IF($O394=1,"Resultado certo",IF($O394=-2,"Invertida",IF($P394=1,"Acertou quem passa","Erro"))))))</x:f>
      </x:c>
      <x:c r="S394" s="59" t="str">
        <x:f>IF($O394="","",--(OR($O394=3,AND($H394="Sim",$L394=$M394,$I394=$J394,$O394=2))))</x:f>
      </x:c>
      <x:c r="T394" s="59" t="str">
        <x:f>IF($O394="","",--($O394=-2))</x:f>
      </x:c>
      <x:c r="U394" s="59" t="str">
        <x:f>IF($O394="","",--($O394=1))</x:f>
      </x:c>
      <x:c r="V394" s="59" t="n">
        <x:f>--(AND($I394&lt;&gt;"",$J394&lt;&gt;""))</x:f>
        <x:v>0</x:v>
      </x:c>
    </x:row>
    <x:row r="395">
      <x:c r="A395" s="21" t="str">
        <x:f>INDEX(Config!$B$10:$B$16,INT((ROW()-5)/104)+1)</x:f>
        <x:v>Gustavo</x:v>
      </x:c>
      <x:c r="B395" s="21" t="str">
        <x:v>R32_07</x:v>
      </x:c>
      <x:c r="C395" s="21" t="n">
        <x:v>79</x:v>
      </x:c>
      <x:c r="D395" s="21" t="str">
        <x:v>16-avos de final</x:v>
      </x:c>
      <x:c r="E395" s="21" t="str">
        <x:v>2026-06-30</x:v>
      </x:c>
      <x:c r="F395" s="21" t="str">
        <x:f>IFERROR(INDEX('Resultados'!$G$5:$G$108,MATCH($B395,'Resultados'!$A$5:$A$108,0)),"")</x:f>
        <x:v>1º Grupo A</x:v>
      </x:c>
      <x:c r="G395" s="21" t="str">
        <x:f>IFERROR(INDEX('Resultados'!$J$5:$J$108,MATCH($B395,'Resultados'!$A$5:$A$108,0)),"")</x:f>
        <x:v>3º C/E/F/H/I</x:v>
      </x:c>
      <x:c r="H395" s="21" t="str">
        <x:v>Sim</x:v>
      </x:c>
      <x:c r="I395" s="22"/>
      <x:c r="J395" s="22"/>
      <x:c r="K395" s="23"/>
      <x:c r="L395" s="21" t="str">
        <x:f>IFERROR(INDEX('Resultados'!$H$5:$H$108,MATCH($B395,'Resultados'!$A$5:$A$108,0)),"")</x:f>
      </x:c>
      <x:c r="M395" s="21" t="str">
        <x:f>IFERROR(INDEX('Resultados'!$I$5:$I$108,MATCH($B395,'Resultados'!$A$5:$A$108,0)),"")</x:f>
      </x:c>
      <x:c r="N395" s="21" t="str">
        <x:f>IFERROR(INDEX('Resultados'!$L$5:$L$108,MATCH($B395,'Resultados'!$A$5:$A$108,0)),"")</x:f>
      </x:c>
      <x:c r="O395" s="59" t="str">
        <x:f>IF(OR($I395="",$J395="",$L395="",$M395=""),"",IF(AND($H395="Sim",$L395=$M395),IF($I395&lt;&gt;$J395,0,IF(AND($I395=$L395,$J395=$M395),2,1)),IF(AND($I395=$L395,$J395=$M395),3,IF(AND($I395&lt;&gt;$J395,$I395=$M395,$J395=$L395),-2,IF(SIGN($I395-$J395)=SIGN($L395-$M395),1,0)))))</x:f>
      </x:c>
      <x:c r="P395" s="59" t="str">
        <x:f>IF(OR($H395&lt;&gt;"Sim",$I395="",$J395="",$L395="",$M395=""),"",IF(AND(IF($I395&gt;$J395,$F395,IF($I395&lt;$J395,$G395,$K395))&lt;&gt;"",IF($L395&gt;$M395,$F395,IF($L395&lt;$M395,$G395,$N395))&lt;&gt;"",IF($I395&gt;$J395,$F395,IF($I395&lt;$J395,$G395,$K395))=IF($L395&gt;$M395,$F395,IF($L395&lt;$M395,$G395,$N395))),1,0))</x:f>
      </x:c>
      <x:c r="Q395" s="59" t="str">
        <x:f>IF($O395="","",$O395+$P395)</x:f>
      </x:c>
      <x:c r="R395" s="59" t="str">
        <x:f>IF($Q395="","",IF($O395=3,"Cravada",IF(AND($H395="Sim",$L395=$M395,$I395=$J395,$O395=2),"Empate cravado",IF($O395=1,"Resultado certo",IF($O395=-2,"Invertida",IF($P395=1,"Acertou quem passa","Erro"))))))</x:f>
      </x:c>
      <x:c r="S395" s="59" t="str">
        <x:f>IF($O395="","",--(OR($O395=3,AND($H395="Sim",$L395=$M395,$I395=$J395,$O395=2))))</x:f>
      </x:c>
      <x:c r="T395" s="59" t="str">
        <x:f>IF($O395="","",--($O395=-2))</x:f>
      </x:c>
      <x:c r="U395" s="59" t="str">
        <x:f>IF($O395="","",--($O395=1))</x:f>
      </x:c>
      <x:c r="V395" s="59" t="n">
        <x:f>--(AND($I395&lt;&gt;"",$J395&lt;&gt;""))</x:f>
        <x:v>0</x:v>
      </x:c>
    </x:row>
    <x:row r="396">
      <x:c r="A396" s="21" t="str">
        <x:f>INDEX(Config!$B$10:$B$16,INT((ROW()-5)/104)+1)</x:f>
        <x:v>Gustavo</x:v>
      </x:c>
      <x:c r="B396" s="21" t="str">
        <x:v>R32_08</x:v>
      </x:c>
      <x:c r="C396" s="21" t="n">
        <x:v>80</x:v>
      </x:c>
      <x:c r="D396" s="21" t="str">
        <x:v>16-avos de final</x:v>
      </x:c>
      <x:c r="E396" s="21" t="str">
        <x:v>2026-07-01</x:v>
      </x:c>
      <x:c r="F396" s="21" t="str">
        <x:f>IFERROR(INDEX('Resultados'!$G$5:$G$108,MATCH($B396,'Resultados'!$A$5:$A$108,0)),"")</x:f>
        <x:v>1º Grupo L</x:v>
      </x:c>
      <x:c r="G396" s="21" t="str">
        <x:f>IFERROR(INDEX('Resultados'!$J$5:$J$108,MATCH($B396,'Resultados'!$A$5:$A$108,0)),"")</x:f>
        <x:v>3º E/H/I/J/K</x:v>
      </x:c>
      <x:c r="H396" s="21" t="str">
        <x:v>Sim</x:v>
      </x:c>
      <x:c r="I396" s="22"/>
      <x:c r="J396" s="22"/>
      <x:c r="K396" s="23"/>
      <x:c r="L396" s="21" t="str">
        <x:f>IFERROR(INDEX('Resultados'!$H$5:$H$108,MATCH($B396,'Resultados'!$A$5:$A$108,0)),"")</x:f>
      </x:c>
      <x:c r="M396" s="21" t="str">
        <x:f>IFERROR(INDEX('Resultados'!$I$5:$I$108,MATCH($B396,'Resultados'!$A$5:$A$108,0)),"")</x:f>
      </x:c>
      <x:c r="N396" s="21" t="str">
        <x:f>IFERROR(INDEX('Resultados'!$L$5:$L$108,MATCH($B396,'Resultados'!$A$5:$A$108,0)),"")</x:f>
      </x:c>
      <x:c r="O396" s="59" t="str">
        <x:f>IF(OR($I396="",$J396="",$L396="",$M396=""),"",IF(AND($H396="Sim",$L396=$M396),IF($I396&lt;&gt;$J396,0,IF(AND($I396=$L396,$J396=$M396),2,1)),IF(AND($I396=$L396,$J396=$M396),3,IF(AND($I396&lt;&gt;$J396,$I396=$M396,$J396=$L396),-2,IF(SIGN($I396-$J396)=SIGN($L396-$M396),1,0)))))</x:f>
      </x:c>
      <x:c r="P396" s="59" t="str">
        <x:f>IF(OR($H396&lt;&gt;"Sim",$I396="",$J396="",$L396="",$M396=""),"",IF(AND(IF($I396&gt;$J396,$F396,IF($I396&lt;$J396,$G396,$K396))&lt;&gt;"",IF($L396&gt;$M396,$F396,IF($L396&lt;$M396,$G396,$N396))&lt;&gt;"",IF($I396&gt;$J396,$F396,IF($I396&lt;$J396,$G396,$K396))=IF($L396&gt;$M396,$F396,IF($L396&lt;$M396,$G396,$N396))),1,0))</x:f>
      </x:c>
      <x:c r="Q396" s="59" t="str">
        <x:f>IF($O396="","",$O396+$P396)</x:f>
      </x:c>
      <x:c r="R396" s="59" t="str">
        <x:f>IF($Q396="","",IF($O396=3,"Cravada",IF(AND($H396="Sim",$L396=$M396,$I396=$J396,$O396=2),"Empate cravado",IF($O396=1,"Resultado certo",IF($O396=-2,"Invertida",IF($P396=1,"Acertou quem passa","Erro"))))))</x:f>
      </x:c>
      <x:c r="S396" s="59" t="str">
        <x:f>IF($O396="","",--(OR($O396=3,AND($H396="Sim",$L396=$M396,$I396=$J396,$O396=2))))</x:f>
      </x:c>
      <x:c r="T396" s="59" t="str">
        <x:f>IF($O396="","",--($O396=-2))</x:f>
      </x:c>
      <x:c r="U396" s="59" t="str">
        <x:f>IF($O396="","",--($O396=1))</x:f>
      </x:c>
      <x:c r="V396" s="59" t="n">
        <x:f>--(AND($I396&lt;&gt;"",$J396&lt;&gt;""))</x:f>
        <x:v>0</x:v>
      </x:c>
    </x:row>
    <x:row r="397">
      <x:c r="A397" s="21" t="str">
        <x:f>INDEX(Config!$B$10:$B$16,INT((ROW()-5)/104)+1)</x:f>
        <x:v>Gustavo</x:v>
      </x:c>
      <x:c r="B397" s="21" t="str">
        <x:v>R32_09</x:v>
      </x:c>
      <x:c r="C397" s="21" t="n">
        <x:v>81</x:v>
      </x:c>
      <x:c r="D397" s="21" t="str">
        <x:v>16-avos de final</x:v>
      </x:c>
      <x:c r="E397" s="21" t="str">
        <x:v>2026-07-01</x:v>
      </x:c>
      <x:c r="F397" s="21" t="str">
        <x:f>IFERROR(INDEX('Resultados'!$G$5:$G$108,MATCH($B397,'Resultados'!$A$5:$A$108,0)),"")</x:f>
        <x:v>1º Grupo D</x:v>
      </x:c>
      <x:c r="G397" s="21" t="str">
        <x:f>IFERROR(INDEX('Resultados'!$J$5:$J$108,MATCH($B397,'Resultados'!$A$5:$A$108,0)),"")</x:f>
        <x:v>3º B/E/F/I/J</x:v>
      </x:c>
      <x:c r="H397" s="21" t="str">
        <x:v>Sim</x:v>
      </x:c>
      <x:c r="I397" s="22"/>
      <x:c r="J397" s="22"/>
      <x:c r="K397" s="23"/>
      <x:c r="L397" s="21" t="str">
        <x:f>IFERROR(INDEX('Resultados'!$H$5:$H$108,MATCH($B397,'Resultados'!$A$5:$A$108,0)),"")</x:f>
      </x:c>
      <x:c r="M397" s="21" t="str">
        <x:f>IFERROR(INDEX('Resultados'!$I$5:$I$108,MATCH($B397,'Resultados'!$A$5:$A$108,0)),"")</x:f>
      </x:c>
      <x:c r="N397" s="21" t="str">
        <x:f>IFERROR(INDEX('Resultados'!$L$5:$L$108,MATCH($B397,'Resultados'!$A$5:$A$108,0)),"")</x:f>
      </x:c>
      <x:c r="O397" s="59" t="str">
        <x:f>IF(OR($I397="",$J397="",$L397="",$M397=""),"",IF(AND($H397="Sim",$L397=$M397),IF($I397&lt;&gt;$J397,0,IF(AND($I397=$L397,$J397=$M397),2,1)),IF(AND($I397=$L397,$J397=$M397),3,IF(AND($I397&lt;&gt;$J397,$I397=$M397,$J397=$L397),-2,IF(SIGN($I397-$J397)=SIGN($L397-$M397),1,0)))))</x:f>
      </x:c>
      <x:c r="P397" s="59" t="str">
        <x:f>IF(OR($H397&lt;&gt;"Sim",$I397="",$J397="",$L397="",$M397=""),"",IF(AND(IF($I397&gt;$J397,$F397,IF($I397&lt;$J397,$G397,$K397))&lt;&gt;"",IF($L397&gt;$M397,$F397,IF($L397&lt;$M397,$G397,$N397))&lt;&gt;"",IF($I397&gt;$J397,$F397,IF($I397&lt;$J397,$G397,$K397))=IF($L397&gt;$M397,$F397,IF($L397&lt;$M397,$G397,$N397))),1,0))</x:f>
      </x:c>
      <x:c r="Q397" s="59" t="str">
        <x:f>IF($O397="","",$O397+$P397)</x:f>
      </x:c>
      <x:c r="R397" s="59" t="str">
        <x:f>IF($Q397="","",IF($O397=3,"Cravada",IF(AND($H397="Sim",$L397=$M397,$I397=$J397,$O397=2),"Empate cravado",IF($O397=1,"Resultado certo",IF($O397=-2,"Invertida",IF($P397=1,"Acertou quem passa","Erro"))))))</x:f>
      </x:c>
      <x:c r="S397" s="59" t="str">
        <x:f>IF($O397="","",--(OR($O397=3,AND($H397="Sim",$L397=$M397,$I397=$J397,$O397=2))))</x:f>
      </x:c>
      <x:c r="T397" s="59" t="str">
        <x:f>IF($O397="","",--($O397=-2))</x:f>
      </x:c>
      <x:c r="U397" s="59" t="str">
        <x:f>IF($O397="","",--($O397=1))</x:f>
      </x:c>
      <x:c r="V397" s="59" t="n">
        <x:f>--(AND($I397&lt;&gt;"",$J397&lt;&gt;""))</x:f>
        <x:v>0</x:v>
      </x:c>
    </x:row>
    <x:row r="398">
      <x:c r="A398" s="21" t="str">
        <x:f>INDEX(Config!$B$10:$B$16,INT((ROW()-5)/104)+1)</x:f>
        <x:v>Gustavo</x:v>
      </x:c>
      <x:c r="B398" s="21" t="str">
        <x:v>R32_10</x:v>
      </x:c>
      <x:c r="C398" s="21" t="n">
        <x:v>82</x:v>
      </x:c>
      <x:c r="D398" s="21" t="str">
        <x:v>16-avos de final</x:v>
      </x:c>
      <x:c r="E398" s="21" t="str">
        <x:v>2026-07-01</x:v>
      </x:c>
      <x:c r="F398" s="21" t="str">
        <x:f>IFERROR(INDEX('Resultados'!$G$5:$G$108,MATCH($B398,'Resultados'!$A$5:$A$108,0)),"")</x:f>
        <x:v>1º Grupo G</x:v>
      </x:c>
      <x:c r="G398" s="21" t="str">
        <x:f>IFERROR(INDEX('Resultados'!$J$5:$J$108,MATCH($B398,'Resultados'!$A$5:$A$108,0)),"")</x:f>
        <x:v>3º A/E/H/I/J</x:v>
      </x:c>
      <x:c r="H398" s="21" t="str">
        <x:v>Sim</x:v>
      </x:c>
      <x:c r="I398" s="22"/>
      <x:c r="J398" s="22"/>
      <x:c r="K398" s="23"/>
      <x:c r="L398" s="21" t="str">
        <x:f>IFERROR(INDEX('Resultados'!$H$5:$H$108,MATCH($B398,'Resultados'!$A$5:$A$108,0)),"")</x:f>
      </x:c>
      <x:c r="M398" s="21" t="str">
        <x:f>IFERROR(INDEX('Resultados'!$I$5:$I$108,MATCH($B398,'Resultados'!$A$5:$A$108,0)),"")</x:f>
      </x:c>
      <x:c r="N398" s="21" t="str">
        <x:f>IFERROR(INDEX('Resultados'!$L$5:$L$108,MATCH($B398,'Resultados'!$A$5:$A$108,0)),"")</x:f>
      </x:c>
      <x:c r="O398" s="59" t="str">
        <x:f>IF(OR($I398="",$J398="",$L398="",$M398=""),"",IF(AND($H398="Sim",$L398=$M398),IF($I398&lt;&gt;$J398,0,IF(AND($I398=$L398,$J398=$M398),2,1)),IF(AND($I398=$L398,$J398=$M398),3,IF(AND($I398&lt;&gt;$J398,$I398=$M398,$J398=$L398),-2,IF(SIGN($I398-$J398)=SIGN($L398-$M398),1,0)))))</x:f>
      </x:c>
      <x:c r="P398" s="59" t="str">
        <x:f>IF(OR($H398&lt;&gt;"Sim",$I398="",$J398="",$L398="",$M398=""),"",IF(AND(IF($I398&gt;$J398,$F398,IF($I398&lt;$J398,$G398,$K398))&lt;&gt;"",IF($L398&gt;$M398,$F398,IF($L398&lt;$M398,$G398,$N398))&lt;&gt;"",IF($I398&gt;$J398,$F398,IF($I398&lt;$J398,$G398,$K398))=IF($L398&gt;$M398,$F398,IF($L398&lt;$M398,$G398,$N398))),1,0))</x:f>
      </x:c>
      <x:c r="Q398" s="59" t="str">
        <x:f>IF($O398="","",$O398+$P398)</x:f>
      </x:c>
      <x:c r="R398" s="59" t="str">
        <x:f>IF($Q398="","",IF($O398=3,"Cravada",IF(AND($H398="Sim",$L398=$M398,$I398=$J398,$O398=2),"Empate cravado",IF($O398=1,"Resultado certo",IF($O398=-2,"Invertida",IF($P398=1,"Acertou quem passa","Erro"))))))</x:f>
      </x:c>
      <x:c r="S398" s="59" t="str">
        <x:f>IF($O398="","",--(OR($O398=3,AND($H398="Sim",$L398=$M398,$I398=$J398,$O398=2))))</x:f>
      </x:c>
      <x:c r="T398" s="59" t="str">
        <x:f>IF($O398="","",--($O398=-2))</x:f>
      </x:c>
      <x:c r="U398" s="59" t="str">
        <x:f>IF($O398="","",--($O398=1))</x:f>
      </x:c>
      <x:c r="V398" s="59" t="n">
        <x:f>--(AND($I398&lt;&gt;"",$J398&lt;&gt;""))</x:f>
        <x:v>0</x:v>
      </x:c>
    </x:row>
    <x:row r="399">
      <x:c r="A399" s="21" t="str">
        <x:f>INDEX(Config!$B$10:$B$16,INT((ROW()-5)/104)+1)</x:f>
        <x:v>Gustavo</x:v>
      </x:c>
      <x:c r="B399" s="21" t="str">
        <x:v>R32_11</x:v>
      </x:c>
      <x:c r="C399" s="21" t="n">
        <x:v>83</x:v>
      </x:c>
      <x:c r="D399" s="21" t="str">
        <x:v>16-avos de final</x:v>
      </x:c>
      <x:c r="E399" s="21" t="str">
        <x:v>2026-07-02</x:v>
      </x:c>
      <x:c r="F399" s="21" t="str">
        <x:f>IFERROR(INDEX('Resultados'!$G$5:$G$108,MATCH($B399,'Resultados'!$A$5:$A$108,0)),"")</x:f>
        <x:v>2º Grupo K</x:v>
      </x:c>
      <x:c r="G399" s="21" t="str">
        <x:f>IFERROR(INDEX('Resultados'!$J$5:$J$108,MATCH($B399,'Resultados'!$A$5:$A$108,0)),"")</x:f>
        <x:v>2º Grupo L</x:v>
      </x:c>
      <x:c r="H399" s="21" t="str">
        <x:v>Sim</x:v>
      </x:c>
      <x:c r="I399" s="22"/>
      <x:c r="J399" s="22"/>
      <x:c r="K399" s="23"/>
      <x:c r="L399" s="21" t="str">
        <x:f>IFERROR(INDEX('Resultados'!$H$5:$H$108,MATCH($B399,'Resultados'!$A$5:$A$108,0)),"")</x:f>
      </x:c>
      <x:c r="M399" s="21" t="str">
        <x:f>IFERROR(INDEX('Resultados'!$I$5:$I$108,MATCH($B399,'Resultados'!$A$5:$A$108,0)),"")</x:f>
      </x:c>
      <x:c r="N399" s="21" t="str">
        <x:f>IFERROR(INDEX('Resultados'!$L$5:$L$108,MATCH($B399,'Resultados'!$A$5:$A$108,0)),"")</x:f>
      </x:c>
      <x:c r="O399" s="59" t="str">
        <x:f>IF(OR($I399="",$J399="",$L399="",$M399=""),"",IF(AND($H399="Sim",$L399=$M399),IF($I399&lt;&gt;$J399,0,IF(AND($I399=$L399,$J399=$M399),2,1)),IF(AND($I399=$L399,$J399=$M399),3,IF(AND($I399&lt;&gt;$J399,$I399=$M399,$J399=$L399),-2,IF(SIGN($I399-$J399)=SIGN($L399-$M399),1,0)))))</x:f>
      </x:c>
      <x:c r="P399" s="59" t="str">
        <x:f>IF(OR($H399&lt;&gt;"Sim",$I399="",$J399="",$L399="",$M399=""),"",IF(AND(IF($I399&gt;$J399,$F399,IF($I399&lt;$J399,$G399,$K399))&lt;&gt;"",IF($L399&gt;$M399,$F399,IF($L399&lt;$M399,$G399,$N399))&lt;&gt;"",IF($I399&gt;$J399,$F399,IF($I399&lt;$J399,$G399,$K399))=IF($L399&gt;$M399,$F399,IF($L399&lt;$M399,$G399,$N399))),1,0))</x:f>
      </x:c>
      <x:c r="Q399" s="59" t="str">
        <x:f>IF($O399="","",$O399+$P399)</x:f>
      </x:c>
      <x:c r="R399" s="59" t="str">
        <x:f>IF($Q399="","",IF($O399=3,"Cravada",IF(AND($H399="Sim",$L399=$M399,$I399=$J399,$O399=2),"Empate cravado",IF($O399=1,"Resultado certo",IF($O399=-2,"Invertida",IF($P399=1,"Acertou quem passa","Erro"))))))</x:f>
      </x:c>
      <x:c r="S399" s="59" t="str">
        <x:f>IF($O399="","",--(OR($O399=3,AND($H399="Sim",$L399=$M399,$I399=$J399,$O399=2))))</x:f>
      </x:c>
      <x:c r="T399" s="59" t="str">
        <x:f>IF($O399="","",--($O399=-2))</x:f>
      </x:c>
      <x:c r="U399" s="59" t="str">
        <x:f>IF($O399="","",--($O399=1))</x:f>
      </x:c>
      <x:c r="V399" s="59" t="n">
        <x:f>--(AND($I399&lt;&gt;"",$J399&lt;&gt;""))</x:f>
        <x:v>0</x:v>
      </x:c>
    </x:row>
    <x:row r="400">
      <x:c r="A400" s="21" t="str">
        <x:f>INDEX(Config!$B$10:$B$16,INT((ROW()-5)/104)+1)</x:f>
        <x:v>Gustavo</x:v>
      </x:c>
      <x:c r="B400" s="21" t="str">
        <x:v>R32_12</x:v>
      </x:c>
      <x:c r="C400" s="21" t="n">
        <x:v>84</x:v>
      </x:c>
      <x:c r="D400" s="21" t="str">
        <x:v>16-avos de final</x:v>
      </x:c>
      <x:c r="E400" s="21" t="str">
        <x:v>2026-07-02</x:v>
      </x:c>
      <x:c r="F400" s="21" t="str">
        <x:f>IFERROR(INDEX('Resultados'!$G$5:$G$108,MATCH($B400,'Resultados'!$A$5:$A$108,0)),"")</x:f>
        <x:v>1º Grupo H</x:v>
      </x:c>
      <x:c r="G400" s="21" t="str">
        <x:f>IFERROR(INDEX('Resultados'!$J$5:$J$108,MATCH($B400,'Resultados'!$A$5:$A$108,0)),"")</x:f>
        <x:v>2º Grupo J</x:v>
      </x:c>
      <x:c r="H400" s="21" t="str">
        <x:v>Sim</x:v>
      </x:c>
      <x:c r="I400" s="22"/>
      <x:c r="J400" s="22"/>
      <x:c r="K400" s="23"/>
      <x:c r="L400" s="21" t="str">
        <x:f>IFERROR(INDEX('Resultados'!$H$5:$H$108,MATCH($B400,'Resultados'!$A$5:$A$108,0)),"")</x:f>
      </x:c>
      <x:c r="M400" s="21" t="str">
        <x:f>IFERROR(INDEX('Resultados'!$I$5:$I$108,MATCH($B400,'Resultados'!$A$5:$A$108,0)),"")</x:f>
      </x:c>
      <x:c r="N400" s="21" t="str">
        <x:f>IFERROR(INDEX('Resultados'!$L$5:$L$108,MATCH($B400,'Resultados'!$A$5:$A$108,0)),"")</x:f>
      </x:c>
      <x:c r="O400" s="59" t="str">
        <x:f>IF(OR($I400="",$J400="",$L400="",$M400=""),"",IF(AND($H400="Sim",$L400=$M400),IF($I400&lt;&gt;$J400,0,IF(AND($I400=$L400,$J400=$M400),2,1)),IF(AND($I400=$L400,$J400=$M400),3,IF(AND($I400&lt;&gt;$J400,$I400=$M400,$J400=$L400),-2,IF(SIGN($I400-$J400)=SIGN($L400-$M400),1,0)))))</x:f>
      </x:c>
      <x:c r="P400" s="59" t="str">
        <x:f>IF(OR($H400&lt;&gt;"Sim",$I400="",$J400="",$L400="",$M400=""),"",IF(AND(IF($I400&gt;$J400,$F400,IF($I400&lt;$J400,$G400,$K400))&lt;&gt;"",IF($L400&gt;$M400,$F400,IF($L400&lt;$M400,$G400,$N400))&lt;&gt;"",IF($I400&gt;$J400,$F400,IF($I400&lt;$J400,$G400,$K400))=IF($L400&gt;$M400,$F400,IF($L400&lt;$M400,$G400,$N400))),1,0))</x:f>
      </x:c>
      <x:c r="Q400" s="59" t="str">
        <x:f>IF($O400="","",$O400+$P400)</x:f>
      </x:c>
      <x:c r="R400" s="59" t="str">
        <x:f>IF($Q400="","",IF($O400=3,"Cravada",IF(AND($H400="Sim",$L400=$M400,$I400=$J400,$O400=2),"Empate cravado",IF($O400=1,"Resultado certo",IF($O400=-2,"Invertida",IF($P400=1,"Acertou quem passa","Erro"))))))</x:f>
      </x:c>
      <x:c r="S400" s="59" t="str">
        <x:f>IF($O400="","",--(OR($O400=3,AND($H400="Sim",$L400=$M400,$I400=$J400,$O400=2))))</x:f>
      </x:c>
      <x:c r="T400" s="59" t="str">
        <x:f>IF($O400="","",--($O400=-2))</x:f>
      </x:c>
      <x:c r="U400" s="59" t="str">
        <x:f>IF($O400="","",--($O400=1))</x:f>
      </x:c>
      <x:c r="V400" s="59" t="n">
        <x:f>--(AND($I400&lt;&gt;"",$J400&lt;&gt;""))</x:f>
        <x:v>0</x:v>
      </x:c>
    </x:row>
    <x:row r="401">
      <x:c r="A401" s="21" t="str">
        <x:f>INDEX(Config!$B$10:$B$16,INT((ROW()-5)/104)+1)</x:f>
        <x:v>Gustavo</x:v>
      </x:c>
      <x:c r="B401" s="21" t="str">
        <x:v>R32_13</x:v>
      </x:c>
      <x:c r="C401" s="21" t="n">
        <x:v>85</x:v>
      </x:c>
      <x:c r="D401" s="21" t="str">
        <x:v>16-avos de final</x:v>
      </x:c>
      <x:c r="E401" s="21" t="str">
        <x:v>2026-07-03</x:v>
      </x:c>
      <x:c r="F401" s="21" t="str">
        <x:f>IFERROR(INDEX('Resultados'!$G$5:$G$108,MATCH($B401,'Resultados'!$A$5:$A$108,0)),"")</x:f>
        <x:v>1º Grupo B</x:v>
      </x:c>
      <x:c r="G401" s="21" t="str">
        <x:f>IFERROR(INDEX('Resultados'!$J$5:$J$108,MATCH($B401,'Resultados'!$A$5:$A$108,0)),"")</x:f>
        <x:v>3º E/F/G/I/J</x:v>
      </x:c>
      <x:c r="H401" s="21" t="str">
        <x:v>Sim</x:v>
      </x:c>
      <x:c r="I401" s="22"/>
      <x:c r="J401" s="22"/>
      <x:c r="K401" s="23"/>
      <x:c r="L401" s="21" t="str">
        <x:f>IFERROR(INDEX('Resultados'!$H$5:$H$108,MATCH($B401,'Resultados'!$A$5:$A$108,0)),"")</x:f>
      </x:c>
      <x:c r="M401" s="21" t="str">
        <x:f>IFERROR(INDEX('Resultados'!$I$5:$I$108,MATCH($B401,'Resultados'!$A$5:$A$108,0)),"")</x:f>
      </x:c>
      <x:c r="N401" s="21" t="str">
        <x:f>IFERROR(INDEX('Resultados'!$L$5:$L$108,MATCH($B401,'Resultados'!$A$5:$A$108,0)),"")</x:f>
      </x:c>
      <x:c r="O401" s="59" t="str">
        <x:f>IF(OR($I401="",$J401="",$L401="",$M401=""),"",IF(AND($H401="Sim",$L401=$M401),IF($I401&lt;&gt;$J401,0,IF(AND($I401=$L401,$J401=$M401),2,1)),IF(AND($I401=$L401,$J401=$M401),3,IF(AND($I401&lt;&gt;$J401,$I401=$M401,$J401=$L401),-2,IF(SIGN($I401-$J401)=SIGN($L401-$M401),1,0)))))</x:f>
      </x:c>
      <x:c r="P401" s="59" t="str">
        <x:f>IF(OR($H401&lt;&gt;"Sim",$I401="",$J401="",$L401="",$M401=""),"",IF(AND(IF($I401&gt;$J401,$F401,IF($I401&lt;$J401,$G401,$K401))&lt;&gt;"",IF($L401&gt;$M401,$F401,IF($L401&lt;$M401,$G401,$N401))&lt;&gt;"",IF($I401&gt;$J401,$F401,IF($I401&lt;$J401,$G401,$K401))=IF($L401&gt;$M401,$F401,IF($L401&lt;$M401,$G401,$N401))),1,0))</x:f>
      </x:c>
      <x:c r="Q401" s="59" t="str">
        <x:f>IF($O401="","",$O401+$P401)</x:f>
      </x:c>
      <x:c r="R401" s="59" t="str">
        <x:f>IF($Q401="","",IF($O401=3,"Cravada",IF(AND($H401="Sim",$L401=$M401,$I401=$J401,$O401=2),"Empate cravado",IF($O401=1,"Resultado certo",IF($O401=-2,"Invertida",IF($P401=1,"Acertou quem passa","Erro"))))))</x:f>
      </x:c>
      <x:c r="S401" s="59" t="str">
        <x:f>IF($O401="","",--(OR($O401=3,AND($H401="Sim",$L401=$M401,$I401=$J401,$O401=2))))</x:f>
      </x:c>
      <x:c r="T401" s="59" t="str">
        <x:f>IF($O401="","",--($O401=-2))</x:f>
      </x:c>
      <x:c r="U401" s="59" t="str">
        <x:f>IF($O401="","",--($O401=1))</x:f>
      </x:c>
      <x:c r="V401" s="59" t="n">
        <x:f>--(AND($I401&lt;&gt;"",$J401&lt;&gt;""))</x:f>
        <x:v>0</x:v>
      </x:c>
    </x:row>
    <x:row r="402">
      <x:c r="A402" s="21" t="str">
        <x:f>INDEX(Config!$B$10:$B$16,INT((ROW()-5)/104)+1)</x:f>
        <x:v>Gustavo</x:v>
      </x:c>
      <x:c r="B402" s="21" t="str">
        <x:v>R32_14</x:v>
      </x:c>
      <x:c r="C402" s="21" t="n">
        <x:v>86</x:v>
      </x:c>
      <x:c r="D402" s="21" t="str">
        <x:v>16-avos de final</x:v>
      </x:c>
      <x:c r="E402" s="21" t="str">
        <x:v>2026-07-03</x:v>
      </x:c>
      <x:c r="F402" s="21" t="str">
        <x:f>IFERROR(INDEX('Resultados'!$G$5:$G$108,MATCH($B402,'Resultados'!$A$5:$A$108,0)),"")</x:f>
        <x:v>1º Grupo J</x:v>
      </x:c>
      <x:c r="G402" s="21" t="str">
        <x:f>IFERROR(INDEX('Resultados'!$J$5:$J$108,MATCH($B402,'Resultados'!$A$5:$A$108,0)),"")</x:f>
        <x:v>2º Grupo H</x:v>
      </x:c>
      <x:c r="H402" s="21" t="str">
        <x:v>Sim</x:v>
      </x:c>
      <x:c r="I402" s="22"/>
      <x:c r="J402" s="22"/>
      <x:c r="K402" s="23"/>
      <x:c r="L402" s="21" t="str">
        <x:f>IFERROR(INDEX('Resultados'!$H$5:$H$108,MATCH($B402,'Resultados'!$A$5:$A$108,0)),"")</x:f>
      </x:c>
      <x:c r="M402" s="21" t="str">
        <x:f>IFERROR(INDEX('Resultados'!$I$5:$I$108,MATCH($B402,'Resultados'!$A$5:$A$108,0)),"")</x:f>
      </x:c>
      <x:c r="N402" s="21" t="str">
        <x:f>IFERROR(INDEX('Resultados'!$L$5:$L$108,MATCH($B402,'Resultados'!$A$5:$A$108,0)),"")</x:f>
      </x:c>
      <x:c r="O402" s="59" t="str">
        <x:f>IF(OR($I402="",$J402="",$L402="",$M402=""),"",IF(AND($H402="Sim",$L402=$M402),IF($I402&lt;&gt;$J402,0,IF(AND($I402=$L402,$J402=$M402),2,1)),IF(AND($I402=$L402,$J402=$M402),3,IF(AND($I402&lt;&gt;$J402,$I402=$M402,$J402=$L402),-2,IF(SIGN($I402-$J402)=SIGN($L402-$M402),1,0)))))</x:f>
      </x:c>
      <x:c r="P402" s="59" t="str">
        <x:f>IF(OR($H402&lt;&gt;"Sim",$I402="",$J402="",$L402="",$M402=""),"",IF(AND(IF($I402&gt;$J402,$F402,IF($I402&lt;$J402,$G402,$K402))&lt;&gt;"",IF($L402&gt;$M402,$F402,IF($L402&lt;$M402,$G402,$N402))&lt;&gt;"",IF($I402&gt;$J402,$F402,IF($I402&lt;$J402,$G402,$K402))=IF($L402&gt;$M402,$F402,IF($L402&lt;$M402,$G402,$N402))),1,0))</x:f>
      </x:c>
      <x:c r="Q402" s="59" t="str">
        <x:f>IF($O402="","",$O402+$P402)</x:f>
      </x:c>
      <x:c r="R402" s="59" t="str">
        <x:f>IF($Q402="","",IF($O402=3,"Cravada",IF(AND($H402="Sim",$L402=$M402,$I402=$J402,$O402=2),"Empate cravado",IF($O402=1,"Resultado certo",IF($O402=-2,"Invertida",IF($P402=1,"Acertou quem passa","Erro"))))))</x:f>
      </x:c>
      <x:c r="S402" s="59" t="str">
        <x:f>IF($O402="","",--(OR($O402=3,AND($H402="Sim",$L402=$M402,$I402=$J402,$O402=2))))</x:f>
      </x:c>
      <x:c r="T402" s="59" t="str">
        <x:f>IF($O402="","",--($O402=-2))</x:f>
      </x:c>
      <x:c r="U402" s="59" t="str">
        <x:f>IF($O402="","",--($O402=1))</x:f>
      </x:c>
      <x:c r="V402" s="59" t="n">
        <x:f>--(AND($I402&lt;&gt;"",$J402&lt;&gt;""))</x:f>
        <x:v>0</x:v>
      </x:c>
    </x:row>
    <x:row r="403">
      <x:c r="A403" s="21" t="str">
        <x:f>INDEX(Config!$B$10:$B$16,INT((ROW()-5)/104)+1)</x:f>
        <x:v>Gustavo</x:v>
      </x:c>
      <x:c r="B403" s="21" t="str">
        <x:v>R32_15</x:v>
      </x:c>
      <x:c r="C403" s="21" t="n">
        <x:v>87</x:v>
      </x:c>
      <x:c r="D403" s="21" t="str">
        <x:v>16-avos de final</x:v>
      </x:c>
      <x:c r="E403" s="21" t="str">
        <x:v>2026-07-03</x:v>
      </x:c>
      <x:c r="F403" s="21" t="str">
        <x:f>IFERROR(INDEX('Resultados'!$G$5:$G$108,MATCH($B403,'Resultados'!$A$5:$A$108,0)),"")</x:f>
        <x:v>1º Grupo K</x:v>
      </x:c>
      <x:c r="G403" s="21" t="str">
        <x:f>IFERROR(INDEX('Resultados'!$J$5:$J$108,MATCH($B403,'Resultados'!$A$5:$A$108,0)),"")</x:f>
        <x:v>3º D/E/I/J/L</x:v>
      </x:c>
      <x:c r="H403" s="21" t="str">
        <x:v>Sim</x:v>
      </x:c>
      <x:c r="I403" s="22"/>
      <x:c r="J403" s="22"/>
      <x:c r="K403" s="23"/>
      <x:c r="L403" s="21" t="str">
        <x:f>IFERROR(INDEX('Resultados'!$H$5:$H$108,MATCH($B403,'Resultados'!$A$5:$A$108,0)),"")</x:f>
      </x:c>
      <x:c r="M403" s="21" t="str">
        <x:f>IFERROR(INDEX('Resultados'!$I$5:$I$108,MATCH($B403,'Resultados'!$A$5:$A$108,0)),"")</x:f>
      </x:c>
      <x:c r="N403" s="21" t="str">
        <x:f>IFERROR(INDEX('Resultados'!$L$5:$L$108,MATCH($B403,'Resultados'!$A$5:$A$108,0)),"")</x:f>
      </x:c>
      <x:c r="O403" s="59" t="str">
        <x:f>IF(OR($I403="",$J403="",$L403="",$M403=""),"",IF(AND($H403="Sim",$L403=$M403),IF($I403&lt;&gt;$J403,0,IF(AND($I403=$L403,$J403=$M403),2,1)),IF(AND($I403=$L403,$J403=$M403),3,IF(AND($I403&lt;&gt;$J403,$I403=$M403,$J403=$L403),-2,IF(SIGN($I403-$J403)=SIGN($L403-$M403),1,0)))))</x:f>
      </x:c>
      <x:c r="P403" s="59" t="str">
        <x:f>IF(OR($H403&lt;&gt;"Sim",$I403="",$J403="",$L403="",$M403=""),"",IF(AND(IF($I403&gt;$J403,$F403,IF($I403&lt;$J403,$G403,$K403))&lt;&gt;"",IF($L403&gt;$M403,$F403,IF($L403&lt;$M403,$G403,$N403))&lt;&gt;"",IF($I403&gt;$J403,$F403,IF($I403&lt;$J403,$G403,$K403))=IF($L403&gt;$M403,$F403,IF($L403&lt;$M403,$G403,$N403))),1,0))</x:f>
      </x:c>
      <x:c r="Q403" s="59" t="str">
        <x:f>IF($O403="","",$O403+$P403)</x:f>
      </x:c>
      <x:c r="R403" s="59" t="str">
        <x:f>IF($Q403="","",IF($O403=3,"Cravada",IF(AND($H403="Sim",$L403=$M403,$I403=$J403,$O403=2),"Empate cravado",IF($O403=1,"Resultado certo",IF($O403=-2,"Invertida",IF($P403=1,"Acertou quem passa","Erro"))))))</x:f>
      </x:c>
      <x:c r="S403" s="59" t="str">
        <x:f>IF($O403="","",--(OR($O403=3,AND($H403="Sim",$L403=$M403,$I403=$J403,$O403=2))))</x:f>
      </x:c>
      <x:c r="T403" s="59" t="str">
        <x:f>IF($O403="","",--($O403=-2))</x:f>
      </x:c>
      <x:c r="U403" s="59" t="str">
        <x:f>IF($O403="","",--($O403=1))</x:f>
      </x:c>
      <x:c r="V403" s="59" t="n">
        <x:f>--(AND($I403&lt;&gt;"",$J403&lt;&gt;""))</x:f>
        <x:v>0</x:v>
      </x:c>
    </x:row>
    <x:row r="404">
      <x:c r="A404" s="21" t="str">
        <x:f>INDEX(Config!$B$10:$B$16,INT((ROW()-5)/104)+1)</x:f>
        <x:v>Gustavo</x:v>
      </x:c>
      <x:c r="B404" s="21" t="str">
        <x:v>R32_16</x:v>
      </x:c>
      <x:c r="C404" s="21" t="n">
        <x:v>88</x:v>
      </x:c>
      <x:c r="D404" s="21" t="str">
        <x:v>16-avos de final</x:v>
      </x:c>
      <x:c r="E404" s="21" t="str">
        <x:v>2026-07-03</x:v>
      </x:c>
      <x:c r="F404" s="21" t="str">
        <x:f>IFERROR(INDEX('Resultados'!$G$5:$G$108,MATCH($B404,'Resultados'!$A$5:$A$108,0)),"")</x:f>
        <x:v>2º Grupo D</x:v>
      </x:c>
      <x:c r="G404" s="21" t="str">
        <x:f>IFERROR(INDEX('Resultados'!$J$5:$J$108,MATCH($B404,'Resultados'!$A$5:$A$108,0)),"")</x:f>
        <x:v>2º Grupo G</x:v>
      </x:c>
      <x:c r="H404" s="21" t="str">
        <x:v>Sim</x:v>
      </x:c>
      <x:c r="I404" s="22"/>
      <x:c r="J404" s="22"/>
      <x:c r="K404" s="23"/>
      <x:c r="L404" s="21" t="str">
        <x:f>IFERROR(INDEX('Resultados'!$H$5:$H$108,MATCH($B404,'Resultados'!$A$5:$A$108,0)),"")</x:f>
      </x:c>
      <x:c r="M404" s="21" t="str">
        <x:f>IFERROR(INDEX('Resultados'!$I$5:$I$108,MATCH($B404,'Resultados'!$A$5:$A$108,0)),"")</x:f>
      </x:c>
      <x:c r="N404" s="21" t="str">
        <x:f>IFERROR(INDEX('Resultados'!$L$5:$L$108,MATCH($B404,'Resultados'!$A$5:$A$108,0)),"")</x:f>
      </x:c>
      <x:c r="O404" s="59" t="str">
        <x:f>IF(OR($I404="",$J404="",$L404="",$M404=""),"",IF(AND($H404="Sim",$L404=$M404),IF($I404&lt;&gt;$J404,0,IF(AND($I404=$L404,$J404=$M404),2,1)),IF(AND($I404=$L404,$J404=$M404),3,IF(AND($I404&lt;&gt;$J404,$I404=$M404,$J404=$L404),-2,IF(SIGN($I404-$J404)=SIGN($L404-$M404),1,0)))))</x:f>
      </x:c>
      <x:c r="P404" s="59" t="str">
        <x:f>IF(OR($H404&lt;&gt;"Sim",$I404="",$J404="",$L404="",$M404=""),"",IF(AND(IF($I404&gt;$J404,$F404,IF($I404&lt;$J404,$G404,$K404))&lt;&gt;"",IF($L404&gt;$M404,$F404,IF($L404&lt;$M404,$G404,$N404))&lt;&gt;"",IF($I404&gt;$J404,$F404,IF($I404&lt;$J404,$G404,$K404))=IF($L404&gt;$M404,$F404,IF($L404&lt;$M404,$G404,$N404))),1,0))</x:f>
      </x:c>
      <x:c r="Q404" s="59" t="str">
        <x:f>IF($O404="","",$O404+$P404)</x:f>
      </x:c>
      <x:c r="R404" s="59" t="str">
        <x:f>IF($Q404="","",IF($O404=3,"Cravada",IF(AND($H404="Sim",$L404=$M404,$I404=$J404,$O404=2),"Empate cravado",IF($O404=1,"Resultado certo",IF($O404=-2,"Invertida",IF($P404=1,"Acertou quem passa","Erro"))))))</x:f>
      </x:c>
      <x:c r="S404" s="59" t="str">
        <x:f>IF($O404="","",--(OR($O404=3,AND($H404="Sim",$L404=$M404,$I404=$J404,$O404=2))))</x:f>
      </x:c>
      <x:c r="T404" s="59" t="str">
        <x:f>IF($O404="","",--($O404=-2))</x:f>
      </x:c>
      <x:c r="U404" s="59" t="str">
        <x:f>IF($O404="","",--($O404=1))</x:f>
      </x:c>
      <x:c r="V404" s="59" t="n">
        <x:f>--(AND($I404&lt;&gt;"",$J404&lt;&gt;""))</x:f>
        <x:v>0</x:v>
      </x:c>
    </x:row>
    <x:row r="405">
      <x:c r="A405" s="21" t="str">
        <x:f>INDEX(Config!$B$10:$B$16,INT((ROW()-5)/104)+1)</x:f>
        <x:v>Gustavo</x:v>
      </x:c>
      <x:c r="B405" s="21" t="str">
        <x:v>R16_01</x:v>
      </x:c>
      <x:c r="C405" s="21" t="n">
        <x:v>89</x:v>
      </x:c>
      <x:c r="D405" s="21" t="str">
        <x:v>Oitavas de final</x:v>
      </x:c>
      <x:c r="E405" s="21" t="str">
        <x:v>2026-07-04</x:v>
      </x:c>
      <x:c r="F405" s="21" t="str">
        <x:f>IFERROR(INDEX('Resultados'!$G$5:$G$108,MATCH($B405,'Resultados'!$A$5:$A$108,0)),"")</x:f>
        <x:v>Vencedor M74</x:v>
      </x:c>
      <x:c r="G405" s="21" t="str">
        <x:f>IFERROR(INDEX('Resultados'!$J$5:$J$108,MATCH($B405,'Resultados'!$A$5:$A$108,0)),"")</x:f>
        <x:v>Vencedor M77</x:v>
      </x:c>
      <x:c r="H405" s="21" t="str">
        <x:v>Sim</x:v>
      </x:c>
      <x:c r="I405" s="22"/>
      <x:c r="J405" s="22"/>
      <x:c r="K405" s="23"/>
      <x:c r="L405" s="21" t="str">
        <x:f>IFERROR(INDEX('Resultados'!$H$5:$H$108,MATCH($B405,'Resultados'!$A$5:$A$108,0)),"")</x:f>
      </x:c>
      <x:c r="M405" s="21" t="str">
        <x:f>IFERROR(INDEX('Resultados'!$I$5:$I$108,MATCH($B405,'Resultados'!$A$5:$A$108,0)),"")</x:f>
      </x:c>
      <x:c r="N405" s="21" t="str">
        <x:f>IFERROR(INDEX('Resultados'!$L$5:$L$108,MATCH($B405,'Resultados'!$A$5:$A$108,0)),"")</x:f>
      </x:c>
      <x:c r="O405" s="59" t="str">
        <x:f>IF(OR($I405="",$J405="",$L405="",$M405=""),"",IF(AND($H405="Sim",$L405=$M405),IF($I405&lt;&gt;$J405,0,IF(AND($I405=$L405,$J405=$M405),2,1)),IF(AND($I405=$L405,$J405=$M405),3,IF(AND($I405&lt;&gt;$J405,$I405=$M405,$J405=$L405),-2,IF(SIGN($I405-$J405)=SIGN($L405-$M405),1,0)))))</x:f>
      </x:c>
      <x:c r="P405" s="59" t="str">
        <x:f>IF(OR($H405&lt;&gt;"Sim",$I405="",$J405="",$L405="",$M405=""),"",IF(AND(IF($I405&gt;$J405,$F405,IF($I405&lt;$J405,$G405,$K405))&lt;&gt;"",IF($L405&gt;$M405,$F405,IF($L405&lt;$M405,$G405,$N405))&lt;&gt;"",IF($I405&gt;$J405,$F405,IF($I405&lt;$J405,$G405,$K405))=IF($L405&gt;$M405,$F405,IF($L405&lt;$M405,$G405,$N405))),1,0))</x:f>
      </x:c>
      <x:c r="Q405" s="59" t="str">
        <x:f>IF($O405="","",$O405+$P405)</x:f>
      </x:c>
      <x:c r="R405" s="59" t="str">
        <x:f>IF($Q405="","",IF($O405=3,"Cravada",IF(AND($H405="Sim",$L405=$M405,$I405=$J405,$O405=2),"Empate cravado",IF($O405=1,"Resultado certo",IF($O405=-2,"Invertida",IF($P405=1,"Acertou quem passa","Erro"))))))</x:f>
      </x:c>
      <x:c r="S405" s="59" t="str">
        <x:f>IF($O405="","",--(OR($O405=3,AND($H405="Sim",$L405=$M405,$I405=$J405,$O405=2))))</x:f>
      </x:c>
      <x:c r="T405" s="59" t="str">
        <x:f>IF($O405="","",--($O405=-2))</x:f>
      </x:c>
      <x:c r="U405" s="59" t="str">
        <x:f>IF($O405="","",--($O405=1))</x:f>
      </x:c>
      <x:c r="V405" s="59" t="n">
        <x:f>--(AND($I405&lt;&gt;"",$J405&lt;&gt;""))</x:f>
        <x:v>0</x:v>
      </x:c>
    </x:row>
    <x:row r="406">
      <x:c r="A406" s="21" t="str">
        <x:f>INDEX(Config!$B$10:$B$16,INT((ROW()-5)/104)+1)</x:f>
        <x:v>Gustavo</x:v>
      </x:c>
      <x:c r="B406" s="21" t="str">
        <x:v>R16_02</x:v>
      </x:c>
      <x:c r="C406" s="21" t="n">
        <x:v>90</x:v>
      </x:c>
      <x:c r="D406" s="21" t="str">
        <x:v>Oitavas de final</x:v>
      </x:c>
      <x:c r="E406" s="21" t="str">
        <x:v>2026-07-04</x:v>
      </x:c>
      <x:c r="F406" s="21" t="str">
        <x:f>IFERROR(INDEX('Resultados'!$G$5:$G$108,MATCH($B406,'Resultados'!$A$5:$A$108,0)),"")</x:f>
        <x:v>Vencedor M73</x:v>
      </x:c>
      <x:c r="G406" s="21" t="str">
        <x:f>IFERROR(INDEX('Resultados'!$J$5:$J$108,MATCH($B406,'Resultados'!$A$5:$A$108,0)),"")</x:f>
        <x:v>Vencedor M75</x:v>
      </x:c>
      <x:c r="H406" s="21" t="str">
        <x:v>Sim</x:v>
      </x:c>
      <x:c r="I406" s="22"/>
      <x:c r="J406" s="22"/>
      <x:c r="K406" s="23"/>
      <x:c r="L406" s="21" t="str">
        <x:f>IFERROR(INDEX('Resultados'!$H$5:$H$108,MATCH($B406,'Resultados'!$A$5:$A$108,0)),"")</x:f>
      </x:c>
      <x:c r="M406" s="21" t="str">
        <x:f>IFERROR(INDEX('Resultados'!$I$5:$I$108,MATCH($B406,'Resultados'!$A$5:$A$108,0)),"")</x:f>
      </x:c>
      <x:c r="N406" s="21" t="str">
        <x:f>IFERROR(INDEX('Resultados'!$L$5:$L$108,MATCH($B406,'Resultados'!$A$5:$A$108,0)),"")</x:f>
      </x:c>
      <x:c r="O406" s="59" t="str">
        <x:f>IF(OR($I406="",$J406="",$L406="",$M406=""),"",IF(AND($H406="Sim",$L406=$M406),IF($I406&lt;&gt;$J406,0,IF(AND($I406=$L406,$J406=$M406),2,1)),IF(AND($I406=$L406,$J406=$M406),3,IF(AND($I406&lt;&gt;$J406,$I406=$M406,$J406=$L406),-2,IF(SIGN($I406-$J406)=SIGN($L406-$M406),1,0)))))</x:f>
      </x:c>
      <x:c r="P406" s="59" t="str">
        <x:f>IF(OR($H406&lt;&gt;"Sim",$I406="",$J406="",$L406="",$M406=""),"",IF(AND(IF($I406&gt;$J406,$F406,IF($I406&lt;$J406,$G406,$K406))&lt;&gt;"",IF($L406&gt;$M406,$F406,IF($L406&lt;$M406,$G406,$N406))&lt;&gt;"",IF($I406&gt;$J406,$F406,IF($I406&lt;$J406,$G406,$K406))=IF($L406&gt;$M406,$F406,IF($L406&lt;$M406,$G406,$N406))),1,0))</x:f>
      </x:c>
      <x:c r="Q406" s="59" t="str">
        <x:f>IF($O406="","",$O406+$P406)</x:f>
      </x:c>
      <x:c r="R406" s="59" t="str">
        <x:f>IF($Q406="","",IF($O406=3,"Cravada",IF(AND($H406="Sim",$L406=$M406,$I406=$J406,$O406=2),"Empate cravado",IF($O406=1,"Resultado certo",IF($O406=-2,"Invertida",IF($P406=1,"Acertou quem passa","Erro"))))))</x:f>
      </x:c>
      <x:c r="S406" s="59" t="str">
        <x:f>IF($O406="","",--(OR($O406=3,AND($H406="Sim",$L406=$M406,$I406=$J406,$O406=2))))</x:f>
      </x:c>
      <x:c r="T406" s="59" t="str">
        <x:f>IF($O406="","",--($O406=-2))</x:f>
      </x:c>
      <x:c r="U406" s="59" t="str">
        <x:f>IF($O406="","",--($O406=1))</x:f>
      </x:c>
      <x:c r="V406" s="59" t="n">
        <x:f>--(AND($I406&lt;&gt;"",$J406&lt;&gt;""))</x:f>
        <x:v>0</x:v>
      </x:c>
    </x:row>
    <x:row r="407">
      <x:c r="A407" s="21" t="str">
        <x:f>INDEX(Config!$B$10:$B$16,INT((ROW()-5)/104)+1)</x:f>
        <x:v>Gustavo</x:v>
      </x:c>
      <x:c r="B407" s="21" t="str">
        <x:v>R16_03</x:v>
      </x:c>
      <x:c r="C407" s="21" t="n">
        <x:v>91</x:v>
      </x:c>
      <x:c r="D407" s="21" t="str">
        <x:v>Oitavas de final</x:v>
      </x:c>
      <x:c r="E407" s="21" t="str">
        <x:v>2026-07-05</x:v>
      </x:c>
      <x:c r="F407" s="21" t="str">
        <x:f>IFERROR(INDEX('Resultados'!$G$5:$G$108,MATCH($B407,'Resultados'!$A$5:$A$108,0)),"")</x:f>
        <x:v>Vencedor M76</x:v>
      </x:c>
      <x:c r="G407" s="21" t="str">
        <x:f>IFERROR(INDEX('Resultados'!$J$5:$J$108,MATCH($B407,'Resultados'!$A$5:$A$108,0)),"")</x:f>
        <x:v>Vencedor M78</x:v>
      </x:c>
      <x:c r="H407" s="21" t="str">
        <x:v>Sim</x:v>
      </x:c>
      <x:c r="I407" s="22"/>
      <x:c r="J407" s="22"/>
      <x:c r="K407" s="23"/>
      <x:c r="L407" s="21" t="str">
        <x:f>IFERROR(INDEX('Resultados'!$H$5:$H$108,MATCH($B407,'Resultados'!$A$5:$A$108,0)),"")</x:f>
      </x:c>
      <x:c r="M407" s="21" t="str">
        <x:f>IFERROR(INDEX('Resultados'!$I$5:$I$108,MATCH($B407,'Resultados'!$A$5:$A$108,0)),"")</x:f>
      </x:c>
      <x:c r="N407" s="21" t="str">
        <x:f>IFERROR(INDEX('Resultados'!$L$5:$L$108,MATCH($B407,'Resultados'!$A$5:$A$108,0)),"")</x:f>
      </x:c>
      <x:c r="O407" s="59" t="str">
        <x:f>IF(OR($I407="",$J407="",$L407="",$M407=""),"",IF(AND($H407="Sim",$L407=$M407),IF($I407&lt;&gt;$J407,0,IF(AND($I407=$L407,$J407=$M407),2,1)),IF(AND($I407=$L407,$J407=$M407),3,IF(AND($I407&lt;&gt;$J407,$I407=$M407,$J407=$L407),-2,IF(SIGN($I407-$J407)=SIGN($L407-$M407),1,0)))))</x:f>
      </x:c>
      <x:c r="P407" s="59" t="str">
        <x:f>IF(OR($H407&lt;&gt;"Sim",$I407="",$J407="",$L407="",$M407=""),"",IF(AND(IF($I407&gt;$J407,$F407,IF($I407&lt;$J407,$G407,$K407))&lt;&gt;"",IF($L407&gt;$M407,$F407,IF($L407&lt;$M407,$G407,$N407))&lt;&gt;"",IF($I407&gt;$J407,$F407,IF($I407&lt;$J407,$G407,$K407))=IF($L407&gt;$M407,$F407,IF($L407&lt;$M407,$G407,$N407))),1,0))</x:f>
      </x:c>
      <x:c r="Q407" s="59" t="str">
        <x:f>IF($O407="","",$O407+$P407)</x:f>
      </x:c>
      <x:c r="R407" s="59" t="str">
        <x:f>IF($Q407="","",IF($O407=3,"Cravada",IF(AND($H407="Sim",$L407=$M407,$I407=$J407,$O407=2),"Empate cravado",IF($O407=1,"Resultado certo",IF($O407=-2,"Invertida",IF($P407=1,"Acertou quem passa","Erro"))))))</x:f>
      </x:c>
      <x:c r="S407" s="59" t="str">
        <x:f>IF($O407="","",--(OR($O407=3,AND($H407="Sim",$L407=$M407,$I407=$J407,$O407=2))))</x:f>
      </x:c>
      <x:c r="T407" s="59" t="str">
        <x:f>IF($O407="","",--($O407=-2))</x:f>
      </x:c>
      <x:c r="U407" s="59" t="str">
        <x:f>IF($O407="","",--($O407=1))</x:f>
      </x:c>
      <x:c r="V407" s="59" t="n">
        <x:f>--(AND($I407&lt;&gt;"",$J407&lt;&gt;""))</x:f>
        <x:v>0</x:v>
      </x:c>
    </x:row>
    <x:row r="408">
      <x:c r="A408" s="21" t="str">
        <x:f>INDEX(Config!$B$10:$B$16,INT((ROW()-5)/104)+1)</x:f>
        <x:v>Gustavo</x:v>
      </x:c>
      <x:c r="B408" s="21" t="str">
        <x:v>R16_04</x:v>
      </x:c>
      <x:c r="C408" s="21" t="n">
        <x:v>92</x:v>
      </x:c>
      <x:c r="D408" s="21" t="str">
        <x:v>Oitavas de final</x:v>
      </x:c>
      <x:c r="E408" s="21" t="str">
        <x:v>2026-07-05</x:v>
      </x:c>
      <x:c r="F408" s="21" t="str">
        <x:f>IFERROR(INDEX('Resultados'!$G$5:$G$108,MATCH($B408,'Resultados'!$A$5:$A$108,0)),"")</x:f>
        <x:v>Vencedor M79</x:v>
      </x:c>
      <x:c r="G408" s="21" t="str">
        <x:f>IFERROR(INDEX('Resultados'!$J$5:$J$108,MATCH($B408,'Resultados'!$A$5:$A$108,0)),"")</x:f>
        <x:v>Vencedor M80</x:v>
      </x:c>
      <x:c r="H408" s="21" t="str">
        <x:v>Sim</x:v>
      </x:c>
      <x:c r="I408" s="22"/>
      <x:c r="J408" s="22"/>
      <x:c r="K408" s="23"/>
      <x:c r="L408" s="21" t="str">
        <x:f>IFERROR(INDEX('Resultados'!$H$5:$H$108,MATCH($B408,'Resultados'!$A$5:$A$108,0)),"")</x:f>
      </x:c>
      <x:c r="M408" s="21" t="str">
        <x:f>IFERROR(INDEX('Resultados'!$I$5:$I$108,MATCH($B408,'Resultados'!$A$5:$A$108,0)),"")</x:f>
      </x:c>
      <x:c r="N408" s="21" t="str">
        <x:f>IFERROR(INDEX('Resultados'!$L$5:$L$108,MATCH($B408,'Resultados'!$A$5:$A$108,0)),"")</x:f>
      </x:c>
      <x:c r="O408" s="59" t="str">
        <x:f>IF(OR($I408="",$J408="",$L408="",$M408=""),"",IF(AND($H408="Sim",$L408=$M408),IF($I408&lt;&gt;$J408,0,IF(AND($I408=$L408,$J408=$M408),2,1)),IF(AND($I408=$L408,$J408=$M408),3,IF(AND($I408&lt;&gt;$J408,$I408=$M408,$J408=$L408),-2,IF(SIGN($I408-$J408)=SIGN($L408-$M408),1,0)))))</x:f>
      </x:c>
      <x:c r="P408" s="59" t="str">
        <x:f>IF(OR($H408&lt;&gt;"Sim",$I408="",$J408="",$L408="",$M408=""),"",IF(AND(IF($I408&gt;$J408,$F408,IF($I408&lt;$J408,$G408,$K408))&lt;&gt;"",IF($L408&gt;$M408,$F408,IF($L408&lt;$M408,$G408,$N408))&lt;&gt;"",IF($I408&gt;$J408,$F408,IF($I408&lt;$J408,$G408,$K408))=IF($L408&gt;$M408,$F408,IF($L408&lt;$M408,$G408,$N408))),1,0))</x:f>
      </x:c>
      <x:c r="Q408" s="59" t="str">
        <x:f>IF($O408="","",$O408+$P408)</x:f>
      </x:c>
      <x:c r="R408" s="59" t="str">
        <x:f>IF($Q408="","",IF($O408=3,"Cravada",IF(AND($H408="Sim",$L408=$M408,$I408=$J408,$O408=2),"Empate cravado",IF($O408=1,"Resultado certo",IF($O408=-2,"Invertida",IF($P408=1,"Acertou quem passa","Erro"))))))</x:f>
      </x:c>
      <x:c r="S408" s="59" t="str">
        <x:f>IF($O408="","",--(OR($O408=3,AND($H408="Sim",$L408=$M408,$I408=$J408,$O408=2))))</x:f>
      </x:c>
      <x:c r="T408" s="59" t="str">
        <x:f>IF($O408="","",--($O408=-2))</x:f>
      </x:c>
      <x:c r="U408" s="59" t="str">
        <x:f>IF($O408="","",--($O408=1))</x:f>
      </x:c>
      <x:c r="V408" s="59" t="n">
        <x:f>--(AND($I408&lt;&gt;"",$J408&lt;&gt;""))</x:f>
        <x:v>0</x:v>
      </x:c>
    </x:row>
    <x:row r="409">
      <x:c r="A409" s="21" t="str">
        <x:f>INDEX(Config!$B$10:$B$16,INT((ROW()-5)/104)+1)</x:f>
        <x:v>Gustavo</x:v>
      </x:c>
      <x:c r="B409" s="21" t="str">
        <x:v>R16_05</x:v>
      </x:c>
      <x:c r="C409" s="21" t="n">
        <x:v>93</x:v>
      </x:c>
      <x:c r="D409" s="21" t="str">
        <x:v>Oitavas de final</x:v>
      </x:c>
      <x:c r="E409" s="21" t="str">
        <x:v>2026-07-06</x:v>
      </x:c>
      <x:c r="F409" s="21" t="str">
        <x:f>IFERROR(INDEX('Resultados'!$G$5:$G$108,MATCH($B409,'Resultados'!$A$5:$A$108,0)),"")</x:f>
        <x:v>Vencedor M83</x:v>
      </x:c>
      <x:c r="G409" s="21" t="str">
        <x:f>IFERROR(INDEX('Resultados'!$J$5:$J$108,MATCH($B409,'Resultados'!$A$5:$A$108,0)),"")</x:f>
        <x:v>Vencedor M84</x:v>
      </x:c>
      <x:c r="H409" s="21" t="str">
        <x:v>Sim</x:v>
      </x:c>
      <x:c r="I409" s="22"/>
      <x:c r="J409" s="22"/>
      <x:c r="K409" s="23"/>
      <x:c r="L409" s="21" t="str">
        <x:f>IFERROR(INDEX('Resultados'!$H$5:$H$108,MATCH($B409,'Resultados'!$A$5:$A$108,0)),"")</x:f>
      </x:c>
      <x:c r="M409" s="21" t="str">
        <x:f>IFERROR(INDEX('Resultados'!$I$5:$I$108,MATCH($B409,'Resultados'!$A$5:$A$108,0)),"")</x:f>
      </x:c>
      <x:c r="N409" s="21" t="str">
        <x:f>IFERROR(INDEX('Resultados'!$L$5:$L$108,MATCH($B409,'Resultados'!$A$5:$A$108,0)),"")</x:f>
      </x:c>
      <x:c r="O409" s="59" t="str">
        <x:f>IF(OR($I409="",$J409="",$L409="",$M409=""),"",IF(AND($H409="Sim",$L409=$M409),IF($I409&lt;&gt;$J409,0,IF(AND($I409=$L409,$J409=$M409),2,1)),IF(AND($I409=$L409,$J409=$M409),3,IF(AND($I409&lt;&gt;$J409,$I409=$M409,$J409=$L409),-2,IF(SIGN($I409-$J409)=SIGN($L409-$M409),1,0)))))</x:f>
      </x:c>
      <x:c r="P409" s="59" t="str">
        <x:f>IF(OR($H409&lt;&gt;"Sim",$I409="",$J409="",$L409="",$M409=""),"",IF(AND(IF($I409&gt;$J409,$F409,IF($I409&lt;$J409,$G409,$K409))&lt;&gt;"",IF($L409&gt;$M409,$F409,IF($L409&lt;$M409,$G409,$N409))&lt;&gt;"",IF($I409&gt;$J409,$F409,IF($I409&lt;$J409,$G409,$K409))=IF($L409&gt;$M409,$F409,IF($L409&lt;$M409,$G409,$N409))),1,0))</x:f>
      </x:c>
      <x:c r="Q409" s="59" t="str">
        <x:f>IF($O409="","",$O409+$P409)</x:f>
      </x:c>
      <x:c r="R409" s="59" t="str">
        <x:f>IF($Q409="","",IF($O409=3,"Cravada",IF(AND($H409="Sim",$L409=$M409,$I409=$J409,$O409=2),"Empate cravado",IF($O409=1,"Resultado certo",IF($O409=-2,"Invertida",IF($P409=1,"Acertou quem passa","Erro"))))))</x:f>
      </x:c>
      <x:c r="S409" s="59" t="str">
        <x:f>IF($O409="","",--(OR($O409=3,AND($H409="Sim",$L409=$M409,$I409=$J409,$O409=2))))</x:f>
      </x:c>
      <x:c r="T409" s="59" t="str">
        <x:f>IF($O409="","",--($O409=-2))</x:f>
      </x:c>
      <x:c r="U409" s="59" t="str">
        <x:f>IF($O409="","",--($O409=1))</x:f>
      </x:c>
      <x:c r="V409" s="59" t="n">
        <x:f>--(AND($I409&lt;&gt;"",$J409&lt;&gt;""))</x:f>
        <x:v>0</x:v>
      </x:c>
    </x:row>
    <x:row r="410">
      <x:c r="A410" s="21" t="str">
        <x:f>INDEX(Config!$B$10:$B$16,INT((ROW()-5)/104)+1)</x:f>
        <x:v>Gustavo</x:v>
      </x:c>
      <x:c r="B410" s="21" t="str">
        <x:v>R16_06</x:v>
      </x:c>
      <x:c r="C410" s="21" t="n">
        <x:v>94</x:v>
      </x:c>
      <x:c r="D410" s="21" t="str">
        <x:v>Oitavas de final</x:v>
      </x:c>
      <x:c r="E410" s="21" t="str">
        <x:v>2026-07-06</x:v>
      </x:c>
      <x:c r="F410" s="21" t="str">
        <x:f>IFERROR(INDEX('Resultados'!$G$5:$G$108,MATCH($B410,'Resultados'!$A$5:$A$108,0)),"")</x:f>
        <x:v>Vencedor M81</x:v>
      </x:c>
      <x:c r="G410" s="21" t="str">
        <x:f>IFERROR(INDEX('Resultados'!$J$5:$J$108,MATCH($B410,'Resultados'!$A$5:$A$108,0)),"")</x:f>
        <x:v>Vencedor M82</x:v>
      </x:c>
      <x:c r="H410" s="21" t="str">
        <x:v>Sim</x:v>
      </x:c>
      <x:c r="I410" s="22"/>
      <x:c r="J410" s="22"/>
      <x:c r="K410" s="23"/>
      <x:c r="L410" s="21" t="str">
        <x:f>IFERROR(INDEX('Resultados'!$H$5:$H$108,MATCH($B410,'Resultados'!$A$5:$A$108,0)),"")</x:f>
      </x:c>
      <x:c r="M410" s="21" t="str">
        <x:f>IFERROR(INDEX('Resultados'!$I$5:$I$108,MATCH($B410,'Resultados'!$A$5:$A$108,0)),"")</x:f>
      </x:c>
      <x:c r="N410" s="21" t="str">
        <x:f>IFERROR(INDEX('Resultados'!$L$5:$L$108,MATCH($B410,'Resultados'!$A$5:$A$108,0)),"")</x:f>
      </x:c>
      <x:c r="O410" s="59" t="str">
        <x:f>IF(OR($I410="",$J410="",$L410="",$M410=""),"",IF(AND($H410="Sim",$L410=$M410),IF($I410&lt;&gt;$J410,0,IF(AND($I410=$L410,$J410=$M410),2,1)),IF(AND($I410=$L410,$J410=$M410),3,IF(AND($I410&lt;&gt;$J410,$I410=$M410,$J410=$L410),-2,IF(SIGN($I410-$J410)=SIGN($L410-$M410),1,0)))))</x:f>
      </x:c>
      <x:c r="P410" s="59" t="str">
        <x:f>IF(OR($H410&lt;&gt;"Sim",$I410="",$J410="",$L410="",$M410=""),"",IF(AND(IF($I410&gt;$J410,$F410,IF($I410&lt;$J410,$G410,$K410))&lt;&gt;"",IF($L410&gt;$M410,$F410,IF($L410&lt;$M410,$G410,$N410))&lt;&gt;"",IF($I410&gt;$J410,$F410,IF($I410&lt;$J410,$G410,$K410))=IF($L410&gt;$M410,$F410,IF($L410&lt;$M410,$G410,$N410))),1,0))</x:f>
      </x:c>
      <x:c r="Q410" s="59" t="str">
        <x:f>IF($O410="","",$O410+$P410)</x:f>
      </x:c>
      <x:c r="R410" s="59" t="str">
        <x:f>IF($Q410="","",IF($O410=3,"Cravada",IF(AND($H410="Sim",$L410=$M410,$I410=$J410,$O410=2),"Empate cravado",IF($O410=1,"Resultado certo",IF($O410=-2,"Invertida",IF($P410=1,"Acertou quem passa","Erro"))))))</x:f>
      </x:c>
      <x:c r="S410" s="59" t="str">
        <x:f>IF($O410="","",--(OR($O410=3,AND($H410="Sim",$L410=$M410,$I410=$J410,$O410=2))))</x:f>
      </x:c>
      <x:c r="T410" s="59" t="str">
        <x:f>IF($O410="","",--($O410=-2))</x:f>
      </x:c>
      <x:c r="U410" s="59" t="str">
        <x:f>IF($O410="","",--($O410=1))</x:f>
      </x:c>
      <x:c r="V410" s="59" t="n">
        <x:f>--(AND($I410&lt;&gt;"",$J410&lt;&gt;""))</x:f>
        <x:v>0</x:v>
      </x:c>
    </x:row>
    <x:row r="411">
      <x:c r="A411" s="21" t="str">
        <x:f>INDEX(Config!$B$10:$B$16,INT((ROW()-5)/104)+1)</x:f>
        <x:v>Gustavo</x:v>
      </x:c>
      <x:c r="B411" s="21" t="str">
        <x:v>R16_07</x:v>
      </x:c>
      <x:c r="C411" s="21" t="n">
        <x:v>95</x:v>
      </x:c>
      <x:c r="D411" s="21" t="str">
        <x:v>Oitavas de final</x:v>
      </x:c>
      <x:c r="E411" s="21" t="str">
        <x:v>2026-07-07</x:v>
      </x:c>
      <x:c r="F411" s="21" t="str">
        <x:f>IFERROR(INDEX('Resultados'!$G$5:$G$108,MATCH($B411,'Resultados'!$A$5:$A$108,0)),"")</x:f>
        <x:v>Vencedor M86</x:v>
      </x:c>
      <x:c r="G411" s="21" t="str">
        <x:f>IFERROR(INDEX('Resultados'!$J$5:$J$108,MATCH($B411,'Resultados'!$A$5:$A$108,0)),"")</x:f>
        <x:v>Vencedor M88</x:v>
      </x:c>
      <x:c r="H411" s="21" t="str">
        <x:v>Sim</x:v>
      </x:c>
      <x:c r="I411" s="22"/>
      <x:c r="J411" s="22"/>
      <x:c r="K411" s="23"/>
      <x:c r="L411" s="21" t="str">
        <x:f>IFERROR(INDEX('Resultados'!$H$5:$H$108,MATCH($B411,'Resultados'!$A$5:$A$108,0)),"")</x:f>
      </x:c>
      <x:c r="M411" s="21" t="str">
        <x:f>IFERROR(INDEX('Resultados'!$I$5:$I$108,MATCH($B411,'Resultados'!$A$5:$A$108,0)),"")</x:f>
      </x:c>
      <x:c r="N411" s="21" t="str">
        <x:f>IFERROR(INDEX('Resultados'!$L$5:$L$108,MATCH($B411,'Resultados'!$A$5:$A$108,0)),"")</x:f>
      </x:c>
      <x:c r="O411" s="59" t="str">
        <x:f>IF(OR($I411="",$J411="",$L411="",$M411=""),"",IF(AND($H411="Sim",$L411=$M411),IF($I411&lt;&gt;$J411,0,IF(AND($I411=$L411,$J411=$M411),2,1)),IF(AND($I411=$L411,$J411=$M411),3,IF(AND($I411&lt;&gt;$J411,$I411=$M411,$J411=$L411),-2,IF(SIGN($I411-$J411)=SIGN($L411-$M411),1,0)))))</x:f>
      </x:c>
      <x:c r="P411" s="59" t="str">
        <x:f>IF(OR($H411&lt;&gt;"Sim",$I411="",$J411="",$L411="",$M411=""),"",IF(AND(IF($I411&gt;$J411,$F411,IF($I411&lt;$J411,$G411,$K411))&lt;&gt;"",IF($L411&gt;$M411,$F411,IF($L411&lt;$M411,$G411,$N411))&lt;&gt;"",IF($I411&gt;$J411,$F411,IF($I411&lt;$J411,$G411,$K411))=IF($L411&gt;$M411,$F411,IF($L411&lt;$M411,$G411,$N411))),1,0))</x:f>
      </x:c>
      <x:c r="Q411" s="59" t="str">
        <x:f>IF($O411="","",$O411+$P411)</x:f>
      </x:c>
      <x:c r="R411" s="59" t="str">
        <x:f>IF($Q411="","",IF($O411=3,"Cravada",IF(AND($H411="Sim",$L411=$M411,$I411=$J411,$O411=2),"Empate cravado",IF($O411=1,"Resultado certo",IF($O411=-2,"Invertida",IF($P411=1,"Acertou quem passa","Erro"))))))</x:f>
      </x:c>
      <x:c r="S411" s="59" t="str">
        <x:f>IF($O411="","",--(OR($O411=3,AND($H411="Sim",$L411=$M411,$I411=$J411,$O411=2))))</x:f>
      </x:c>
      <x:c r="T411" s="59" t="str">
        <x:f>IF($O411="","",--($O411=-2))</x:f>
      </x:c>
      <x:c r="U411" s="59" t="str">
        <x:f>IF($O411="","",--($O411=1))</x:f>
      </x:c>
      <x:c r="V411" s="59" t="n">
        <x:f>--(AND($I411&lt;&gt;"",$J411&lt;&gt;""))</x:f>
        <x:v>0</x:v>
      </x:c>
    </x:row>
    <x:row r="412">
      <x:c r="A412" s="21" t="str">
        <x:f>INDEX(Config!$B$10:$B$16,INT((ROW()-5)/104)+1)</x:f>
        <x:v>Gustavo</x:v>
      </x:c>
      <x:c r="B412" s="21" t="str">
        <x:v>R16_08</x:v>
      </x:c>
      <x:c r="C412" s="21" t="n">
        <x:v>96</x:v>
      </x:c>
      <x:c r="D412" s="21" t="str">
        <x:v>Oitavas de final</x:v>
      </x:c>
      <x:c r="E412" s="21" t="str">
        <x:v>2026-07-07</x:v>
      </x:c>
      <x:c r="F412" s="21" t="str">
        <x:f>IFERROR(INDEX('Resultados'!$G$5:$G$108,MATCH($B412,'Resultados'!$A$5:$A$108,0)),"")</x:f>
        <x:v>Vencedor M85</x:v>
      </x:c>
      <x:c r="G412" s="21" t="str">
        <x:f>IFERROR(INDEX('Resultados'!$J$5:$J$108,MATCH($B412,'Resultados'!$A$5:$A$108,0)),"")</x:f>
        <x:v>Vencedor M87</x:v>
      </x:c>
      <x:c r="H412" s="21" t="str">
        <x:v>Sim</x:v>
      </x:c>
      <x:c r="I412" s="22"/>
      <x:c r="J412" s="22"/>
      <x:c r="K412" s="23"/>
      <x:c r="L412" s="21" t="str">
        <x:f>IFERROR(INDEX('Resultados'!$H$5:$H$108,MATCH($B412,'Resultados'!$A$5:$A$108,0)),"")</x:f>
      </x:c>
      <x:c r="M412" s="21" t="str">
        <x:f>IFERROR(INDEX('Resultados'!$I$5:$I$108,MATCH($B412,'Resultados'!$A$5:$A$108,0)),"")</x:f>
      </x:c>
      <x:c r="N412" s="21" t="str">
        <x:f>IFERROR(INDEX('Resultados'!$L$5:$L$108,MATCH($B412,'Resultados'!$A$5:$A$108,0)),"")</x:f>
      </x:c>
      <x:c r="O412" s="59" t="str">
        <x:f>IF(OR($I412="",$J412="",$L412="",$M412=""),"",IF(AND($H412="Sim",$L412=$M412),IF($I412&lt;&gt;$J412,0,IF(AND($I412=$L412,$J412=$M412),2,1)),IF(AND($I412=$L412,$J412=$M412),3,IF(AND($I412&lt;&gt;$J412,$I412=$M412,$J412=$L412),-2,IF(SIGN($I412-$J412)=SIGN($L412-$M412),1,0)))))</x:f>
      </x:c>
      <x:c r="P412" s="59" t="str">
        <x:f>IF(OR($H412&lt;&gt;"Sim",$I412="",$J412="",$L412="",$M412=""),"",IF(AND(IF($I412&gt;$J412,$F412,IF($I412&lt;$J412,$G412,$K412))&lt;&gt;"",IF($L412&gt;$M412,$F412,IF($L412&lt;$M412,$G412,$N412))&lt;&gt;"",IF($I412&gt;$J412,$F412,IF($I412&lt;$J412,$G412,$K412))=IF($L412&gt;$M412,$F412,IF($L412&lt;$M412,$G412,$N412))),1,0))</x:f>
      </x:c>
      <x:c r="Q412" s="59" t="str">
        <x:f>IF($O412="","",$O412+$P412)</x:f>
      </x:c>
      <x:c r="R412" s="59" t="str">
        <x:f>IF($Q412="","",IF($O412=3,"Cravada",IF(AND($H412="Sim",$L412=$M412,$I412=$J412,$O412=2),"Empate cravado",IF($O412=1,"Resultado certo",IF($O412=-2,"Invertida",IF($P412=1,"Acertou quem passa","Erro"))))))</x:f>
      </x:c>
      <x:c r="S412" s="59" t="str">
        <x:f>IF($O412="","",--(OR($O412=3,AND($H412="Sim",$L412=$M412,$I412=$J412,$O412=2))))</x:f>
      </x:c>
      <x:c r="T412" s="59" t="str">
        <x:f>IF($O412="","",--($O412=-2))</x:f>
      </x:c>
      <x:c r="U412" s="59" t="str">
        <x:f>IF($O412="","",--($O412=1))</x:f>
      </x:c>
      <x:c r="V412" s="59" t="n">
        <x:f>--(AND($I412&lt;&gt;"",$J412&lt;&gt;""))</x:f>
        <x:v>0</x:v>
      </x:c>
    </x:row>
    <x:row r="413">
      <x:c r="A413" s="21" t="str">
        <x:f>INDEX(Config!$B$10:$B$16,INT((ROW()-5)/104)+1)</x:f>
        <x:v>Gustavo</x:v>
      </x:c>
      <x:c r="B413" s="21" t="str">
        <x:v>QF_01</x:v>
      </x:c>
      <x:c r="C413" s="21" t="n">
        <x:v>97</x:v>
      </x:c>
      <x:c r="D413" s="21" t="str">
        <x:v>Quartas de final</x:v>
      </x:c>
      <x:c r="E413" s="21" t="str">
        <x:v>2026-07-09</x:v>
      </x:c>
      <x:c r="F413" s="21" t="str">
        <x:f>IFERROR(INDEX('Resultados'!$G$5:$G$108,MATCH($B413,'Resultados'!$A$5:$A$108,0)),"")</x:f>
        <x:v>Vencedor M89</x:v>
      </x:c>
      <x:c r="G413" s="21" t="str">
        <x:f>IFERROR(INDEX('Resultados'!$J$5:$J$108,MATCH($B413,'Resultados'!$A$5:$A$108,0)),"")</x:f>
        <x:v>Vencedor M90</x:v>
      </x:c>
      <x:c r="H413" s="21" t="str">
        <x:v>Sim</x:v>
      </x:c>
      <x:c r="I413" s="22"/>
      <x:c r="J413" s="22"/>
      <x:c r="K413" s="23"/>
      <x:c r="L413" s="21" t="str">
        <x:f>IFERROR(INDEX('Resultados'!$H$5:$H$108,MATCH($B413,'Resultados'!$A$5:$A$108,0)),"")</x:f>
      </x:c>
      <x:c r="M413" s="21" t="str">
        <x:f>IFERROR(INDEX('Resultados'!$I$5:$I$108,MATCH($B413,'Resultados'!$A$5:$A$108,0)),"")</x:f>
      </x:c>
      <x:c r="N413" s="21" t="str">
        <x:f>IFERROR(INDEX('Resultados'!$L$5:$L$108,MATCH($B413,'Resultados'!$A$5:$A$108,0)),"")</x:f>
      </x:c>
      <x:c r="O413" s="59" t="str">
        <x:f>IF(OR($I413="",$J413="",$L413="",$M413=""),"",IF(AND($H413="Sim",$L413=$M413),IF($I413&lt;&gt;$J413,0,IF(AND($I413=$L413,$J413=$M413),2,1)),IF(AND($I413=$L413,$J413=$M413),3,IF(AND($I413&lt;&gt;$J413,$I413=$M413,$J413=$L413),-2,IF(SIGN($I413-$J413)=SIGN($L413-$M413),1,0)))))</x:f>
      </x:c>
      <x:c r="P413" s="59" t="str">
        <x:f>IF(OR($H413&lt;&gt;"Sim",$I413="",$J413="",$L413="",$M413=""),"",IF(AND(IF($I413&gt;$J413,$F413,IF($I413&lt;$J413,$G413,$K413))&lt;&gt;"",IF($L413&gt;$M413,$F413,IF($L413&lt;$M413,$G413,$N413))&lt;&gt;"",IF($I413&gt;$J413,$F413,IF($I413&lt;$J413,$G413,$K413))=IF($L413&gt;$M413,$F413,IF($L413&lt;$M413,$G413,$N413))),1,0))</x:f>
      </x:c>
      <x:c r="Q413" s="59" t="str">
        <x:f>IF($O413="","",$O413+$P413)</x:f>
      </x:c>
      <x:c r="R413" s="59" t="str">
        <x:f>IF($Q413="","",IF($O413=3,"Cravada",IF(AND($H413="Sim",$L413=$M413,$I413=$J413,$O413=2),"Empate cravado",IF($O413=1,"Resultado certo",IF($O413=-2,"Invertida",IF($P413=1,"Acertou quem passa","Erro"))))))</x:f>
      </x:c>
      <x:c r="S413" s="59" t="str">
        <x:f>IF($O413="","",--(OR($O413=3,AND($H413="Sim",$L413=$M413,$I413=$J413,$O413=2))))</x:f>
      </x:c>
      <x:c r="T413" s="59" t="str">
        <x:f>IF($O413="","",--($O413=-2))</x:f>
      </x:c>
      <x:c r="U413" s="59" t="str">
        <x:f>IF($O413="","",--($O413=1))</x:f>
      </x:c>
      <x:c r="V413" s="59" t="n">
        <x:f>--(AND($I413&lt;&gt;"",$J413&lt;&gt;""))</x:f>
        <x:v>0</x:v>
      </x:c>
    </x:row>
    <x:row r="414">
      <x:c r="A414" s="21" t="str">
        <x:f>INDEX(Config!$B$10:$B$16,INT((ROW()-5)/104)+1)</x:f>
        <x:v>Gustavo</x:v>
      </x:c>
      <x:c r="B414" s="21" t="str">
        <x:v>QF_02</x:v>
      </x:c>
      <x:c r="C414" s="21" t="n">
        <x:v>98</x:v>
      </x:c>
      <x:c r="D414" s="21" t="str">
        <x:v>Quartas de final</x:v>
      </x:c>
      <x:c r="E414" s="21" t="str">
        <x:v>2026-07-10</x:v>
      </x:c>
      <x:c r="F414" s="21" t="str">
        <x:f>IFERROR(INDEX('Resultados'!$G$5:$G$108,MATCH($B414,'Resultados'!$A$5:$A$108,0)),"")</x:f>
        <x:v>Vencedor M93</x:v>
      </x:c>
      <x:c r="G414" s="21" t="str">
        <x:f>IFERROR(INDEX('Resultados'!$J$5:$J$108,MATCH($B414,'Resultados'!$A$5:$A$108,0)),"")</x:f>
        <x:v>Vencedor M94</x:v>
      </x:c>
      <x:c r="H414" s="21" t="str">
        <x:v>Sim</x:v>
      </x:c>
      <x:c r="I414" s="22"/>
      <x:c r="J414" s="22"/>
      <x:c r="K414" s="23"/>
      <x:c r="L414" s="21" t="str">
        <x:f>IFERROR(INDEX('Resultados'!$H$5:$H$108,MATCH($B414,'Resultados'!$A$5:$A$108,0)),"")</x:f>
      </x:c>
      <x:c r="M414" s="21" t="str">
        <x:f>IFERROR(INDEX('Resultados'!$I$5:$I$108,MATCH($B414,'Resultados'!$A$5:$A$108,0)),"")</x:f>
      </x:c>
      <x:c r="N414" s="21" t="str">
        <x:f>IFERROR(INDEX('Resultados'!$L$5:$L$108,MATCH($B414,'Resultados'!$A$5:$A$108,0)),"")</x:f>
      </x:c>
      <x:c r="O414" s="59" t="str">
        <x:f>IF(OR($I414="",$J414="",$L414="",$M414=""),"",IF(AND($H414="Sim",$L414=$M414),IF($I414&lt;&gt;$J414,0,IF(AND($I414=$L414,$J414=$M414),2,1)),IF(AND($I414=$L414,$J414=$M414),3,IF(AND($I414&lt;&gt;$J414,$I414=$M414,$J414=$L414),-2,IF(SIGN($I414-$J414)=SIGN($L414-$M414),1,0)))))</x:f>
      </x:c>
      <x:c r="P414" s="59" t="str">
        <x:f>IF(OR($H414&lt;&gt;"Sim",$I414="",$J414="",$L414="",$M414=""),"",IF(AND(IF($I414&gt;$J414,$F414,IF($I414&lt;$J414,$G414,$K414))&lt;&gt;"",IF($L414&gt;$M414,$F414,IF($L414&lt;$M414,$G414,$N414))&lt;&gt;"",IF($I414&gt;$J414,$F414,IF($I414&lt;$J414,$G414,$K414))=IF($L414&gt;$M414,$F414,IF($L414&lt;$M414,$G414,$N414))),1,0))</x:f>
      </x:c>
      <x:c r="Q414" s="59" t="str">
        <x:f>IF($O414="","",$O414+$P414)</x:f>
      </x:c>
      <x:c r="R414" s="59" t="str">
        <x:f>IF($Q414="","",IF($O414=3,"Cravada",IF(AND($H414="Sim",$L414=$M414,$I414=$J414,$O414=2),"Empate cravado",IF($O414=1,"Resultado certo",IF($O414=-2,"Invertida",IF($P414=1,"Acertou quem passa","Erro"))))))</x:f>
      </x:c>
      <x:c r="S414" s="59" t="str">
        <x:f>IF($O414="","",--(OR($O414=3,AND($H414="Sim",$L414=$M414,$I414=$J414,$O414=2))))</x:f>
      </x:c>
      <x:c r="T414" s="59" t="str">
        <x:f>IF($O414="","",--($O414=-2))</x:f>
      </x:c>
      <x:c r="U414" s="59" t="str">
        <x:f>IF($O414="","",--($O414=1))</x:f>
      </x:c>
      <x:c r="V414" s="59" t="n">
        <x:f>--(AND($I414&lt;&gt;"",$J414&lt;&gt;""))</x:f>
        <x:v>0</x:v>
      </x:c>
    </x:row>
    <x:row r="415">
      <x:c r="A415" s="21" t="str">
        <x:f>INDEX(Config!$B$10:$B$16,INT((ROW()-5)/104)+1)</x:f>
        <x:v>Gustavo</x:v>
      </x:c>
      <x:c r="B415" s="21" t="str">
        <x:v>QF_03</x:v>
      </x:c>
      <x:c r="C415" s="21" t="n">
        <x:v>99</x:v>
      </x:c>
      <x:c r="D415" s="21" t="str">
        <x:v>Quartas de final</x:v>
      </x:c>
      <x:c r="E415" s="21" t="str">
        <x:v>2026-07-11</x:v>
      </x:c>
      <x:c r="F415" s="21" t="str">
        <x:f>IFERROR(INDEX('Resultados'!$G$5:$G$108,MATCH($B415,'Resultados'!$A$5:$A$108,0)),"")</x:f>
        <x:v>Vencedor M91</x:v>
      </x:c>
      <x:c r="G415" s="21" t="str">
        <x:f>IFERROR(INDEX('Resultados'!$J$5:$J$108,MATCH($B415,'Resultados'!$A$5:$A$108,0)),"")</x:f>
        <x:v>Vencedor M92</x:v>
      </x:c>
      <x:c r="H415" s="21" t="str">
        <x:v>Sim</x:v>
      </x:c>
      <x:c r="I415" s="22"/>
      <x:c r="J415" s="22"/>
      <x:c r="K415" s="23"/>
      <x:c r="L415" s="21" t="str">
        <x:f>IFERROR(INDEX('Resultados'!$H$5:$H$108,MATCH($B415,'Resultados'!$A$5:$A$108,0)),"")</x:f>
      </x:c>
      <x:c r="M415" s="21" t="str">
        <x:f>IFERROR(INDEX('Resultados'!$I$5:$I$108,MATCH($B415,'Resultados'!$A$5:$A$108,0)),"")</x:f>
      </x:c>
      <x:c r="N415" s="21" t="str">
        <x:f>IFERROR(INDEX('Resultados'!$L$5:$L$108,MATCH($B415,'Resultados'!$A$5:$A$108,0)),"")</x:f>
      </x:c>
      <x:c r="O415" s="59" t="str">
        <x:f>IF(OR($I415="",$J415="",$L415="",$M415=""),"",IF(AND($H415="Sim",$L415=$M415),IF($I415&lt;&gt;$J415,0,IF(AND($I415=$L415,$J415=$M415),2,1)),IF(AND($I415=$L415,$J415=$M415),3,IF(AND($I415&lt;&gt;$J415,$I415=$M415,$J415=$L415),-2,IF(SIGN($I415-$J415)=SIGN($L415-$M415),1,0)))))</x:f>
      </x:c>
      <x:c r="P415" s="59" t="str">
        <x:f>IF(OR($H415&lt;&gt;"Sim",$I415="",$J415="",$L415="",$M415=""),"",IF(AND(IF($I415&gt;$J415,$F415,IF($I415&lt;$J415,$G415,$K415))&lt;&gt;"",IF($L415&gt;$M415,$F415,IF($L415&lt;$M415,$G415,$N415))&lt;&gt;"",IF($I415&gt;$J415,$F415,IF($I415&lt;$J415,$G415,$K415))=IF($L415&gt;$M415,$F415,IF($L415&lt;$M415,$G415,$N415))),1,0))</x:f>
      </x:c>
      <x:c r="Q415" s="59" t="str">
        <x:f>IF($O415="","",$O415+$P415)</x:f>
      </x:c>
      <x:c r="R415" s="59" t="str">
        <x:f>IF($Q415="","",IF($O415=3,"Cravada",IF(AND($H415="Sim",$L415=$M415,$I415=$J415,$O415=2),"Empate cravado",IF($O415=1,"Resultado certo",IF($O415=-2,"Invertida",IF($P415=1,"Acertou quem passa","Erro"))))))</x:f>
      </x:c>
      <x:c r="S415" s="59" t="str">
        <x:f>IF($O415="","",--(OR($O415=3,AND($H415="Sim",$L415=$M415,$I415=$J415,$O415=2))))</x:f>
      </x:c>
      <x:c r="T415" s="59" t="str">
        <x:f>IF($O415="","",--($O415=-2))</x:f>
      </x:c>
      <x:c r="U415" s="59" t="str">
        <x:f>IF($O415="","",--($O415=1))</x:f>
      </x:c>
      <x:c r="V415" s="59" t="n">
        <x:f>--(AND($I415&lt;&gt;"",$J415&lt;&gt;""))</x:f>
        <x:v>0</x:v>
      </x:c>
    </x:row>
    <x:row r="416">
      <x:c r="A416" s="21" t="str">
        <x:f>INDEX(Config!$B$10:$B$16,INT((ROW()-5)/104)+1)</x:f>
        <x:v>Gustavo</x:v>
      </x:c>
      <x:c r="B416" s="21" t="str">
        <x:v>QF_04</x:v>
      </x:c>
      <x:c r="C416" s="21" t="n">
        <x:v>100</x:v>
      </x:c>
      <x:c r="D416" s="21" t="str">
        <x:v>Quartas de final</x:v>
      </x:c>
      <x:c r="E416" s="21" t="str">
        <x:v>2026-07-11</x:v>
      </x:c>
      <x:c r="F416" s="21" t="str">
        <x:f>IFERROR(INDEX('Resultados'!$G$5:$G$108,MATCH($B416,'Resultados'!$A$5:$A$108,0)),"")</x:f>
        <x:v>Vencedor M95</x:v>
      </x:c>
      <x:c r="G416" s="21" t="str">
        <x:f>IFERROR(INDEX('Resultados'!$J$5:$J$108,MATCH($B416,'Resultados'!$A$5:$A$108,0)),"")</x:f>
        <x:v>Vencedor M96</x:v>
      </x:c>
      <x:c r="H416" s="21" t="str">
        <x:v>Sim</x:v>
      </x:c>
      <x:c r="I416" s="22"/>
      <x:c r="J416" s="22"/>
      <x:c r="K416" s="23"/>
      <x:c r="L416" s="21" t="str">
        <x:f>IFERROR(INDEX('Resultados'!$H$5:$H$108,MATCH($B416,'Resultados'!$A$5:$A$108,0)),"")</x:f>
      </x:c>
      <x:c r="M416" s="21" t="str">
        <x:f>IFERROR(INDEX('Resultados'!$I$5:$I$108,MATCH($B416,'Resultados'!$A$5:$A$108,0)),"")</x:f>
      </x:c>
      <x:c r="N416" s="21" t="str">
        <x:f>IFERROR(INDEX('Resultados'!$L$5:$L$108,MATCH($B416,'Resultados'!$A$5:$A$108,0)),"")</x:f>
      </x:c>
      <x:c r="O416" s="59" t="str">
        <x:f>IF(OR($I416="",$J416="",$L416="",$M416=""),"",IF(AND($H416="Sim",$L416=$M416),IF($I416&lt;&gt;$J416,0,IF(AND($I416=$L416,$J416=$M416),2,1)),IF(AND($I416=$L416,$J416=$M416),3,IF(AND($I416&lt;&gt;$J416,$I416=$M416,$J416=$L416),-2,IF(SIGN($I416-$J416)=SIGN($L416-$M416),1,0)))))</x:f>
      </x:c>
      <x:c r="P416" s="59" t="str">
        <x:f>IF(OR($H416&lt;&gt;"Sim",$I416="",$J416="",$L416="",$M416=""),"",IF(AND(IF($I416&gt;$J416,$F416,IF($I416&lt;$J416,$G416,$K416))&lt;&gt;"",IF($L416&gt;$M416,$F416,IF($L416&lt;$M416,$G416,$N416))&lt;&gt;"",IF($I416&gt;$J416,$F416,IF($I416&lt;$J416,$G416,$K416))=IF($L416&gt;$M416,$F416,IF($L416&lt;$M416,$G416,$N416))),1,0))</x:f>
      </x:c>
      <x:c r="Q416" s="59" t="str">
        <x:f>IF($O416="","",$O416+$P416)</x:f>
      </x:c>
      <x:c r="R416" s="59" t="str">
        <x:f>IF($Q416="","",IF($O416=3,"Cravada",IF(AND($H416="Sim",$L416=$M416,$I416=$J416,$O416=2),"Empate cravado",IF($O416=1,"Resultado certo",IF($O416=-2,"Invertida",IF($P416=1,"Acertou quem passa","Erro"))))))</x:f>
      </x:c>
      <x:c r="S416" s="59" t="str">
        <x:f>IF($O416="","",--(OR($O416=3,AND($H416="Sim",$L416=$M416,$I416=$J416,$O416=2))))</x:f>
      </x:c>
      <x:c r="T416" s="59" t="str">
        <x:f>IF($O416="","",--($O416=-2))</x:f>
      </x:c>
      <x:c r="U416" s="59" t="str">
        <x:f>IF($O416="","",--($O416=1))</x:f>
      </x:c>
      <x:c r="V416" s="59" t="n">
        <x:f>--(AND($I416&lt;&gt;"",$J416&lt;&gt;""))</x:f>
        <x:v>0</x:v>
      </x:c>
    </x:row>
    <x:row r="417">
      <x:c r="A417" s="21" t="str">
        <x:f>INDEX(Config!$B$10:$B$16,INT((ROW()-5)/104)+1)</x:f>
        <x:v>Gustavo</x:v>
      </x:c>
      <x:c r="B417" s="21" t="str">
        <x:v>SF_01</x:v>
      </x:c>
      <x:c r="C417" s="21" t="n">
        <x:v>101</x:v>
      </x:c>
      <x:c r="D417" s="21" t="str">
        <x:v>Semifinais</x:v>
      </x:c>
      <x:c r="E417" s="21" t="str">
        <x:v>2026-07-14</x:v>
      </x:c>
      <x:c r="F417" s="21" t="str">
        <x:f>IFERROR(INDEX('Resultados'!$G$5:$G$108,MATCH($B417,'Resultados'!$A$5:$A$108,0)),"")</x:f>
        <x:v>Vencedor M97</x:v>
      </x:c>
      <x:c r="G417" s="21" t="str">
        <x:f>IFERROR(INDEX('Resultados'!$J$5:$J$108,MATCH($B417,'Resultados'!$A$5:$A$108,0)),"")</x:f>
        <x:v>Vencedor M98</x:v>
      </x:c>
      <x:c r="H417" s="21" t="str">
        <x:v>Sim</x:v>
      </x:c>
      <x:c r="I417" s="22"/>
      <x:c r="J417" s="22"/>
      <x:c r="K417" s="23"/>
      <x:c r="L417" s="21" t="str">
        <x:f>IFERROR(INDEX('Resultados'!$H$5:$H$108,MATCH($B417,'Resultados'!$A$5:$A$108,0)),"")</x:f>
      </x:c>
      <x:c r="M417" s="21" t="str">
        <x:f>IFERROR(INDEX('Resultados'!$I$5:$I$108,MATCH($B417,'Resultados'!$A$5:$A$108,0)),"")</x:f>
      </x:c>
      <x:c r="N417" s="21" t="str">
        <x:f>IFERROR(INDEX('Resultados'!$L$5:$L$108,MATCH($B417,'Resultados'!$A$5:$A$108,0)),"")</x:f>
      </x:c>
      <x:c r="O417" s="59" t="str">
        <x:f>IF(OR($I417="",$J417="",$L417="",$M417=""),"",IF(AND($H417="Sim",$L417=$M417),IF($I417&lt;&gt;$J417,0,IF(AND($I417=$L417,$J417=$M417),2,1)),IF(AND($I417=$L417,$J417=$M417),3,IF(AND($I417&lt;&gt;$J417,$I417=$M417,$J417=$L417),-2,IF(SIGN($I417-$J417)=SIGN($L417-$M417),1,0)))))</x:f>
      </x:c>
      <x:c r="P417" s="59" t="str">
        <x:f>IF(OR($H417&lt;&gt;"Sim",$I417="",$J417="",$L417="",$M417=""),"",IF(AND(IF($I417&gt;$J417,$F417,IF($I417&lt;$J417,$G417,$K417))&lt;&gt;"",IF($L417&gt;$M417,$F417,IF($L417&lt;$M417,$G417,$N417))&lt;&gt;"",IF($I417&gt;$J417,$F417,IF($I417&lt;$J417,$G417,$K417))=IF($L417&gt;$M417,$F417,IF($L417&lt;$M417,$G417,$N417))),1,0))</x:f>
      </x:c>
      <x:c r="Q417" s="59" t="str">
        <x:f>IF($O417="","",$O417+$P417)</x:f>
      </x:c>
      <x:c r="R417" s="59" t="str">
        <x:f>IF($Q417="","",IF($O417=3,"Cravada",IF(AND($H417="Sim",$L417=$M417,$I417=$J417,$O417=2),"Empate cravado",IF($O417=1,"Resultado certo",IF($O417=-2,"Invertida",IF($P417=1,"Acertou quem passa","Erro"))))))</x:f>
      </x:c>
      <x:c r="S417" s="59" t="str">
        <x:f>IF($O417="","",--(OR($O417=3,AND($H417="Sim",$L417=$M417,$I417=$J417,$O417=2))))</x:f>
      </x:c>
      <x:c r="T417" s="59" t="str">
        <x:f>IF($O417="","",--($O417=-2))</x:f>
      </x:c>
      <x:c r="U417" s="59" t="str">
        <x:f>IF($O417="","",--($O417=1))</x:f>
      </x:c>
      <x:c r="V417" s="59" t="n">
        <x:f>--(AND($I417&lt;&gt;"",$J417&lt;&gt;""))</x:f>
        <x:v>0</x:v>
      </x:c>
    </x:row>
    <x:row r="418">
      <x:c r="A418" s="21" t="str">
        <x:f>INDEX(Config!$B$10:$B$16,INT((ROW()-5)/104)+1)</x:f>
        <x:v>Gustavo</x:v>
      </x:c>
      <x:c r="B418" s="21" t="str">
        <x:v>SF_02</x:v>
      </x:c>
      <x:c r="C418" s="21" t="n">
        <x:v>102</x:v>
      </x:c>
      <x:c r="D418" s="21" t="str">
        <x:v>Semifinais</x:v>
      </x:c>
      <x:c r="E418" s="21" t="str">
        <x:v>2026-07-15</x:v>
      </x:c>
      <x:c r="F418" s="21" t="str">
        <x:f>IFERROR(INDEX('Resultados'!$G$5:$G$108,MATCH($B418,'Resultados'!$A$5:$A$108,0)),"")</x:f>
        <x:v>Vencedor M99</x:v>
      </x:c>
      <x:c r="G418" s="21" t="str">
        <x:f>IFERROR(INDEX('Resultados'!$J$5:$J$108,MATCH($B418,'Resultados'!$A$5:$A$108,0)),"")</x:f>
        <x:v>Vencedor M100</x:v>
      </x:c>
      <x:c r="H418" s="21" t="str">
        <x:v>Sim</x:v>
      </x:c>
      <x:c r="I418" s="22"/>
      <x:c r="J418" s="22"/>
      <x:c r="K418" s="23"/>
      <x:c r="L418" s="21" t="str">
        <x:f>IFERROR(INDEX('Resultados'!$H$5:$H$108,MATCH($B418,'Resultados'!$A$5:$A$108,0)),"")</x:f>
      </x:c>
      <x:c r="M418" s="21" t="str">
        <x:f>IFERROR(INDEX('Resultados'!$I$5:$I$108,MATCH($B418,'Resultados'!$A$5:$A$108,0)),"")</x:f>
      </x:c>
      <x:c r="N418" s="21" t="str">
        <x:f>IFERROR(INDEX('Resultados'!$L$5:$L$108,MATCH($B418,'Resultados'!$A$5:$A$108,0)),"")</x:f>
      </x:c>
      <x:c r="O418" s="59" t="str">
        <x:f>IF(OR($I418="",$J418="",$L418="",$M418=""),"",IF(AND($H418="Sim",$L418=$M418),IF($I418&lt;&gt;$J418,0,IF(AND($I418=$L418,$J418=$M418),2,1)),IF(AND($I418=$L418,$J418=$M418),3,IF(AND($I418&lt;&gt;$J418,$I418=$M418,$J418=$L418),-2,IF(SIGN($I418-$J418)=SIGN($L418-$M418),1,0)))))</x:f>
      </x:c>
      <x:c r="P418" s="59" t="str">
        <x:f>IF(OR($H418&lt;&gt;"Sim",$I418="",$J418="",$L418="",$M418=""),"",IF(AND(IF($I418&gt;$J418,$F418,IF($I418&lt;$J418,$G418,$K418))&lt;&gt;"",IF($L418&gt;$M418,$F418,IF($L418&lt;$M418,$G418,$N418))&lt;&gt;"",IF($I418&gt;$J418,$F418,IF($I418&lt;$J418,$G418,$K418))=IF($L418&gt;$M418,$F418,IF($L418&lt;$M418,$G418,$N418))),1,0))</x:f>
      </x:c>
      <x:c r="Q418" s="59" t="str">
        <x:f>IF($O418="","",$O418+$P418)</x:f>
      </x:c>
      <x:c r="R418" s="59" t="str">
        <x:f>IF($Q418="","",IF($O418=3,"Cravada",IF(AND($H418="Sim",$L418=$M418,$I418=$J418,$O418=2),"Empate cravado",IF($O418=1,"Resultado certo",IF($O418=-2,"Invertida",IF($P418=1,"Acertou quem passa","Erro"))))))</x:f>
      </x:c>
      <x:c r="S418" s="59" t="str">
        <x:f>IF($O418="","",--(OR($O418=3,AND($H418="Sim",$L418=$M418,$I418=$J418,$O418=2))))</x:f>
      </x:c>
      <x:c r="T418" s="59" t="str">
        <x:f>IF($O418="","",--($O418=-2))</x:f>
      </x:c>
      <x:c r="U418" s="59" t="str">
        <x:f>IF($O418="","",--($O418=1))</x:f>
      </x:c>
      <x:c r="V418" s="59" t="n">
        <x:f>--(AND($I418&lt;&gt;"",$J418&lt;&gt;""))</x:f>
        <x:v>0</x:v>
      </x:c>
    </x:row>
    <x:row r="419">
      <x:c r="A419" s="21" t="str">
        <x:f>INDEX(Config!$B$10:$B$16,INT((ROW()-5)/104)+1)</x:f>
        <x:v>Gustavo</x:v>
      </x:c>
      <x:c r="B419" s="21" t="str">
        <x:v>P3</x:v>
      </x:c>
      <x:c r="C419" s="21" t="n">
        <x:v>103</x:v>
      </x:c>
      <x:c r="D419" s="21" t="str">
        <x:v>Disputa de 3º lugar</x:v>
      </x:c>
      <x:c r="E419" s="21" t="str">
        <x:v>2026-07-18</x:v>
      </x:c>
      <x:c r="F419" s="21" t="str">
        <x:f>IFERROR(INDEX('Resultados'!$G$5:$G$108,MATCH($B419,'Resultados'!$A$5:$A$108,0)),"")</x:f>
        <x:v>Perdedor M101</x:v>
      </x:c>
      <x:c r="G419" s="21" t="str">
        <x:f>IFERROR(INDEX('Resultados'!$J$5:$J$108,MATCH($B419,'Resultados'!$A$5:$A$108,0)),"")</x:f>
        <x:v>Perdedor M102</x:v>
      </x:c>
      <x:c r="H419" s="21" t="str">
        <x:v>Sim</x:v>
      </x:c>
      <x:c r="I419" s="22"/>
      <x:c r="J419" s="22"/>
      <x:c r="K419" s="23"/>
      <x:c r="L419" s="21" t="str">
        <x:f>IFERROR(INDEX('Resultados'!$H$5:$H$108,MATCH($B419,'Resultados'!$A$5:$A$108,0)),"")</x:f>
      </x:c>
      <x:c r="M419" s="21" t="str">
        <x:f>IFERROR(INDEX('Resultados'!$I$5:$I$108,MATCH($B419,'Resultados'!$A$5:$A$108,0)),"")</x:f>
      </x:c>
      <x:c r="N419" s="21" t="str">
        <x:f>IFERROR(INDEX('Resultados'!$L$5:$L$108,MATCH($B419,'Resultados'!$A$5:$A$108,0)),"")</x:f>
      </x:c>
      <x:c r="O419" s="59" t="str">
        <x:f>IF(OR($I419="",$J419="",$L419="",$M419=""),"",IF(AND($H419="Sim",$L419=$M419),IF($I419&lt;&gt;$J419,0,IF(AND($I419=$L419,$J419=$M419),2,1)),IF(AND($I419=$L419,$J419=$M419),3,IF(AND($I419&lt;&gt;$J419,$I419=$M419,$J419=$L419),-2,IF(SIGN($I419-$J419)=SIGN($L419-$M419),1,0)))))</x:f>
      </x:c>
      <x:c r="P419" s="59" t="str">
        <x:f>IF(OR($H419&lt;&gt;"Sim",$I419="",$J419="",$L419="",$M419=""),"",IF(AND(IF($I419&gt;$J419,$F419,IF($I419&lt;$J419,$G419,$K419))&lt;&gt;"",IF($L419&gt;$M419,$F419,IF($L419&lt;$M419,$G419,$N419))&lt;&gt;"",IF($I419&gt;$J419,$F419,IF($I419&lt;$J419,$G419,$K419))=IF($L419&gt;$M419,$F419,IF($L419&lt;$M419,$G419,$N419))),1,0))</x:f>
      </x:c>
      <x:c r="Q419" s="59" t="str">
        <x:f>IF($O419="","",$O419+$P419)</x:f>
      </x:c>
      <x:c r="R419" s="59" t="str">
        <x:f>IF($Q419="","",IF($O419=3,"Cravada",IF(AND($H419="Sim",$L419=$M419,$I419=$J419,$O419=2),"Empate cravado",IF($O419=1,"Resultado certo",IF($O419=-2,"Invertida",IF($P419=1,"Acertou quem passa","Erro"))))))</x:f>
      </x:c>
      <x:c r="S419" s="59" t="str">
        <x:f>IF($O419="","",--(OR($O419=3,AND($H419="Sim",$L419=$M419,$I419=$J419,$O419=2))))</x:f>
      </x:c>
      <x:c r="T419" s="59" t="str">
        <x:f>IF($O419="","",--($O419=-2))</x:f>
      </x:c>
      <x:c r="U419" s="59" t="str">
        <x:f>IF($O419="","",--($O419=1))</x:f>
      </x:c>
      <x:c r="V419" s="59" t="n">
        <x:f>--(AND($I419&lt;&gt;"",$J419&lt;&gt;""))</x:f>
        <x:v>0</x:v>
      </x:c>
    </x:row>
    <x:row r="420">
      <x:c r="A420" s="21" t="str">
        <x:f>INDEX(Config!$B$10:$B$16,INT((ROW()-5)/104)+1)</x:f>
        <x:v>Gustavo</x:v>
      </x:c>
      <x:c r="B420" s="21" t="str">
        <x:v>FINAL</x:v>
      </x:c>
      <x:c r="C420" s="21" t="n">
        <x:v>104</x:v>
      </x:c>
      <x:c r="D420" s="21" t="str">
        <x:v>Final</x:v>
      </x:c>
      <x:c r="E420" s="21" t="str">
        <x:v>2026-07-19</x:v>
      </x:c>
      <x:c r="F420" s="21" t="str">
        <x:f>IFERROR(INDEX('Resultados'!$G$5:$G$108,MATCH($B420,'Resultados'!$A$5:$A$108,0)),"")</x:f>
        <x:v>Vencedor M101</x:v>
      </x:c>
      <x:c r="G420" s="21" t="str">
        <x:f>IFERROR(INDEX('Resultados'!$J$5:$J$108,MATCH($B420,'Resultados'!$A$5:$A$108,0)),"")</x:f>
        <x:v>Vencedor M102</x:v>
      </x:c>
      <x:c r="H420" s="21" t="str">
        <x:v>Sim</x:v>
      </x:c>
      <x:c r="I420" s="22"/>
      <x:c r="J420" s="22"/>
      <x:c r="K420" s="23"/>
      <x:c r="L420" s="21" t="str">
        <x:f>IFERROR(INDEX('Resultados'!$H$5:$H$108,MATCH($B420,'Resultados'!$A$5:$A$108,0)),"")</x:f>
      </x:c>
      <x:c r="M420" s="21" t="str">
        <x:f>IFERROR(INDEX('Resultados'!$I$5:$I$108,MATCH($B420,'Resultados'!$A$5:$A$108,0)),"")</x:f>
      </x:c>
      <x:c r="N420" s="21" t="str">
        <x:f>IFERROR(INDEX('Resultados'!$L$5:$L$108,MATCH($B420,'Resultados'!$A$5:$A$108,0)),"")</x:f>
      </x:c>
      <x:c r="O420" s="59" t="str">
        <x:f>IF(OR($I420="",$J420="",$L420="",$M420=""),"",IF(AND($H420="Sim",$L420=$M420),IF($I420&lt;&gt;$J420,0,IF(AND($I420=$L420,$J420=$M420),2,1)),IF(AND($I420=$L420,$J420=$M420),3,IF(AND($I420&lt;&gt;$J420,$I420=$M420,$J420=$L420),-2,IF(SIGN($I420-$J420)=SIGN($L420-$M420),1,0)))))</x:f>
      </x:c>
      <x:c r="P420" s="59" t="str">
        <x:f>IF(OR($H420&lt;&gt;"Sim",$I420="",$J420="",$L420="",$M420=""),"",IF(AND(IF($I420&gt;$J420,$F420,IF($I420&lt;$J420,$G420,$K420))&lt;&gt;"",IF($L420&gt;$M420,$F420,IF($L420&lt;$M420,$G420,$N420))&lt;&gt;"",IF($I420&gt;$J420,$F420,IF($I420&lt;$J420,$G420,$K420))=IF($L420&gt;$M420,$F420,IF($L420&lt;$M420,$G420,$N420))),1,0))</x:f>
      </x:c>
      <x:c r="Q420" s="59" t="str">
        <x:f>IF($O420="","",$O420+$P420)</x:f>
      </x:c>
      <x:c r="R420" s="59" t="str">
        <x:f>IF($Q420="","",IF($O420=3,"Cravada",IF(AND($H420="Sim",$L420=$M420,$I420=$J420,$O420=2),"Empate cravado",IF($O420=1,"Resultado certo",IF($O420=-2,"Invertida",IF($P420=1,"Acertou quem passa","Erro"))))))</x:f>
      </x:c>
      <x:c r="S420" s="59" t="str">
        <x:f>IF($O420="","",--(OR($O420=3,AND($H420="Sim",$L420=$M420,$I420=$J420,$O420=2))))</x:f>
      </x:c>
      <x:c r="T420" s="59" t="str">
        <x:f>IF($O420="","",--($O420=-2))</x:f>
      </x:c>
      <x:c r="U420" s="59" t="str">
        <x:f>IF($O420="","",--($O420=1))</x:f>
      </x:c>
      <x:c r="V420" s="59" t="n">
        <x:f>--(AND($I420&lt;&gt;"",$J420&lt;&gt;""))</x:f>
        <x:v>0</x:v>
      </x:c>
    </x:row>
    <x:row r="421">
      <x:c r="A421" s="21" t="str">
        <x:f>INDEX(Config!$B$10:$B$16,INT((ROW()-5)/104)+1)</x:f>
        <x:v>Otávio</x:v>
      </x:c>
      <x:c r="B421" s="21" t="str">
        <x:v>GA1</x:v>
      </x:c>
      <x:c r="C421" s="21" t="n">
        <x:v>1</x:v>
      </x:c>
      <x:c r="D421" s="21" t="str">
        <x:v>Grupo A</x:v>
      </x:c>
      <x:c r="E421" s="21" t="str">
        <x:v>2026-06-11</x:v>
      </x:c>
      <x:c r="F421" s="21" t="str">
        <x:f>IFERROR(INDEX('Resultados'!$G$5:$G$108,MATCH($B421,'Resultados'!$A$5:$A$108,0)),"")</x:f>
        <x:v>México</x:v>
      </x:c>
      <x:c r="G421" s="21" t="str">
        <x:f>IFERROR(INDEX('Resultados'!$J$5:$J$108,MATCH($B421,'Resultados'!$A$5:$A$108,0)),"")</x:f>
        <x:v>África do Sul</x:v>
      </x:c>
      <x:c r="H421" s="21" t="str">
        <x:v>Não</x:v>
      </x:c>
      <x:c r="I421" s="22"/>
      <x:c r="J421" s="22"/>
      <x:c r="K421" s="23"/>
      <x:c r="L421" s="21" t="str">
        <x:f>IFERROR(INDEX('Resultados'!$H$5:$H$108,MATCH($B421,'Resultados'!$A$5:$A$108,0)),"")</x:f>
      </x:c>
      <x:c r="M421" s="21" t="str">
        <x:f>IFERROR(INDEX('Resultados'!$I$5:$I$108,MATCH($B421,'Resultados'!$A$5:$A$108,0)),"")</x:f>
      </x:c>
      <x:c r="N421" s="21" t="str">
        <x:f>IFERROR(INDEX('Resultados'!$L$5:$L$108,MATCH($B421,'Resultados'!$A$5:$A$108,0)),"")</x:f>
      </x:c>
      <x:c r="O421" s="59" t="str">
        <x:f>IF(OR($I421="",$J421="",$L421="",$M421=""),"",IF(AND($H421="Sim",$L421=$M421),IF($I421&lt;&gt;$J421,0,IF(AND($I421=$L421,$J421=$M421),2,1)),IF(AND($I421=$L421,$J421=$M421),3,IF(AND($I421&lt;&gt;$J421,$I421=$M421,$J421=$L421),-2,IF(SIGN($I421-$J421)=SIGN($L421-$M421),1,0)))))</x:f>
      </x:c>
      <x:c r="P421" s="59" t="str">
        <x:f>IF(OR($H421&lt;&gt;"Sim",$I421="",$J421="",$L421="",$M421=""),"",IF(AND(IF($I421&gt;$J421,$F421,IF($I421&lt;$J421,$G421,$K421))&lt;&gt;"",IF($L421&gt;$M421,$F421,IF($L421&lt;$M421,$G421,$N421))&lt;&gt;"",IF($I421&gt;$J421,$F421,IF($I421&lt;$J421,$G421,$K421))=IF($L421&gt;$M421,$F421,IF($L421&lt;$M421,$G421,$N421))),1,0))</x:f>
      </x:c>
      <x:c r="Q421" s="59" t="str">
        <x:f>IF($O421="","",$O421+$P421)</x:f>
      </x:c>
      <x:c r="R421" s="59" t="str">
        <x:f>IF($Q421="","",IF($O421=3,"Cravada",IF(AND($H421="Sim",$L421=$M421,$I421=$J421,$O421=2),"Empate cravado",IF($O421=1,"Resultado certo",IF($O421=-2,"Invertida",IF($P421=1,"Acertou quem passa","Erro"))))))</x:f>
      </x:c>
      <x:c r="S421" s="59" t="str">
        <x:f>IF($O421="","",--(OR($O421=3,AND($H421="Sim",$L421=$M421,$I421=$J421,$O421=2))))</x:f>
      </x:c>
      <x:c r="T421" s="59" t="str">
        <x:f>IF($O421="","",--($O421=-2))</x:f>
      </x:c>
      <x:c r="U421" s="59" t="str">
        <x:f>IF($O421="","",--($O421=1))</x:f>
      </x:c>
      <x:c r="V421" s="59" t="n">
        <x:f>--(AND($I421&lt;&gt;"",$J421&lt;&gt;""))</x:f>
        <x:v>0</x:v>
      </x:c>
    </x:row>
    <x:row r="422">
      <x:c r="A422" s="21" t="str">
        <x:f>INDEX(Config!$B$10:$B$16,INT((ROW()-5)/104)+1)</x:f>
        <x:v>Otávio</x:v>
      </x:c>
      <x:c r="B422" s="21" t="str">
        <x:v>GA2</x:v>
      </x:c>
      <x:c r="C422" s="21" t="n">
        <x:v>2</x:v>
      </x:c>
      <x:c r="D422" s="21" t="str">
        <x:v>Grupo A</x:v>
      </x:c>
      <x:c r="E422" s="21" t="str">
        <x:v>2026-06-11</x:v>
      </x:c>
      <x:c r="F422" s="21" t="str">
        <x:f>IFERROR(INDEX('Resultados'!$G$5:$G$108,MATCH($B422,'Resultados'!$A$5:$A$108,0)),"")</x:f>
        <x:v>Coreia do Sul</x:v>
      </x:c>
      <x:c r="G422" s="21" t="str">
        <x:f>IFERROR(INDEX('Resultados'!$J$5:$J$108,MATCH($B422,'Resultados'!$A$5:$A$108,0)),"")</x:f>
        <x:v>Rep. Tcheca</x:v>
      </x:c>
      <x:c r="H422" s="21" t="str">
        <x:v>Não</x:v>
      </x:c>
      <x:c r="I422" s="22"/>
      <x:c r="J422" s="22"/>
      <x:c r="K422" s="23"/>
      <x:c r="L422" s="21" t="str">
        <x:f>IFERROR(INDEX('Resultados'!$H$5:$H$108,MATCH($B422,'Resultados'!$A$5:$A$108,0)),"")</x:f>
      </x:c>
      <x:c r="M422" s="21" t="str">
        <x:f>IFERROR(INDEX('Resultados'!$I$5:$I$108,MATCH($B422,'Resultados'!$A$5:$A$108,0)),"")</x:f>
      </x:c>
      <x:c r="N422" s="21" t="str">
        <x:f>IFERROR(INDEX('Resultados'!$L$5:$L$108,MATCH($B422,'Resultados'!$A$5:$A$108,0)),"")</x:f>
      </x:c>
      <x:c r="O422" s="59" t="str">
        <x:f>IF(OR($I422="",$J422="",$L422="",$M422=""),"",IF(AND($H422="Sim",$L422=$M422),IF($I422&lt;&gt;$J422,0,IF(AND($I422=$L422,$J422=$M422),2,1)),IF(AND($I422=$L422,$J422=$M422),3,IF(AND($I422&lt;&gt;$J422,$I422=$M422,$J422=$L422),-2,IF(SIGN($I422-$J422)=SIGN($L422-$M422),1,0)))))</x:f>
      </x:c>
      <x:c r="P422" s="59" t="str">
        <x:f>IF(OR($H422&lt;&gt;"Sim",$I422="",$J422="",$L422="",$M422=""),"",IF(AND(IF($I422&gt;$J422,$F422,IF($I422&lt;$J422,$G422,$K422))&lt;&gt;"",IF($L422&gt;$M422,$F422,IF($L422&lt;$M422,$G422,$N422))&lt;&gt;"",IF($I422&gt;$J422,$F422,IF($I422&lt;$J422,$G422,$K422))=IF($L422&gt;$M422,$F422,IF($L422&lt;$M422,$G422,$N422))),1,0))</x:f>
      </x:c>
      <x:c r="Q422" s="59" t="str">
        <x:f>IF($O422="","",$O422+$P422)</x:f>
      </x:c>
      <x:c r="R422" s="59" t="str">
        <x:f>IF($Q422="","",IF($O422=3,"Cravada",IF(AND($H422="Sim",$L422=$M422,$I422=$J422,$O422=2),"Empate cravado",IF($O422=1,"Resultado certo",IF($O422=-2,"Invertida",IF($P422=1,"Acertou quem passa","Erro"))))))</x:f>
      </x:c>
      <x:c r="S422" s="59" t="str">
        <x:f>IF($O422="","",--(OR($O422=3,AND($H422="Sim",$L422=$M422,$I422=$J422,$O422=2))))</x:f>
      </x:c>
      <x:c r="T422" s="59" t="str">
        <x:f>IF($O422="","",--($O422=-2))</x:f>
      </x:c>
      <x:c r="U422" s="59" t="str">
        <x:f>IF($O422="","",--($O422=1))</x:f>
      </x:c>
      <x:c r="V422" s="59" t="n">
        <x:f>--(AND($I422&lt;&gt;"",$J422&lt;&gt;""))</x:f>
        <x:v>0</x:v>
      </x:c>
    </x:row>
    <x:row r="423">
      <x:c r="A423" s="21" t="str">
        <x:f>INDEX(Config!$B$10:$B$16,INT((ROW()-5)/104)+1)</x:f>
        <x:v>Otávio</x:v>
      </x:c>
      <x:c r="B423" s="21" t="str">
        <x:v>GA3</x:v>
      </x:c>
      <x:c r="C423" s="21" t="n">
        <x:v>3</x:v>
      </x:c>
      <x:c r="D423" s="21" t="str">
        <x:v>Grupo A</x:v>
      </x:c>
      <x:c r="E423" s="21" t="str">
        <x:v>2026-06-18</x:v>
      </x:c>
      <x:c r="F423" s="21" t="str">
        <x:f>IFERROR(INDEX('Resultados'!$G$5:$G$108,MATCH($B423,'Resultados'!$A$5:$A$108,0)),"")</x:f>
        <x:v>México</x:v>
      </x:c>
      <x:c r="G423" s="21" t="str">
        <x:f>IFERROR(INDEX('Resultados'!$J$5:$J$108,MATCH($B423,'Resultados'!$A$5:$A$108,0)),"")</x:f>
        <x:v>Coreia do Sul</x:v>
      </x:c>
      <x:c r="H423" s="21" t="str">
        <x:v>Não</x:v>
      </x:c>
      <x:c r="I423" s="22"/>
      <x:c r="J423" s="22"/>
      <x:c r="K423" s="23"/>
      <x:c r="L423" s="21" t="str">
        <x:f>IFERROR(INDEX('Resultados'!$H$5:$H$108,MATCH($B423,'Resultados'!$A$5:$A$108,0)),"")</x:f>
      </x:c>
      <x:c r="M423" s="21" t="str">
        <x:f>IFERROR(INDEX('Resultados'!$I$5:$I$108,MATCH($B423,'Resultados'!$A$5:$A$108,0)),"")</x:f>
      </x:c>
      <x:c r="N423" s="21" t="str">
        <x:f>IFERROR(INDEX('Resultados'!$L$5:$L$108,MATCH($B423,'Resultados'!$A$5:$A$108,0)),"")</x:f>
      </x:c>
      <x:c r="O423" s="59" t="str">
        <x:f>IF(OR($I423="",$J423="",$L423="",$M423=""),"",IF(AND($H423="Sim",$L423=$M423),IF($I423&lt;&gt;$J423,0,IF(AND($I423=$L423,$J423=$M423),2,1)),IF(AND($I423=$L423,$J423=$M423),3,IF(AND($I423&lt;&gt;$J423,$I423=$M423,$J423=$L423),-2,IF(SIGN($I423-$J423)=SIGN($L423-$M423),1,0)))))</x:f>
      </x:c>
      <x:c r="P423" s="59" t="str">
        <x:f>IF(OR($H423&lt;&gt;"Sim",$I423="",$J423="",$L423="",$M423=""),"",IF(AND(IF($I423&gt;$J423,$F423,IF($I423&lt;$J423,$G423,$K423))&lt;&gt;"",IF($L423&gt;$M423,$F423,IF($L423&lt;$M423,$G423,$N423))&lt;&gt;"",IF($I423&gt;$J423,$F423,IF($I423&lt;$J423,$G423,$K423))=IF($L423&gt;$M423,$F423,IF($L423&lt;$M423,$G423,$N423))),1,0))</x:f>
      </x:c>
      <x:c r="Q423" s="59" t="str">
        <x:f>IF($O423="","",$O423+$P423)</x:f>
      </x:c>
      <x:c r="R423" s="59" t="str">
        <x:f>IF($Q423="","",IF($O423=3,"Cravada",IF(AND($H423="Sim",$L423=$M423,$I423=$J423,$O423=2),"Empate cravado",IF($O423=1,"Resultado certo",IF($O423=-2,"Invertida",IF($P423=1,"Acertou quem passa","Erro"))))))</x:f>
      </x:c>
      <x:c r="S423" s="59" t="str">
        <x:f>IF($O423="","",--(OR($O423=3,AND($H423="Sim",$L423=$M423,$I423=$J423,$O423=2))))</x:f>
      </x:c>
      <x:c r="T423" s="59" t="str">
        <x:f>IF($O423="","",--($O423=-2))</x:f>
      </x:c>
      <x:c r="U423" s="59" t="str">
        <x:f>IF($O423="","",--($O423=1))</x:f>
      </x:c>
      <x:c r="V423" s="59" t="n">
        <x:f>--(AND($I423&lt;&gt;"",$J423&lt;&gt;""))</x:f>
        <x:v>0</x:v>
      </x:c>
    </x:row>
    <x:row r="424">
      <x:c r="A424" s="21" t="str">
        <x:f>INDEX(Config!$B$10:$B$16,INT((ROW()-5)/104)+1)</x:f>
        <x:v>Otávio</x:v>
      </x:c>
      <x:c r="B424" s="21" t="str">
        <x:v>GA4</x:v>
      </x:c>
      <x:c r="C424" s="21" t="n">
        <x:v>4</x:v>
      </x:c>
      <x:c r="D424" s="21" t="str">
        <x:v>Grupo A</x:v>
      </x:c>
      <x:c r="E424" s="21" t="str">
        <x:v>2026-06-18</x:v>
      </x:c>
      <x:c r="F424" s="21" t="str">
        <x:f>IFERROR(INDEX('Resultados'!$G$5:$G$108,MATCH($B424,'Resultados'!$A$5:$A$108,0)),"")</x:f>
        <x:v>África do Sul</x:v>
      </x:c>
      <x:c r="G424" s="21" t="str">
        <x:f>IFERROR(INDEX('Resultados'!$J$5:$J$108,MATCH($B424,'Resultados'!$A$5:$A$108,0)),"")</x:f>
        <x:v>Rep. Tcheca</x:v>
      </x:c>
      <x:c r="H424" s="21" t="str">
        <x:v>Não</x:v>
      </x:c>
      <x:c r="I424" s="22"/>
      <x:c r="J424" s="22"/>
      <x:c r="K424" s="23"/>
      <x:c r="L424" s="21" t="str">
        <x:f>IFERROR(INDEX('Resultados'!$H$5:$H$108,MATCH($B424,'Resultados'!$A$5:$A$108,0)),"")</x:f>
      </x:c>
      <x:c r="M424" s="21" t="str">
        <x:f>IFERROR(INDEX('Resultados'!$I$5:$I$108,MATCH($B424,'Resultados'!$A$5:$A$108,0)),"")</x:f>
      </x:c>
      <x:c r="N424" s="21" t="str">
        <x:f>IFERROR(INDEX('Resultados'!$L$5:$L$108,MATCH($B424,'Resultados'!$A$5:$A$108,0)),"")</x:f>
      </x:c>
      <x:c r="O424" s="59" t="str">
        <x:f>IF(OR($I424="",$J424="",$L424="",$M424=""),"",IF(AND($H424="Sim",$L424=$M424),IF($I424&lt;&gt;$J424,0,IF(AND($I424=$L424,$J424=$M424),2,1)),IF(AND($I424=$L424,$J424=$M424),3,IF(AND($I424&lt;&gt;$J424,$I424=$M424,$J424=$L424),-2,IF(SIGN($I424-$J424)=SIGN($L424-$M424),1,0)))))</x:f>
      </x:c>
      <x:c r="P424" s="59" t="str">
        <x:f>IF(OR($H424&lt;&gt;"Sim",$I424="",$J424="",$L424="",$M424=""),"",IF(AND(IF($I424&gt;$J424,$F424,IF($I424&lt;$J424,$G424,$K424))&lt;&gt;"",IF($L424&gt;$M424,$F424,IF($L424&lt;$M424,$G424,$N424))&lt;&gt;"",IF($I424&gt;$J424,$F424,IF($I424&lt;$J424,$G424,$K424))=IF($L424&gt;$M424,$F424,IF($L424&lt;$M424,$G424,$N424))),1,0))</x:f>
      </x:c>
      <x:c r="Q424" s="59" t="str">
        <x:f>IF($O424="","",$O424+$P424)</x:f>
      </x:c>
      <x:c r="R424" s="59" t="str">
        <x:f>IF($Q424="","",IF($O424=3,"Cravada",IF(AND($H424="Sim",$L424=$M424,$I424=$J424,$O424=2),"Empate cravado",IF($O424=1,"Resultado certo",IF($O424=-2,"Invertida",IF($P424=1,"Acertou quem passa","Erro"))))))</x:f>
      </x:c>
      <x:c r="S424" s="59" t="str">
        <x:f>IF($O424="","",--(OR($O424=3,AND($H424="Sim",$L424=$M424,$I424=$J424,$O424=2))))</x:f>
      </x:c>
      <x:c r="T424" s="59" t="str">
        <x:f>IF($O424="","",--($O424=-2))</x:f>
      </x:c>
      <x:c r="U424" s="59" t="str">
        <x:f>IF($O424="","",--($O424=1))</x:f>
      </x:c>
      <x:c r="V424" s="59" t="n">
        <x:f>--(AND($I424&lt;&gt;"",$J424&lt;&gt;""))</x:f>
        <x:v>0</x:v>
      </x:c>
    </x:row>
    <x:row r="425">
      <x:c r="A425" s="21" t="str">
        <x:f>INDEX(Config!$B$10:$B$16,INT((ROW()-5)/104)+1)</x:f>
        <x:v>Otávio</x:v>
      </x:c>
      <x:c r="B425" s="21" t="str">
        <x:v>GA5</x:v>
      </x:c>
      <x:c r="C425" s="21" t="n">
        <x:v>5</x:v>
      </x:c>
      <x:c r="D425" s="21" t="str">
        <x:v>Grupo A</x:v>
      </x:c>
      <x:c r="E425" s="21" t="str">
        <x:v>2026-06-24</x:v>
      </x:c>
      <x:c r="F425" s="21" t="str">
        <x:f>IFERROR(INDEX('Resultados'!$G$5:$G$108,MATCH($B425,'Resultados'!$A$5:$A$108,0)),"")</x:f>
        <x:v>México</x:v>
      </x:c>
      <x:c r="G425" s="21" t="str">
        <x:f>IFERROR(INDEX('Resultados'!$J$5:$J$108,MATCH($B425,'Resultados'!$A$5:$A$108,0)),"")</x:f>
        <x:v>Rep. Tcheca</x:v>
      </x:c>
      <x:c r="H425" s="21" t="str">
        <x:v>Não</x:v>
      </x:c>
      <x:c r="I425" s="22"/>
      <x:c r="J425" s="22"/>
      <x:c r="K425" s="23"/>
      <x:c r="L425" s="21" t="str">
        <x:f>IFERROR(INDEX('Resultados'!$H$5:$H$108,MATCH($B425,'Resultados'!$A$5:$A$108,0)),"")</x:f>
      </x:c>
      <x:c r="M425" s="21" t="str">
        <x:f>IFERROR(INDEX('Resultados'!$I$5:$I$108,MATCH($B425,'Resultados'!$A$5:$A$108,0)),"")</x:f>
      </x:c>
      <x:c r="N425" s="21" t="str">
        <x:f>IFERROR(INDEX('Resultados'!$L$5:$L$108,MATCH($B425,'Resultados'!$A$5:$A$108,0)),"")</x:f>
      </x:c>
      <x:c r="O425" s="59" t="str">
        <x:f>IF(OR($I425="",$J425="",$L425="",$M425=""),"",IF(AND($H425="Sim",$L425=$M425),IF($I425&lt;&gt;$J425,0,IF(AND($I425=$L425,$J425=$M425),2,1)),IF(AND($I425=$L425,$J425=$M425),3,IF(AND($I425&lt;&gt;$J425,$I425=$M425,$J425=$L425),-2,IF(SIGN($I425-$J425)=SIGN($L425-$M425),1,0)))))</x:f>
      </x:c>
      <x:c r="P425" s="59" t="str">
        <x:f>IF(OR($H425&lt;&gt;"Sim",$I425="",$J425="",$L425="",$M425=""),"",IF(AND(IF($I425&gt;$J425,$F425,IF($I425&lt;$J425,$G425,$K425))&lt;&gt;"",IF($L425&gt;$M425,$F425,IF($L425&lt;$M425,$G425,$N425))&lt;&gt;"",IF($I425&gt;$J425,$F425,IF($I425&lt;$J425,$G425,$K425))=IF($L425&gt;$M425,$F425,IF($L425&lt;$M425,$G425,$N425))),1,0))</x:f>
      </x:c>
      <x:c r="Q425" s="59" t="str">
        <x:f>IF($O425="","",$O425+$P425)</x:f>
      </x:c>
      <x:c r="R425" s="59" t="str">
        <x:f>IF($Q425="","",IF($O425=3,"Cravada",IF(AND($H425="Sim",$L425=$M425,$I425=$J425,$O425=2),"Empate cravado",IF($O425=1,"Resultado certo",IF($O425=-2,"Invertida",IF($P425=1,"Acertou quem passa","Erro"))))))</x:f>
      </x:c>
      <x:c r="S425" s="59" t="str">
        <x:f>IF($O425="","",--(OR($O425=3,AND($H425="Sim",$L425=$M425,$I425=$J425,$O425=2))))</x:f>
      </x:c>
      <x:c r="T425" s="59" t="str">
        <x:f>IF($O425="","",--($O425=-2))</x:f>
      </x:c>
      <x:c r="U425" s="59" t="str">
        <x:f>IF($O425="","",--($O425=1))</x:f>
      </x:c>
      <x:c r="V425" s="59" t="n">
        <x:f>--(AND($I425&lt;&gt;"",$J425&lt;&gt;""))</x:f>
        <x:v>0</x:v>
      </x:c>
    </x:row>
    <x:row r="426">
      <x:c r="A426" s="21" t="str">
        <x:f>INDEX(Config!$B$10:$B$16,INT((ROW()-5)/104)+1)</x:f>
        <x:v>Otávio</x:v>
      </x:c>
      <x:c r="B426" s="21" t="str">
        <x:v>GA6</x:v>
      </x:c>
      <x:c r="C426" s="21" t="n">
        <x:v>6</x:v>
      </x:c>
      <x:c r="D426" s="21" t="str">
        <x:v>Grupo A</x:v>
      </x:c>
      <x:c r="E426" s="21" t="str">
        <x:v>2026-06-24</x:v>
      </x:c>
      <x:c r="F426" s="21" t="str">
        <x:f>IFERROR(INDEX('Resultados'!$G$5:$G$108,MATCH($B426,'Resultados'!$A$5:$A$108,0)),"")</x:f>
        <x:v>África do Sul</x:v>
      </x:c>
      <x:c r="G426" s="21" t="str">
        <x:f>IFERROR(INDEX('Resultados'!$J$5:$J$108,MATCH($B426,'Resultados'!$A$5:$A$108,0)),"")</x:f>
        <x:v>Coreia do Sul</x:v>
      </x:c>
      <x:c r="H426" s="21" t="str">
        <x:v>Não</x:v>
      </x:c>
      <x:c r="I426" s="22"/>
      <x:c r="J426" s="22"/>
      <x:c r="K426" s="23"/>
      <x:c r="L426" s="21" t="str">
        <x:f>IFERROR(INDEX('Resultados'!$H$5:$H$108,MATCH($B426,'Resultados'!$A$5:$A$108,0)),"")</x:f>
      </x:c>
      <x:c r="M426" s="21" t="str">
        <x:f>IFERROR(INDEX('Resultados'!$I$5:$I$108,MATCH($B426,'Resultados'!$A$5:$A$108,0)),"")</x:f>
      </x:c>
      <x:c r="N426" s="21" t="str">
        <x:f>IFERROR(INDEX('Resultados'!$L$5:$L$108,MATCH($B426,'Resultados'!$A$5:$A$108,0)),"")</x:f>
      </x:c>
      <x:c r="O426" s="59" t="str">
        <x:f>IF(OR($I426="",$J426="",$L426="",$M426=""),"",IF(AND($H426="Sim",$L426=$M426),IF($I426&lt;&gt;$J426,0,IF(AND($I426=$L426,$J426=$M426),2,1)),IF(AND($I426=$L426,$J426=$M426),3,IF(AND($I426&lt;&gt;$J426,$I426=$M426,$J426=$L426),-2,IF(SIGN($I426-$J426)=SIGN($L426-$M426),1,0)))))</x:f>
      </x:c>
      <x:c r="P426" s="59" t="str">
        <x:f>IF(OR($H426&lt;&gt;"Sim",$I426="",$J426="",$L426="",$M426=""),"",IF(AND(IF($I426&gt;$J426,$F426,IF($I426&lt;$J426,$G426,$K426))&lt;&gt;"",IF($L426&gt;$M426,$F426,IF($L426&lt;$M426,$G426,$N426))&lt;&gt;"",IF($I426&gt;$J426,$F426,IF($I426&lt;$J426,$G426,$K426))=IF($L426&gt;$M426,$F426,IF($L426&lt;$M426,$G426,$N426))),1,0))</x:f>
      </x:c>
      <x:c r="Q426" s="59" t="str">
        <x:f>IF($O426="","",$O426+$P426)</x:f>
      </x:c>
      <x:c r="R426" s="59" t="str">
        <x:f>IF($Q426="","",IF($O426=3,"Cravada",IF(AND($H426="Sim",$L426=$M426,$I426=$J426,$O426=2),"Empate cravado",IF($O426=1,"Resultado certo",IF($O426=-2,"Invertida",IF($P426=1,"Acertou quem passa","Erro"))))))</x:f>
      </x:c>
      <x:c r="S426" s="59" t="str">
        <x:f>IF($O426="","",--(OR($O426=3,AND($H426="Sim",$L426=$M426,$I426=$J426,$O426=2))))</x:f>
      </x:c>
      <x:c r="T426" s="59" t="str">
        <x:f>IF($O426="","",--($O426=-2))</x:f>
      </x:c>
      <x:c r="U426" s="59" t="str">
        <x:f>IF($O426="","",--($O426=1))</x:f>
      </x:c>
      <x:c r="V426" s="59" t="n">
        <x:f>--(AND($I426&lt;&gt;"",$J426&lt;&gt;""))</x:f>
        <x:v>0</x:v>
      </x:c>
    </x:row>
    <x:row r="427">
      <x:c r="A427" s="21" t="str">
        <x:f>INDEX(Config!$B$10:$B$16,INT((ROW()-5)/104)+1)</x:f>
        <x:v>Otávio</x:v>
      </x:c>
      <x:c r="B427" s="21" t="str">
        <x:v>GB1</x:v>
      </x:c>
      <x:c r="C427" s="21" t="n">
        <x:v>7</x:v>
      </x:c>
      <x:c r="D427" s="21" t="str">
        <x:v>Grupo B</x:v>
      </x:c>
      <x:c r="E427" s="21" t="str">
        <x:v>2026-06-12</x:v>
      </x:c>
      <x:c r="F427" s="21" t="str">
        <x:f>IFERROR(INDEX('Resultados'!$G$5:$G$108,MATCH($B427,'Resultados'!$A$5:$A$108,0)),"")</x:f>
        <x:v>Canadá</x:v>
      </x:c>
      <x:c r="G427" s="21" t="str">
        <x:f>IFERROR(INDEX('Resultados'!$J$5:$J$108,MATCH($B427,'Resultados'!$A$5:$A$108,0)),"")</x:f>
        <x:v>Bósnia-Herzegovina</x:v>
      </x:c>
      <x:c r="H427" s="21" t="str">
        <x:v>Não</x:v>
      </x:c>
      <x:c r="I427" s="22"/>
      <x:c r="J427" s="22"/>
      <x:c r="K427" s="23"/>
      <x:c r="L427" s="21" t="str">
        <x:f>IFERROR(INDEX('Resultados'!$H$5:$H$108,MATCH($B427,'Resultados'!$A$5:$A$108,0)),"")</x:f>
      </x:c>
      <x:c r="M427" s="21" t="str">
        <x:f>IFERROR(INDEX('Resultados'!$I$5:$I$108,MATCH($B427,'Resultados'!$A$5:$A$108,0)),"")</x:f>
      </x:c>
      <x:c r="N427" s="21" t="str">
        <x:f>IFERROR(INDEX('Resultados'!$L$5:$L$108,MATCH($B427,'Resultados'!$A$5:$A$108,0)),"")</x:f>
      </x:c>
      <x:c r="O427" s="59" t="str">
        <x:f>IF(OR($I427="",$J427="",$L427="",$M427=""),"",IF(AND($H427="Sim",$L427=$M427),IF($I427&lt;&gt;$J427,0,IF(AND($I427=$L427,$J427=$M427),2,1)),IF(AND($I427=$L427,$J427=$M427),3,IF(AND($I427&lt;&gt;$J427,$I427=$M427,$J427=$L427),-2,IF(SIGN($I427-$J427)=SIGN($L427-$M427),1,0)))))</x:f>
      </x:c>
      <x:c r="P427" s="59" t="str">
        <x:f>IF(OR($H427&lt;&gt;"Sim",$I427="",$J427="",$L427="",$M427=""),"",IF(AND(IF($I427&gt;$J427,$F427,IF($I427&lt;$J427,$G427,$K427))&lt;&gt;"",IF($L427&gt;$M427,$F427,IF($L427&lt;$M427,$G427,$N427))&lt;&gt;"",IF($I427&gt;$J427,$F427,IF($I427&lt;$J427,$G427,$K427))=IF($L427&gt;$M427,$F427,IF($L427&lt;$M427,$G427,$N427))),1,0))</x:f>
      </x:c>
      <x:c r="Q427" s="59" t="str">
        <x:f>IF($O427="","",$O427+$P427)</x:f>
      </x:c>
      <x:c r="R427" s="59" t="str">
        <x:f>IF($Q427="","",IF($O427=3,"Cravada",IF(AND($H427="Sim",$L427=$M427,$I427=$J427,$O427=2),"Empate cravado",IF($O427=1,"Resultado certo",IF($O427=-2,"Invertida",IF($P427=1,"Acertou quem passa","Erro"))))))</x:f>
      </x:c>
      <x:c r="S427" s="59" t="str">
        <x:f>IF($O427="","",--(OR($O427=3,AND($H427="Sim",$L427=$M427,$I427=$J427,$O427=2))))</x:f>
      </x:c>
      <x:c r="T427" s="59" t="str">
        <x:f>IF($O427="","",--($O427=-2))</x:f>
      </x:c>
      <x:c r="U427" s="59" t="str">
        <x:f>IF($O427="","",--($O427=1))</x:f>
      </x:c>
      <x:c r="V427" s="59" t="n">
        <x:f>--(AND($I427&lt;&gt;"",$J427&lt;&gt;""))</x:f>
        <x:v>0</x:v>
      </x:c>
    </x:row>
    <x:row r="428">
      <x:c r="A428" s="21" t="str">
        <x:f>INDEX(Config!$B$10:$B$16,INT((ROW()-5)/104)+1)</x:f>
        <x:v>Otávio</x:v>
      </x:c>
      <x:c r="B428" s="21" t="str">
        <x:v>GB2</x:v>
      </x:c>
      <x:c r="C428" s="21" t="n">
        <x:v>8</x:v>
      </x:c>
      <x:c r="D428" s="21" t="str">
        <x:v>Grupo B</x:v>
      </x:c>
      <x:c r="E428" s="21" t="str">
        <x:v>2026-06-13</x:v>
      </x:c>
      <x:c r="F428" s="21" t="str">
        <x:f>IFERROR(INDEX('Resultados'!$G$5:$G$108,MATCH($B428,'Resultados'!$A$5:$A$108,0)),"")</x:f>
        <x:v>Catar</x:v>
      </x:c>
      <x:c r="G428" s="21" t="str">
        <x:f>IFERROR(INDEX('Resultados'!$J$5:$J$108,MATCH($B428,'Resultados'!$A$5:$A$108,0)),"")</x:f>
        <x:v>Suíça</x:v>
      </x:c>
      <x:c r="H428" s="21" t="str">
        <x:v>Não</x:v>
      </x:c>
      <x:c r="I428" s="22"/>
      <x:c r="J428" s="22"/>
      <x:c r="K428" s="23"/>
      <x:c r="L428" s="21" t="str">
        <x:f>IFERROR(INDEX('Resultados'!$H$5:$H$108,MATCH($B428,'Resultados'!$A$5:$A$108,0)),"")</x:f>
      </x:c>
      <x:c r="M428" s="21" t="str">
        <x:f>IFERROR(INDEX('Resultados'!$I$5:$I$108,MATCH($B428,'Resultados'!$A$5:$A$108,0)),"")</x:f>
      </x:c>
      <x:c r="N428" s="21" t="str">
        <x:f>IFERROR(INDEX('Resultados'!$L$5:$L$108,MATCH($B428,'Resultados'!$A$5:$A$108,0)),"")</x:f>
      </x:c>
      <x:c r="O428" s="59" t="str">
        <x:f>IF(OR($I428="",$J428="",$L428="",$M428=""),"",IF(AND($H428="Sim",$L428=$M428),IF($I428&lt;&gt;$J428,0,IF(AND($I428=$L428,$J428=$M428),2,1)),IF(AND($I428=$L428,$J428=$M428),3,IF(AND($I428&lt;&gt;$J428,$I428=$M428,$J428=$L428),-2,IF(SIGN($I428-$J428)=SIGN($L428-$M428),1,0)))))</x:f>
      </x:c>
      <x:c r="P428" s="59" t="str">
        <x:f>IF(OR($H428&lt;&gt;"Sim",$I428="",$J428="",$L428="",$M428=""),"",IF(AND(IF($I428&gt;$J428,$F428,IF($I428&lt;$J428,$G428,$K428))&lt;&gt;"",IF($L428&gt;$M428,$F428,IF($L428&lt;$M428,$G428,$N428))&lt;&gt;"",IF($I428&gt;$J428,$F428,IF($I428&lt;$J428,$G428,$K428))=IF($L428&gt;$M428,$F428,IF($L428&lt;$M428,$G428,$N428))),1,0))</x:f>
      </x:c>
      <x:c r="Q428" s="59" t="str">
        <x:f>IF($O428="","",$O428+$P428)</x:f>
      </x:c>
      <x:c r="R428" s="59" t="str">
        <x:f>IF($Q428="","",IF($O428=3,"Cravada",IF(AND($H428="Sim",$L428=$M428,$I428=$J428,$O428=2),"Empate cravado",IF($O428=1,"Resultado certo",IF($O428=-2,"Invertida",IF($P428=1,"Acertou quem passa","Erro"))))))</x:f>
      </x:c>
      <x:c r="S428" s="59" t="str">
        <x:f>IF($O428="","",--(OR($O428=3,AND($H428="Sim",$L428=$M428,$I428=$J428,$O428=2))))</x:f>
      </x:c>
      <x:c r="T428" s="59" t="str">
        <x:f>IF($O428="","",--($O428=-2))</x:f>
      </x:c>
      <x:c r="U428" s="59" t="str">
        <x:f>IF($O428="","",--($O428=1))</x:f>
      </x:c>
      <x:c r="V428" s="59" t="n">
        <x:f>--(AND($I428&lt;&gt;"",$J428&lt;&gt;""))</x:f>
        <x:v>0</x:v>
      </x:c>
    </x:row>
    <x:row r="429">
      <x:c r="A429" s="21" t="str">
        <x:f>INDEX(Config!$B$10:$B$16,INT((ROW()-5)/104)+1)</x:f>
        <x:v>Otávio</x:v>
      </x:c>
      <x:c r="B429" s="21" t="str">
        <x:v>GB3</x:v>
      </x:c>
      <x:c r="C429" s="21" t="n">
        <x:v>9</x:v>
      </x:c>
      <x:c r="D429" s="21" t="str">
        <x:v>Grupo B</x:v>
      </x:c>
      <x:c r="E429" s="21" t="str">
        <x:v>2026-06-18</x:v>
      </x:c>
      <x:c r="F429" s="21" t="str">
        <x:f>IFERROR(INDEX('Resultados'!$G$5:$G$108,MATCH($B429,'Resultados'!$A$5:$A$108,0)),"")</x:f>
        <x:v>Canadá</x:v>
      </x:c>
      <x:c r="G429" s="21" t="str">
        <x:f>IFERROR(INDEX('Resultados'!$J$5:$J$108,MATCH($B429,'Resultados'!$A$5:$A$108,0)),"")</x:f>
        <x:v>Catar</x:v>
      </x:c>
      <x:c r="H429" s="21" t="str">
        <x:v>Não</x:v>
      </x:c>
      <x:c r="I429" s="22"/>
      <x:c r="J429" s="22"/>
      <x:c r="K429" s="23"/>
      <x:c r="L429" s="21" t="str">
        <x:f>IFERROR(INDEX('Resultados'!$H$5:$H$108,MATCH($B429,'Resultados'!$A$5:$A$108,0)),"")</x:f>
      </x:c>
      <x:c r="M429" s="21" t="str">
        <x:f>IFERROR(INDEX('Resultados'!$I$5:$I$108,MATCH($B429,'Resultados'!$A$5:$A$108,0)),"")</x:f>
      </x:c>
      <x:c r="N429" s="21" t="str">
        <x:f>IFERROR(INDEX('Resultados'!$L$5:$L$108,MATCH($B429,'Resultados'!$A$5:$A$108,0)),"")</x:f>
      </x:c>
      <x:c r="O429" s="59" t="str">
        <x:f>IF(OR($I429="",$J429="",$L429="",$M429=""),"",IF(AND($H429="Sim",$L429=$M429),IF($I429&lt;&gt;$J429,0,IF(AND($I429=$L429,$J429=$M429),2,1)),IF(AND($I429=$L429,$J429=$M429),3,IF(AND($I429&lt;&gt;$J429,$I429=$M429,$J429=$L429),-2,IF(SIGN($I429-$J429)=SIGN($L429-$M429),1,0)))))</x:f>
      </x:c>
      <x:c r="P429" s="59" t="str">
        <x:f>IF(OR($H429&lt;&gt;"Sim",$I429="",$J429="",$L429="",$M429=""),"",IF(AND(IF($I429&gt;$J429,$F429,IF($I429&lt;$J429,$G429,$K429))&lt;&gt;"",IF($L429&gt;$M429,$F429,IF($L429&lt;$M429,$G429,$N429))&lt;&gt;"",IF($I429&gt;$J429,$F429,IF($I429&lt;$J429,$G429,$K429))=IF($L429&gt;$M429,$F429,IF($L429&lt;$M429,$G429,$N429))),1,0))</x:f>
      </x:c>
      <x:c r="Q429" s="59" t="str">
        <x:f>IF($O429="","",$O429+$P429)</x:f>
      </x:c>
      <x:c r="R429" s="59" t="str">
        <x:f>IF($Q429="","",IF($O429=3,"Cravada",IF(AND($H429="Sim",$L429=$M429,$I429=$J429,$O429=2),"Empate cravado",IF($O429=1,"Resultado certo",IF($O429=-2,"Invertida",IF($P429=1,"Acertou quem passa","Erro"))))))</x:f>
      </x:c>
      <x:c r="S429" s="59" t="str">
        <x:f>IF($O429="","",--(OR($O429=3,AND($H429="Sim",$L429=$M429,$I429=$J429,$O429=2))))</x:f>
      </x:c>
      <x:c r="T429" s="59" t="str">
        <x:f>IF($O429="","",--($O429=-2))</x:f>
      </x:c>
      <x:c r="U429" s="59" t="str">
        <x:f>IF($O429="","",--($O429=1))</x:f>
      </x:c>
      <x:c r="V429" s="59" t="n">
        <x:f>--(AND($I429&lt;&gt;"",$J429&lt;&gt;""))</x:f>
        <x:v>0</x:v>
      </x:c>
    </x:row>
    <x:row r="430">
      <x:c r="A430" s="21" t="str">
        <x:f>INDEX(Config!$B$10:$B$16,INT((ROW()-5)/104)+1)</x:f>
        <x:v>Otávio</x:v>
      </x:c>
      <x:c r="B430" s="21" t="str">
        <x:v>GB4</x:v>
      </x:c>
      <x:c r="C430" s="21" t="n">
        <x:v>10</x:v>
      </x:c>
      <x:c r="D430" s="21" t="str">
        <x:v>Grupo B</x:v>
      </x:c>
      <x:c r="E430" s="21" t="str">
        <x:v>2026-06-18</x:v>
      </x:c>
      <x:c r="F430" s="21" t="str">
        <x:f>IFERROR(INDEX('Resultados'!$G$5:$G$108,MATCH($B430,'Resultados'!$A$5:$A$108,0)),"")</x:f>
        <x:v>Bósnia-Herzegovina</x:v>
      </x:c>
      <x:c r="G430" s="21" t="str">
        <x:f>IFERROR(INDEX('Resultados'!$J$5:$J$108,MATCH($B430,'Resultados'!$A$5:$A$108,0)),"")</x:f>
        <x:v>Suíça</x:v>
      </x:c>
      <x:c r="H430" s="21" t="str">
        <x:v>Não</x:v>
      </x:c>
      <x:c r="I430" s="22"/>
      <x:c r="J430" s="22"/>
      <x:c r="K430" s="23"/>
      <x:c r="L430" s="21" t="str">
        <x:f>IFERROR(INDEX('Resultados'!$H$5:$H$108,MATCH($B430,'Resultados'!$A$5:$A$108,0)),"")</x:f>
      </x:c>
      <x:c r="M430" s="21" t="str">
        <x:f>IFERROR(INDEX('Resultados'!$I$5:$I$108,MATCH($B430,'Resultados'!$A$5:$A$108,0)),"")</x:f>
      </x:c>
      <x:c r="N430" s="21" t="str">
        <x:f>IFERROR(INDEX('Resultados'!$L$5:$L$108,MATCH($B430,'Resultados'!$A$5:$A$108,0)),"")</x:f>
      </x:c>
      <x:c r="O430" s="59" t="str">
        <x:f>IF(OR($I430="",$J430="",$L430="",$M430=""),"",IF(AND($H430="Sim",$L430=$M430),IF($I430&lt;&gt;$J430,0,IF(AND($I430=$L430,$J430=$M430),2,1)),IF(AND($I430=$L430,$J430=$M430),3,IF(AND($I430&lt;&gt;$J430,$I430=$M430,$J430=$L430),-2,IF(SIGN($I430-$J430)=SIGN($L430-$M430),1,0)))))</x:f>
      </x:c>
      <x:c r="P430" s="59" t="str">
        <x:f>IF(OR($H430&lt;&gt;"Sim",$I430="",$J430="",$L430="",$M430=""),"",IF(AND(IF($I430&gt;$J430,$F430,IF($I430&lt;$J430,$G430,$K430))&lt;&gt;"",IF($L430&gt;$M430,$F430,IF($L430&lt;$M430,$G430,$N430))&lt;&gt;"",IF($I430&gt;$J430,$F430,IF($I430&lt;$J430,$G430,$K430))=IF($L430&gt;$M430,$F430,IF($L430&lt;$M430,$G430,$N430))),1,0))</x:f>
      </x:c>
      <x:c r="Q430" s="59" t="str">
        <x:f>IF($O430="","",$O430+$P430)</x:f>
      </x:c>
      <x:c r="R430" s="59" t="str">
        <x:f>IF($Q430="","",IF($O430=3,"Cravada",IF(AND($H430="Sim",$L430=$M430,$I430=$J430,$O430=2),"Empate cravado",IF($O430=1,"Resultado certo",IF($O430=-2,"Invertida",IF($P430=1,"Acertou quem passa","Erro"))))))</x:f>
      </x:c>
      <x:c r="S430" s="59" t="str">
        <x:f>IF($O430="","",--(OR($O430=3,AND($H430="Sim",$L430=$M430,$I430=$J430,$O430=2))))</x:f>
      </x:c>
      <x:c r="T430" s="59" t="str">
        <x:f>IF($O430="","",--($O430=-2))</x:f>
      </x:c>
      <x:c r="U430" s="59" t="str">
        <x:f>IF($O430="","",--($O430=1))</x:f>
      </x:c>
      <x:c r="V430" s="59" t="n">
        <x:f>--(AND($I430&lt;&gt;"",$J430&lt;&gt;""))</x:f>
        <x:v>0</x:v>
      </x:c>
    </x:row>
    <x:row r="431">
      <x:c r="A431" s="21" t="str">
        <x:f>INDEX(Config!$B$10:$B$16,INT((ROW()-5)/104)+1)</x:f>
        <x:v>Otávio</x:v>
      </x:c>
      <x:c r="B431" s="21" t="str">
        <x:v>GB5</x:v>
      </x:c>
      <x:c r="C431" s="21" t="n">
        <x:v>11</x:v>
      </x:c>
      <x:c r="D431" s="21" t="str">
        <x:v>Grupo B</x:v>
      </x:c>
      <x:c r="E431" s="21" t="str">
        <x:v>2026-06-24</x:v>
      </x:c>
      <x:c r="F431" s="21" t="str">
        <x:f>IFERROR(INDEX('Resultados'!$G$5:$G$108,MATCH($B431,'Resultados'!$A$5:$A$108,0)),"")</x:f>
        <x:v>Canadá</x:v>
      </x:c>
      <x:c r="G431" s="21" t="str">
        <x:f>IFERROR(INDEX('Resultados'!$J$5:$J$108,MATCH($B431,'Resultados'!$A$5:$A$108,0)),"")</x:f>
        <x:v>Suíça</x:v>
      </x:c>
      <x:c r="H431" s="21" t="str">
        <x:v>Não</x:v>
      </x:c>
      <x:c r="I431" s="22"/>
      <x:c r="J431" s="22"/>
      <x:c r="K431" s="23"/>
      <x:c r="L431" s="21" t="str">
        <x:f>IFERROR(INDEX('Resultados'!$H$5:$H$108,MATCH($B431,'Resultados'!$A$5:$A$108,0)),"")</x:f>
      </x:c>
      <x:c r="M431" s="21" t="str">
        <x:f>IFERROR(INDEX('Resultados'!$I$5:$I$108,MATCH($B431,'Resultados'!$A$5:$A$108,0)),"")</x:f>
      </x:c>
      <x:c r="N431" s="21" t="str">
        <x:f>IFERROR(INDEX('Resultados'!$L$5:$L$108,MATCH($B431,'Resultados'!$A$5:$A$108,0)),"")</x:f>
      </x:c>
      <x:c r="O431" s="59" t="str">
        <x:f>IF(OR($I431="",$J431="",$L431="",$M431=""),"",IF(AND($H431="Sim",$L431=$M431),IF($I431&lt;&gt;$J431,0,IF(AND($I431=$L431,$J431=$M431),2,1)),IF(AND($I431=$L431,$J431=$M431),3,IF(AND($I431&lt;&gt;$J431,$I431=$M431,$J431=$L431),-2,IF(SIGN($I431-$J431)=SIGN($L431-$M431),1,0)))))</x:f>
      </x:c>
      <x:c r="P431" s="59" t="str">
        <x:f>IF(OR($H431&lt;&gt;"Sim",$I431="",$J431="",$L431="",$M431=""),"",IF(AND(IF($I431&gt;$J431,$F431,IF($I431&lt;$J431,$G431,$K431))&lt;&gt;"",IF($L431&gt;$M431,$F431,IF($L431&lt;$M431,$G431,$N431))&lt;&gt;"",IF($I431&gt;$J431,$F431,IF($I431&lt;$J431,$G431,$K431))=IF($L431&gt;$M431,$F431,IF($L431&lt;$M431,$G431,$N431))),1,0))</x:f>
      </x:c>
      <x:c r="Q431" s="59" t="str">
        <x:f>IF($O431="","",$O431+$P431)</x:f>
      </x:c>
      <x:c r="R431" s="59" t="str">
        <x:f>IF($Q431="","",IF($O431=3,"Cravada",IF(AND($H431="Sim",$L431=$M431,$I431=$J431,$O431=2),"Empate cravado",IF($O431=1,"Resultado certo",IF($O431=-2,"Invertida",IF($P431=1,"Acertou quem passa","Erro"))))))</x:f>
      </x:c>
      <x:c r="S431" s="59" t="str">
        <x:f>IF($O431="","",--(OR($O431=3,AND($H431="Sim",$L431=$M431,$I431=$J431,$O431=2))))</x:f>
      </x:c>
      <x:c r="T431" s="59" t="str">
        <x:f>IF($O431="","",--($O431=-2))</x:f>
      </x:c>
      <x:c r="U431" s="59" t="str">
        <x:f>IF($O431="","",--($O431=1))</x:f>
      </x:c>
      <x:c r="V431" s="59" t="n">
        <x:f>--(AND($I431&lt;&gt;"",$J431&lt;&gt;""))</x:f>
        <x:v>0</x:v>
      </x:c>
    </x:row>
    <x:row r="432">
      <x:c r="A432" s="21" t="str">
        <x:f>INDEX(Config!$B$10:$B$16,INT((ROW()-5)/104)+1)</x:f>
        <x:v>Otávio</x:v>
      </x:c>
      <x:c r="B432" s="21" t="str">
        <x:v>GB6</x:v>
      </x:c>
      <x:c r="C432" s="21" t="n">
        <x:v>12</x:v>
      </x:c>
      <x:c r="D432" s="21" t="str">
        <x:v>Grupo B</x:v>
      </x:c>
      <x:c r="E432" s="21" t="str">
        <x:v>2026-06-24</x:v>
      </x:c>
      <x:c r="F432" s="21" t="str">
        <x:f>IFERROR(INDEX('Resultados'!$G$5:$G$108,MATCH($B432,'Resultados'!$A$5:$A$108,0)),"")</x:f>
        <x:v>Bósnia-Herzegovina</x:v>
      </x:c>
      <x:c r="G432" s="21" t="str">
        <x:f>IFERROR(INDEX('Resultados'!$J$5:$J$108,MATCH($B432,'Resultados'!$A$5:$A$108,0)),"")</x:f>
        <x:v>Catar</x:v>
      </x:c>
      <x:c r="H432" s="21" t="str">
        <x:v>Não</x:v>
      </x:c>
      <x:c r="I432" s="22"/>
      <x:c r="J432" s="22"/>
      <x:c r="K432" s="23"/>
      <x:c r="L432" s="21" t="str">
        <x:f>IFERROR(INDEX('Resultados'!$H$5:$H$108,MATCH($B432,'Resultados'!$A$5:$A$108,0)),"")</x:f>
      </x:c>
      <x:c r="M432" s="21" t="str">
        <x:f>IFERROR(INDEX('Resultados'!$I$5:$I$108,MATCH($B432,'Resultados'!$A$5:$A$108,0)),"")</x:f>
      </x:c>
      <x:c r="N432" s="21" t="str">
        <x:f>IFERROR(INDEX('Resultados'!$L$5:$L$108,MATCH($B432,'Resultados'!$A$5:$A$108,0)),"")</x:f>
      </x:c>
      <x:c r="O432" s="59" t="str">
        <x:f>IF(OR($I432="",$J432="",$L432="",$M432=""),"",IF(AND($H432="Sim",$L432=$M432),IF($I432&lt;&gt;$J432,0,IF(AND($I432=$L432,$J432=$M432),2,1)),IF(AND($I432=$L432,$J432=$M432),3,IF(AND($I432&lt;&gt;$J432,$I432=$M432,$J432=$L432),-2,IF(SIGN($I432-$J432)=SIGN($L432-$M432),1,0)))))</x:f>
      </x:c>
      <x:c r="P432" s="59" t="str">
        <x:f>IF(OR($H432&lt;&gt;"Sim",$I432="",$J432="",$L432="",$M432=""),"",IF(AND(IF($I432&gt;$J432,$F432,IF($I432&lt;$J432,$G432,$K432))&lt;&gt;"",IF($L432&gt;$M432,$F432,IF($L432&lt;$M432,$G432,$N432))&lt;&gt;"",IF($I432&gt;$J432,$F432,IF($I432&lt;$J432,$G432,$K432))=IF($L432&gt;$M432,$F432,IF($L432&lt;$M432,$G432,$N432))),1,0))</x:f>
      </x:c>
      <x:c r="Q432" s="59" t="str">
        <x:f>IF($O432="","",$O432+$P432)</x:f>
      </x:c>
      <x:c r="R432" s="59" t="str">
        <x:f>IF($Q432="","",IF($O432=3,"Cravada",IF(AND($H432="Sim",$L432=$M432,$I432=$J432,$O432=2),"Empate cravado",IF($O432=1,"Resultado certo",IF($O432=-2,"Invertida",IF($P432=1,"Acertou quem passa","Erro"))))))</x:f>
      </x:c>
      <x:c r="S432" s="59" t="str">
        <x:f>IF($O432="","",--(OR($O432=3,AND($H432="Sim",$L432=$M432,$I432=$J432,$O432=2))))</x:f>
      </x:c>
      <x:c r="T432" s="59" t="str">
        <x:f>IF($O432="","",--($O432=-2))</x:f>
      </x:c>
      <x:c r="U432" s="59" t="str">
        <x:f>IF($O432="","",--($O432=1))</x:f>
      </x:c>
      <x:c r="V432" s="59" t="n">
        <x:f>--(AND($I432&lt;&gt;"",$J432&lt;&gt;""))</x:f>
        <x:v>0</x:v>
      </x:c>
    </x:row>
    <x:row r="433">
      <x:c r="A433" s="21" t="str">
        <x:f>INDEX(Config!$B$10:$B$16,INT((ROW()-5)/104)+1)</x:f>
        <x:v>Otávio</x:v>
      </x:c>
      <x:c r="B433" s="21" t="str">
        <x:v>GC1</x:v>
      </x:c>
      <x:c r="C433" s="21" t="n">
        <x:v>13</x:v>
      </x:c>
      <x:c r="D433" s="21" t="str">
        <x:v>Grupo C</x:v>
      </x:c>
      <x:c r="E433" s="21" t="str">
        <x:v>2026-06-13</x:v>
      </x:c>
      <x:c r="F433" s="21" t="str">
        <x:f>IFERROR(INDEX('Resultados'!$G$5:$G$108,MATCH($B433,'Resultados'!$A$5:$A$108,0)),"")</x:f>
        <x:v>Brasil</x:v>
      </x:c>
      <x:c r="G433" s="21" t="str">
        <x:f>IFERROR(INDEX('Resultados'!$J$5:$J$108,MATCH($B433,'Resultados'!$A$5:$A$108,0)),"")</x:f>
        <x:v>Marrocos</x:v>
      </x:c>
      <x:c r="H433" s="21" t="str">
        <x:v>Não</x:v>
      </x:c>
      <x:c r="I433" s="22"/>
      <x:c r="J433" s="22"/>
      <x:c r="K433" s="23"/>
      <x:c r="L433" s="21" t="str">
        <x:f>IFERROR(INDEX('Resultados'!$H$5:$H$108,MATCH($B433,'Resultados'!$A$5:$A$108,0)),"")</x:f>
      </x:c>
      <x:c r="M433" s="21" t="str">
        <x:f>IFERROR(INDEX('Resultados'!$I$5:$I$108,MATCH($B433,'Resultados'!$A$5:$A$108,0)),"")</x:f>
      </x:c>
      <x:c r="N433" s="21" t="str">
        <x:f>IFERROR(INDEX('Resultados'!$L$5:$L$108,MATCH($B433,'Resultados'!$A$5:$A$108,0)),"")</x:f>
      </x:c>
      <x:c r="O433" s="59" t="str">
        <x:f>IF(OR($I433="",$J433="",$L433="",$M433=""),"",IF(AND($H433="Sim",$L433=$M433),IF($I433&lt;&gt;$J433,0,IF(AND($I433=$L433,$J433=$M433),2,1)),IF(AND($I433=$L433,$J433=$M433),3,IF(AND($I433&lt;&gt;$J433,$I433=$M433,$J433=$L433),-2,IF(SIGN($I433-$J433)=SIGN($L433-$M433),1,0)))))</x:f>
      </x:c>
      <x:c r="P433" s="59" t="str">
        <x:f>IF(OR($H433&lt;&gt;"Sim",$I433="",$J433="",$L433="",$M433=""),"",IF(AND(IF($I433&gt;$J433,$F433,IF($I433&lt;$J433,$G433,$K433))&lt;&gt;"",IF($L433&gt;$M433,$F433,IF($L433&lt;$M433,$G433,$N433))&lt;&gt;"",IF($I433&gt;$J433,$F433,IF($I433&lt;$J433,$G433,$K433))=IF($L433&gt;$M433,$F433,IF($L433&lt;$M433,$G433,$N433))),1,0))</x:f>
      </x:c>
      <x:c r="Q433" s="59" t="str">
        <x:f>IF($O433="","",$O433+$P433)</x:f>
      </x:c>
      <x:c r="R433" s="59" t="str">
        <x:f>IF($Q433="","",IF($O433=3,"Cravada",IF(AND($H433="Sim",$L433=$M433,$I433=$J433,$O433=2),"Empate cravado",IF($O433=1,"Resultado certo",IF($O433=-2,"Invertida",IF($P433=1,"Acertou quem passa","Erro"))))))</x:f>
      </x:c>
      <x:c r="S433" s="59" t="str">
        <x:f>IF($O433="","",--(OR($O433=3,AND($H433="Sim",$L433=$M433,$I433=$J433,$O433=2))))</x:f>
      </x:c>
      <x:c r="T433" s="59" t="str">
        <x:f>IF($O433="","",--($O433=-2))</x:f>
      </x:c>
      <x:c r="U433" s="59" t="str">
        <x:f>IF($O433="","",--($O433=1))</x:f>
      </x:c>
      <x:c r="V433" s="59" t="n">
        <x:f>--(AND($I433&lt;&gt;"",$J433&lt;&gt;""))</x:f>
        <x:v>0</x:v>
      </x:c>
    </x:row>
    <x:row r="434">
      <x:c r="A434" s="21" t="str">
        <x:f>INDEX(Config!$B$10:$B$16,INT((ROW()-5)/104)+1)</x:f>
        <x:v>Otávio</x:v>
      </x:c>
      <x:c r="B434" s="21" t="str">
        <x:v>GC2</x:v>
      </x:c>
      <x:c r="C434" s="21" t="n">
        <x:v>14</x:v>
      </x:c>
      <x:c r="D434" s="21" t="str">
        <x:v>Grupo C</x:v>
      </x:c>
      <x:c r="E434" s="21" t="str">
        <x:v>2026-06-13</x:v>
      </x:c>
      <x:c r="F434" s="21" t="str">
        <x:f>IFERROR(INDEX('Resultados'!$G$5:$G$108,MATCH($B434,'Resultados'!$A$5:$A$108,0)),"")</x:f>
        <x:v>Haiti</x:v>
      </x:c>
      <x:c r="G434" s="21" t="str">
        <x:f>IFERROR(INDEX('Resultados'!$J$5:$J$108,MATCH($B434,'Resultados'!$A$5:$A$108,0)),"")</x:f>
        <x:v>Escócia</x:v>
      </x:c>
      <x:c r="H434" s="21" t="str">
        <x:v>Não</x:v>
      </x:c>
      <x:c r="I434" s="22"/>
      <x:c r="J434" s="22"/>
      <x:c r="K434" s="23"/>
      <x:c r="L434" s="21" t="str">
        <x:f>IFERROR(INDEX('Resultados'!$H$5:$H$108,MATCH($B434,'Resultados'!$A$5:$A$108,0)),"")</x:f>
      </x:c>
      <x:c r="M434" s="21" t="str">
        <x:f>IFERROR(INDEX('Resultados'!$I$5:$I$108,MATCH($B434,'Resultados'!$A$5:$A$108,0)),"")</x:f>
      </x:c>
      <x:c r="N434" s="21" t="str">
        <x:f>IFERROR(INDEX('Resultados'!$L$5:$L$108,MATCH($B434,'Resultados'!$A$5:$A$108,0)),"")</x:f>
      </x:c>
      <x:c r="O434" s="59" t="str">
        <x:f>IF(OR($I434="",$J434="",$L434="",$M434=""),"",IF(AND($H434="Sim",$L434=$M434),IF($I434&lt;&gt;$J434,0,IF(AND($I434=$L434,$J434=$M434),2,1)),IF(AND($I434=$L434,$J434=$M434),3,IF(AND($I434&lt;&gt;$J434,$I434=$M434,$J434=$L434),-2,IF(SIGN($I434-$J434)=SIGN($L434-$M434),1,0)))))</x:f>
      </x:c>
      <x:c r="P434" s="59" t="str">
        <x:f>IF(OR($H434&lt;&gt;"Sim",$I434="",$J434="",$L434="",$M434=""),"",IF(AND(IF($I434&gt;$J434,$F434,IF($I434&lt;$J434,$G434,$K434))&lt;&gt;"",IF($L434&gt;$M434,$F434,IF($L434&lt;$M434,$G434,$N434))&lt;&gt;"",IF($I434&gt;$J434,$F434,IF($I434&lt;$J434,$G434,$K434))=IF($L434&gt;$M434,$F434,IF($L434&lt;$M434,$G434,$N434))),1,0))</x:f>
      </x:c>
      <x:c r="Q434" s="59" t="str">
        <x:f>IF($O434="","",$O434+$P434)</x:f>
      </x:c>
      <x:c r="R434" s="59" t="str">
        <x:f>IF($Q434="","",IF($O434=3,"Cravada",IF(AND($H434="Sim",$L434=$M434,$I434=$J434,$O434=2),"Empate cravado",IF($O434=1,"Resultado certo",IF($O434=-2,"Invertida",IF($P434=1,"Acertou quem passa","Erro"))))))</x:f>
      </x:c>
      <x:c r="S434" s="59" t="str">
        <x:f>IF($O434="","",--(OR($O434=3,AND($H434="Sim",$L434=$M434,$I434=$J434,$O434=2))))</x:f>
      </x:c>
      <x:c r="T434" s="59" t="str">
        <x:f>IF($O434="","",--($O434=-2))</x:f>
      </x:c>
      <x:c r="U434" s="59" t="str">
        <x:f>IF($O434="","",--($O434=1))</x:f>
      </x:c>
      <x:c r="V434" s="59" t="n">
        <x:f>--(AND($I434&lt;&gt;"",$J434&lt;&gt;""))</x:f>
        <x:v>0</x:v>
      </x:c>
    </x:row>
    <x:row r="435">
      <x:c r="A435" s="21" t="str">
        <x:f>INDEX(Config!$B$10:$B$16,INT((ROW()-5)/104)+1)</x:f>
        <x:v>Otávio</x:v>
      </x:c>
      <x:c r="B435" s="21" t="str">
        <x:v>GC3</x:v>
      </x:c>
      <x:c r="C435" s="21" t="n">
        <x:v>15</x:v>
      </x:c>
      <x:c r="D435" s="21" t="str">
        <x:v>Grupo C</x:v>
      </x:c>
      <x:c r="E435" s="21" t="str">
        <x:v>2026-06-19</x:v>
      </x:c>
      <x:c r="F435" s="21" t="str">
        <x:f>IFERROR(INDEX('Resultados'!$G$5:$G$108,MATCH($B435,'Resultados'!$A$5:$A$108,0)),"")</x:f>
        <x:v>Brasil</x:v>
      </x:c>
      <x:c r="G435" s="21" t="str">
        <x:f>IFERROR(INDEX('Resultados'!$J$5:$J$108,MATCH($B435,'Resultados'!$A$5:$A$108,0)),"")</x:f>
        <x:v>Haiti</x:v>
      </x:c>
      <x:c r="H435" s="21" t="str">
        <x:v>Não</x:v>
      </x:c>
      <x:c r="I435" s="22"/>
      <x:c r="J435" s="22"/>
      <x:c r="K435" s="23"/>
      <x:c r="L435" s="21" t="str">
        <x:f>IFERROR(INDEX('Resultados'!$H$5:$H$108,MATCH($B435,'Resultados'!$A$5:$A$108,0)),"")</x:f>
      </x:c>
      <x:c r="M435" s="21" t="str">
        <x:f>IFERROR(INDEX('Resultados'!$I$5:$I$108,MATCH($B435,'Resultados'!$A$5:$A$108,0)),"")</x:f>
      </x:c>
      <x:c r="N435" s="21" t="str">
        <x:f>IFERROR(INDEX('Resultados'!$L$5:$L$108,MATCH($B435,'Resultados'!$A$5:$A$108,0)),"")</x:f>
      </x:c>
      <x:c r="O435" s="59" t="str">
        <x:f>IF(OR($I435="",$J435="",$L435="",$M435=""),"",IF(AND($H435="Sim",$L435=$M435),IF($I435&lt;&gt;$J435,0,IF(AND($I435=$L435,$J435=$M435),2,1)),IF(AND($I435=$L435,$J435=$M435),3,IF(AND($I435&lt;&gt;$J435,$I435=$M435,$J435=$L435),-2,IF(SIGN($I435-$J435)=SIGN($L435-$M435),1,0)))))</x:f>
      </x:c>
      <x:c r="P435" s="59" t="str">
        <x:f>IF(OR($H435&lt;&gt;"Sim",$I435="",$J435="",$L435="",$M435=""),"",IF(AND(IF($I435&gt;$J435,$F435,IF($I435&lt;$J435,$G435,$K435))&lt;&gt;"",IF($L435&gt;$M435,$F435,IF($L435&lt;$M435,$G435,$N435))&lt;&gt;"",IF($I435&gt;$J435,$F435,IF($I435&lt;$J435,$G435,$K435))=IF($L435&gt;$M435,$F435,IF($L435&lt;$M435,$G435,$N435))),1,0))</x:f>
      </x:c>
      <x:c r="Q435" s="59" t="str">
        <x:f>IF($O435="","",$O435+$P435)</x:f>
      </x:c>
      <x:c r="R435" s="59" t="str">
        <x:f>IF($Q435="","",IF($O435=3,"Cravada",IF(AND($H435="Sim",$L435=$M435,$I435=$J435,$O435=2),"Empate cravado",IF($O435=1,"Resultado certo",IF($O435=-2,"Invertida",IF($P435=1,"Acertou quem passa","Erro"))))))</x:f>
      </x:c>
      <x:c r="S435" s="59" t="str">
        <x:f>IF($O435="","",--(OR($O435=3,AND($H435="Sim",$L435=$M435,$I435=$J435,$O435=2))))</x:f>
      </x:c>
      <x:c r="T435" s="59" t="str">
        <x:f>IF($O435="","",--($O435=-2))</x:f>
      </x:c>
      <x:c r="U435" s="59" t="str">
        <x:f>IF($O435="","",--($O435=1))</x:f>
      </x:c>
      <x:c r="V435" s="59" t="n">
        <x:f>--(AND($I435&lt;&gt;"",$J435&lt;&gt;""))</x:f>
        <x:v>0</x:v>
      </x:c>
    </x:row>
    <x:row r="436">
      <x:c r="A436" s="21" t="str">
        <x:f>INDEX(Config!$B$10:$B$16,INT((ROW()-5)/104)+1)</x:f>
        <x:v>Otávio</x:v>
      </x:c>
      <x:c r="B436" s="21" t="str">
        <x:v>GC4</x:v>
      </x:c>
      <x:c r="C436" s="21" t="n">
        <x:v>16</x:v>
      </x:c>
      <x:c r="D436" s="21" t="str">
        <x:v>Grupo C</x:v>
      </x:c>
      <x:c r="E436" s="21" t="str">
        <x:v>2026-06-19</x:v>
      </x:c>
      <x:c r="F436" s="21" t="str">
        <x:f>IFERROR(INDEX('Resultados'!$G$5:$G$108,MATCH($B436,'Resultados'!$A$5:$A$108,0)),"")</x:f>
        <x:v>Marrocos</x:v>
      </x:c>
      <x:c r="G436" s="21" t="str">
        <x:f>IFERROR(INDEX('Resultados'!$J$5:$J$108,MATCH($B436,'Resultados'!$A$5:$A$108,0)),"")</x:f>
        <x:v>Escócia</x:v>
      </x:c>
      <x:c r="H436" s="21" t="str">
        <x:v>Não</x:v>
      </x:c>
      <x:c r="I436" s="22"/>
      <x:c r="J436" s="22"/>
      <x:c r="K436" s="23"/>
      <x:c r="L436" s="21" t="str">
        <x:f>IFERROR(INDEX('Resultados'!$H$5:$H$108,MATCH($B436,'Resultados'!$A$5:$A$108,0)),"")</x:f>
      </x:c>
      <x:c r="M436" s="21" t="str">
        <x:f>IFERROR(INDEX('Resultados'!$I$5:$I$108,MATCH($B436,'Resultados'!$A$5:$A$108,0)),"")</x:f>
      </x:c>
      <x:c r="N436" s="21" t="str">
        <x:f>IFERROR(INDEX('Resultados'!$L$5:$L$108,MATCH($B436,'Resultados'!$A$5:$A$108,0)),"")</x:f>
      </x:c>
      <x:c r="O436" s="59" t="str">
        <x:f>IF(OR($I436="",$J436="",$L436="",$M436=""),"",IF(AND($H436="Sim",$L436=$M436),IF($I436&lt;&gt;$J436,0,IF(AND($I436=$L436,$J436=$M436),2,1)),IF(AND($I436=$L436,$J436=$M436),3,IF(AND($I436&lt;&gt;$J436,$I436=$M436,$J436=$L436),-2,IF(SIGN($I436-$J436)=SIGN($L436-$M436),1,0)))))</x:f>
      </x:c>
      <x:c r="P436" s="59" t="str">
        <x:f>IF(OR($H436&lt;&gt;"Sim",$I436="",$J436="",$L436="",$M436=""),"",IF(AND(IF($I436&gt;$J436,$F436,IF($I436&lt;$J436,$G436,$K436))&lt;&gt;"",IF($L436&gt;$M436,$F436,IF($L436&lt;$M436,$G436,$N436))&lt;&gt;"",IF($I436&gt;$J436,$F436,IF($I436&lt;$J436,$G436,$K436))=IF($L436&gt;$M436,$F436,IF($L436&lt;$M436,$G436,$N436))),1,0))</x:f>
      </x:c>
      <x:c r="Q436" s="59" t="str">
        <x:f>IF($O436="","",$O436+$P436)</x:f>
      </x:c>
      <x:c r="R436" s="59" t="str">
        <x:f>IF($Q436="","",IF($O436=3,"Cravada",IF(AND($H436="Sim",$L436=$M436,$I436=$J436,$O436=2),"Empate cravado",IF($O436=1,"Resultado certo",IF($O436=-2,"Invertida",IF($P436=1,"Acertou quem passa","Erro"))))))</x:f>
      </x:c>
      <x:c r="S436" s="59" t="str">
        <x:f>IF($O436="","",--(OR($O436=3,AND($H436="Sim",$L436=$M436,$I436=$J436,$O436=2))))</x:f>
      </x:c>
      <x:c r="T436" s="59" t="str">
        <x:f>IF($O436="","",--($O436=-2))</x:f>
      </x:c>
      <x:c r="U436" s="59" t="str">
        <x:f>IF($O436="","",--($O436=1))</x:f>
      </x:c>
      <x:c r="V436" s="59" t="n">
        <x:f>--(AND($I436&lt;&gt;"",$J436&lt;&gt;""))</x:f>
        <x:v>0</x:v>
      </x:c>
    </x:row>
    <x:row r="437">
      <x:c r="A437" s="21" t="str">
        <x:f>INDEX(Config!$B$10:$B$16,INT((ROW()-5)/104)+1)</x:f>
        <x:v>Otávio</x:v>
      </x:c>
      <x:c r="B437" s="21" t="str">
        <x:v>GC5</x:v>
      </x:c>
      <x:c r="C437" s="21" t="n">
        <x:v>17</x:v>
      </x:c>
      <x:c r="D437" s="21" t="str">
        <x:v>Grupo C</x:v>
      </x:c>
      <x:c r="E437" s="21" t="str">
        <x:v>2026-06-24</x:v>
      </x:c>
      <x:c r="F437" s="21" t="str">
        <x:f>IFERROR(INDEX('Resultados'!$G$5:$G$108,MATCH($B437,'Resultados'!$A$5:$A$108,0)),"")</x:f>
        <x:v>Brasil</x:v>
      </x:c>
      <x:c r="G437" s="21" t="str">
        <x:f>IFERROR(INDEX('Resultados'!$J$5:$J$108,MATCH($B437,'Resultados'!$A$5:$A$108,0)),"")</x:f>
        <x:v>Escócia</x:v>
      </x:c>
      <x:c r="H437" s="21" t="str">
        <x:v>Não</x:v>
      </x:c>
      <x:c r="I437" s="22"/>
      <x:c r="J437" s="22"/>
      <x:c r="K437" s="23"/>
      <x:c r="L437" s="21" t="str">
        <x:f>IFERROR(INDEX('Resultados'!$H$5:$H$108,MATCH($B437,'Resultados'!$A$5:$A$108,0)),"")</x:f>
      </x:c>
      <x:c r="M437" s="21" t="str">
        <x:f>IFERROR(INDEX('Resultados'!$I$5:$I$108,MATCH($B437,'Resultados'!$A$5:$A$108,0)),"")</x:f>
      </x:c>
      <x:c r="N437" s="21" t="str">
        <x:f>IFERROR(INDEX('Resultados'!$L$5:$L$108,MATCH($B437,'Resultados'!$A$5:$A$108,0)),"")</x:f>
      </x:c>
      <x:c r="O437" s="59" t="str">
        <x:f>IF(OR($I437="",$J437="",$L437="",$M437=""),"",IF(AND($H437="Sim",$L437=$M437),IF($I437&lt;&gt;$J437,0,IF(AND($I437=$L437,$J437=$M437),2,1)),IF(AND($I437=$L437,$J437=$M437),3,IF(AND($I437&lt;&gt;$J437,$I437=$M437,$J437=$L437),-2,IF(SIGN($I437-$J437)=SIGN($L437-$M437),1,0)))))</x:f>
      </x:c>
      <x:c r="P437" s="59" t="str">
        <x:f>IF(OR($H437&lt;&gt;"Sim",$I437="",$J437="",$L437="",$M437=""),"",IF(AND(IF($I437&gt;$J437,$F437,IF($I437&lt;$J437,$G437,$K437))&lt;&gt;"",IF($L437&gt;$M437,$F437,IF($L437&lt;$M437,$G437,$N437))&lt;&gt;"",IF($I437&gt;$J437,$F437,IF($I437&lt;$J437,$G437,$K437))=IF($L437&gt;$M437,$F437,IF($L437&lt;$M437,$G437,$N437))),1,0))</x:f>
      </x:c>
      <x:c r="Q437" s="59" t="str">
        <x:f>IF($O437="","",$O437+$P437)</x:f>
      </x:c>
      <x:c r="R437" s="59" t="str">
        <x:f>IF($Q437="","",IF($O437=3,"Cravada",IF(AND($H437="Sim",$L437=$M437,$I437=$J437,$O437=2),"Empate cravado",IF($O437=1,"Resultado certo",IF($O437=-2,"Invertida",IF($P437=1,"Acertou quem passa","Erro"))))))</x:f>
      </x:c>
      <x:c r="S437" s="59" t="str">
        <x:f>IF($O437="","",--(OR($O437=3,AND($H437="Sim",$L437=$M437,$I437=$J437,$O437=2))))</x:f>
      </x:c>
      <x:c r="T437" s="59" t="str">
        <x:f>IF($O437="","",--($O437=-2))</x:f>
      </x:c>
      <x:c r="U437" s="59" t="str">
        <x:f>IF($O437="","",--($O437=1))</x:f>
      </x:c>
      <x:c r="V437" s="59" t="n">
        <x:f>--(AND($I437&lt;&gt;"",$J437&lt;&gt;""))</x:f>
        <x:v>0</x:v>
      </x:c>
    </x:row>
    <x:row r="438">
      <x:c r="A438" s="21" t="str">
        <x:f>INDEX(Config!$B$10:$B$16,INT((ROW()-5)/104)+1)</x:f>
        <x:v>Otávio</x:v>
      </x:c>
      <x:c r="B438" s="21" t="str">
        <x:v>GC6</x:v>
      </x:c>
      <x:c r="C438" s="21" t="n">
        <x:v>18</x:v>
      </x:c>
      <x:c r="D438" s="21" t="str">
        <x:v>Grupo C</x:v>
      </x:c>
      <x:c r="E438" s="21" t="str">
        <x:v>2026-06-24</x:v>
      </x:c>
      <x:c r="F438" s="21" t="str">
        <x:f>IFERROR(INDEX('Resultados'!$G$5:$G$108,MATCH($B438,'Resultados'!$A$5:$A$108,0)),"")</x:f>
        <x:v>Marrocos</x:v>
      </x:c>
      <x:c r="G438" s="21" t="str">
        <x:f>IFERROR(INDEX('Resultados'!$J$5:$J$108,MATCH($B438,'Resultados'!$A$5:$A$108,0)),"")</x:f>
        <x:v>Haiti</x:v>
      </x:c>
      <x:c r="H438" s="21" t="str">
        <x:v>Não</x:v>
      </x:c>
      <x:c r="I438" s="22"/>
      <x:c r="J438" s="22"/>
      <x:c r="K438" s="23"/>
      <x:c r="L438" s="21" t="str">
        <x:f>IFERROR(INDEX('Resultados'!$H$5:$H$108,MATCH($B438,'Resultados'!$A$5:$A$108,0)),"")</x:f>
      </x:c>
      <x:c r="M438" s="21" t="str">
        <x:f>IFERROR(INDEX('Resultados'!$I$5:$I$108,MATCH($B438,'Resultados'!$A$5:$A$108,0)),"")</x:f>
      </x:c>
      <x:c r="N438" s="21" t="str">
        <x:f>IFERROR(INDEX('Resultados'!$L$5:$L$108,MATCH($B438,'Resultados'!$A$5:$A$108,0)),"")</x:f>
      </x:c>
      <x:c r="O438" s="59" t="str">
        <x:f>IF(OR($I438="",$J438="",$L438="",$M438=""),"",IF(AND($H438="Sim",$L438=$M438),IF($I438&lt;&gt;$J438,0,IF(AND($I438=$L438,$J438=$M438),2,1)),IF(AND($I438=$L438,$J438=$M438),3,IF(AND($I438&lt;&gt;$J438,$I438=$M438,$J438=$L438),-2,IF(SIGN($I438-$J438)=SIGN($L438-$M438),1,0)))))</x:f>
      </x:c>
      <x:c r="P438" s="59" t="str">
        <x:f>IF(OR($H438&lt;&gt;"Sim",$I438="",$J438="",$L438="",$M438=""),"",IF(AND(IF($I438&gt;$J438,$F438,IF($I438&lt;$J438,$G438,$K438))&lt;&gt;"",IF($L438&gt;$M438,$F438,IF($L438&lt;$M438,$G438,$N438))&lt;&gt;"",IF($I438&gt;$J438,$F438,IF($I438&lt;$J438,$G438,$K438))=IF($L438&gt;$M438,$F438,IF($L438&lt;$M438,$G438,$N438))),1,0))</x:f>
      </x:c>
      <x:c r="Q438" s="59" t="str">
        <x:f>IF($O438="","",$O438+$P438)</x:f>
      </x:c>
      <x:c r="R438" s="59" t="str">
        <x:f>IF($Q438="","",IF($O438=3,"Cravada",IF(AND($H438="Sim",$L438=$M438,$I438=$J438,$O438=2),"Empate cravado",IF($O438=1,"Resultado certo",IF($O438=-2,"Invertida",IF($P438=1,"Acertou quem passa","Erro"))))))</x:f>
      </x:c>
      <x:c r="S438" s="59" t="str">
        <x:f>IF($O438="","",--(OR($O438=3,AND($H438="Sim",$L438=$M438,$I438=$J438,$O438=2))))</x:f>
      </x:c>
      <x:c r="T438" s="59" t="str">
        <x:f>IF($O438="","",--($O438=-2))</x:f>
      </x:c>
      <x:c r="U438" s="59" t="str">
        <x:f>IF($O438="","",--($O438=1))</x:f>
      </x:c>
      <x:c r="V438" s="59" t="n">
        <x:f>--(AND($I438&lt;&gt;"",$J438&lt;&gt;""))</x:f>
        <x:v>0</x:v>
      </x:c>
    </x:row>
    <x:row r="439">
      <x:c r="A439" s="21" t="str">
        <x:f>INDEX(Config!$B$10:$B$16,INT((ROW()-5)/104)+1)</x:f>
        <x:v>Otávio</x:v>
      </x:c>
      <x:c r="B439" s="21" t="str">
        <x:v>GD1</x:v>
      </x:c>
      <x:c r="C439" s="21" t="n">
        <x:v>19</x:v>
      </x:c>
      <x:c r="D439" s="21" t="str">
        <x:v>Grupo D</x:v>
      </x:c>
      <x:c r="E439" s="21" t="str">
        <x:v>2026-06-12</x:v>
      </x:c>
      <x:c r="F439" s="21" t="str">
        <x:f>IFERROR(INDEX('Resultados'!$G$5:$G$108,MATCH($B439,'Resultados'!$A$5:$A$108,0)),"")</x:f>
        <x:v>EUA</x:v>
      </x:c>
      <x:c r="G439" s="21" t="str">
        <x:f>IFERROR(INDEX('Resultados'!$J$5:$J$108,MATCH($B439,'Resultados'!$A$5:$A$108,0)),"")</x:f>
        <x:v>Paraguai</x:v>
      </x:c>
      <x:c r="H439" s="21" t="str">
        <x:v>Não</x:v>
      </x:c>
      <x:c r="I439" s="22"/>
      <x:c r="J439" s="22"/>
      <x:c r="K439" s="23"/>
      <x:c r="L439" s="21" t="str">
        <x:f>IFERROR(INDEX('Resultados'!$H$5:$H$108,MATCH($B439,'Resultados'!$A$5:$A$108,0)),"")</x:f>
      </x:c>
      <x:c r="M439" s="21" t="str">
        <x:f>IFERROR(INDEX('Resultados'!$I$5:$I$108,MATCH($B439,'Resultados'!$A$5:$A$108,0)),"")</x:f>
      </x:c>
      <x:c r="N439" s="21" t="str">
        <x:f>IFERROR(INDEX('Resultados'!$L$5:$L$108,MATCH($B439,'Resultados'!$A$5:$A$108,0)),"")</x:f>
      </x:c>
      <x:c r="O439" s="59" t="str">
        <x:f>IF(OR($I439="",$J439="",$L439="",$M439=""),"",IF(AND($H439="Sim",$L439=$M439),IF($I439&lt;&gt;$J439,0,IF(AND($I439=$L439,$J439=$M439),2,1)),IF(AND($I439=$L439,$J439=$M439),3,IF(AND($I439&lt;&gt;$J439,$I439=$M439,$J439=$L439),-2,IF(SIGN($I439-$J439)=SIGN($L439-$M439),1,0)))))</x:f>
      </x:c>
      <x:c r="P439" s="59" t="str">
        <x:f>IF(OR($H439&lt;&gt;"Sim",$I439="",$J439="",$L439="",$M439=""),"",IF(AND(IF($I439&gt;$J439,$F439,IF($I439&lt;$J439,$G439,$K439))&lt;&gt;"",IF($L439&gt;$M439,$F439,IF($L439&lt;$M439,$G439,$N439))&lt;&gt;"",IF($I439&gt;$J439,$F439,IF($I439&lt;$J439,$G439,$K439))=IF($L439&gt;$M439,$F439,IF($L439&lt;$M439,$G439,$N439))),1,0))</x:f>
      </x:c>
      <x:c r="Q439" s="59" t="str">
        <x:f>IF($O439="","",$O439+$P439)</x:f>
      </x:c>
      <x:c r="R439" s="59" t="str">
        <x:f>IF($Q439="","",IF($O439=3,"Cravada",IF(AND($H439="Sim",$L439=$M439,$I439=$J439,$O439=2),"Empate cravado",IF($O439=1,"Resultado certo",IF($O439=-2,"Invertida",IF($P439=1,"Acertou quem passa","Erro"))))))</x:f>
      </x:c>
      <x:c r="S439" s="59" t="str">
        <x:f>IF($O439="","",--(OR($O439=3,AND($H439="Sim",$L439=$M439,$I439=$J439,$O439=2))))</x:f>
      </x:c>
      <x:c r="T439" s="59" t="str">
        <x:f>IF($O439="","",--($O439=-2))</x:f>
      </x:c>
      <x:c r="U439" s="59" t="str">
        <x:f>IF($O439="","",--($O439=1))</x:f>
      </x:c>
      <x:c r="V439" s="59" t="n">
        <x:f>--(AND($I439&lt;&gt;"",$J439&lt;&gt;""))</x:f>
        <x:v>0</x:v>
      </x:c>
    </x:row>
    <x:row r="440">
      <x:c r="A440" s="21" t="str">
        <x:f>INDEX(Config!$B$10:$B$16,INT((ROW()-5)/104)+1)</x:f>
        <x:v>Otávio</x:v>
      </x:c>
      <x:c r="B440" s="21" t="str">
        <x:v>GD2</x:v>
      </x:c>
      <x:c r="C440" s="21" t="n">
        <x:v>20</x:v>
      </x:c>
      <x:c r="D440" s="21" t="str">
        <x:v>Grupo D</x:v>
      </x:c>
      <x:c r="E440" s="21" t="str">
        <x:v>2026-06-14</x:v>
      </x:c>
      <x:c r="F440" s="21" t="str">
        <x:f>IFERROR(INDEX('Resultados'!$G$5:$G$108,MATCH($B440,'Resultados'!$A$5:$A$108,0)),"")</x:f>
        <x:v>Austrália</x:v>
      </x:c>
      <x:c r="G440" s="21" t="str">
        <x:f>IFERROR(INDEX('Resultados'!$J$5:$J$108,MATCH($B440,'Resultados'!$A$5:$A$108,0)),"")</x:f>
        <x:v>Turquia</x:v>
      </x:c>
      <x:c r="H440" s="21" t="str">
        <x:v>Não</x:v>
      </x:c>
      <x:c r="I440" s="22"/>
      <x:c r="J440" s="22"/>
      <x:c r="K440" s="23"/>
      <x:c r="L440" s="21" t="str">
        <x:f>IFERROR(INDEX('Resultados'!$H$5:$H$108,MATCH($B440,'Resultados'!$A$5:$A$108,0)),"")</x:f>
      </x:c>
      <x:c r="M440" s="21" t="str">
        <x:f>IFERROR(INDEX('Resultados'!$I$5:$I$108,MATCH($B440,'Resultados'!$A$5:$A$108,0)),"")</x:f>
      </x:c>
      <x:c r="N440" s="21" t="str">
        <x:f>IFERROR(INDEX('Resultados'!$L$5:$L$108,MATCH($B440,'Resultados'!$A$5:$A$108,0)),"")</x:f>
      </x:c>
      <x:c r="O440" s="59" t="str">
        <x:f>IF(OR($I440="",$J440="",$L440="",$M440=""),"",IF(AND($H440="Sim",$L440=$M440),IF($I440&lt;&gt;$J440,0,IF(AND($I440=$L440,$J440=$M440),2,1)),IF(AND($I440=$L440,$J440=$M440),3,IF(AND($I440&lt;&gt;$J440,$I440=$M440,$J440=$L440),-2,IF(SIGN($I440-$J440)=SIGN($L440-$M440),1,0)))))</x:f>
      </x:c>
      <x:c r="P440" s="59" t="str">
        <x:f>IF(OR($H440&lt;&gt;"Sim",$I440="",$J440="",$L440="",$M440=""),"",IF(AND(IF($I440&gt;$J440,$F440,IF($I440&lt;$J440,$G440,$K440))&lt;&gt;"",IF($L440&gt;$M440,$F440,IF($L440&lt;$M440,$G440,$N440))&lt;&gt;"",IF($I440&gt;$J440,$F440,IF($I440&lt;$J440,$G440,$K440))=IF($L440&gt;$M440,$F440,IF($L440&lt;$M440,$G440,$N440))),1,0))</x:f>
      </x:c>
      <x:c r="Q440" s="59" t="str">
        <x:f>IF($O440="","",$O440+$P440)</x:f>
      </x:c>
      <x:c r="R440" s="59" t="str">
        <x:f>IF($Q440="","",IF($O440=3,"Cravada",IF(AND($H440="Sim",$L440=$M440,$I440=$J440,$O440=2),"Empate cravado",IF($O440=1,"Resultado certo",IF($O440=-2,"Invertida",IF($P440=1,"Acertou quem passa","Erro"))))))</x:f>
      </x:c>
      <x:c r="S440" s="59" t="str">
        <x:f>IF($O440="","",--(OR($O440=3,AND($H440="Sim",$L440=$M440,$I440=$J440,$O440=2))))</x:f>
      </x:c>
      <x:c r="T440" s="59" t="str">
        <x:f>IF($O440="","",--($O440=-2))</x:f>
      </x:c>
      <x:c r="U440" s="59" t="str">
        <x:f>IF($O440="","",--($O440=1))</x:f>
      </x:c>
      <x:c r="V440" s="59" t="n">
        <x:f>--(AND($I440&lt;&gt;"",$J440&lt;&gt;""))</x:f>
        <x:v>0</x:v>
      </x:c>
    </x:row>
    <x:row r="441">
      <x:c r="A441" s="21" t="str">
        <x:f>INDEX(Config!$B$10:$B$16,INT((ROW()-5)/104)+1)</x:f>
        <x:v>Otávio</x:v>
      </x:c>
      <x:c r="B441" s="21" t="str">
        <x:v>GD3</x:v>
      </x:c>
      <x:c r="C441" s="21" t="n">
        <x:v>21</x:v>
      </x:c>
      <x:c r="D441" s="21" t="str">
        <x:v>Grupo D</x:v>
      </x:c>
      <x:c r="E441" s="21" t="str">
        <x:v>2026-06-19</x:v>
      </x:c>
      <x:c r="F441" s="21" t="str">
        <x:f>IFERROR(INDEX('Resultados'!$G$5:$G$108,MATCH($B441,'Resultados'!$A$5:$A$108,0)),"")</x:f>
        <x:v>EUA</x:v>
      </x:c>
      <x:c r="G441" s="21" t="str">
        <x:f>IFERROR(INDEX('Resultados'!$J$5:$J$108,MATCH($B441,'Resultados'!$A$5:$A$108,0)),"")</x:f>
        <x:v>Austrália</x:v>
      </x:c>
      <x:c r="H441" s="21" t="str">
        <x:v>Não</x:v>
      </x:c>
      <x:c r="I441" s="22"/>
      <x:c r="J441" s="22"/>
      <x:c r="K441" s="23"/>
      <x:c r="L441" s="21" t="str">
        <x:f>IFERROR(INDEX('Resultados'!$H$5:$H$108,MATCH($B441,'Resultados'!$A$5:$A$108,0)),"")</x:f>
      </x:c>
      <x:c r="M441" s="21" t="str">
        <x:f>IFERROR(INDEX('Resultados'!$I$5:$I$108,MATCH($B441,'Resultados'!$A$5:$A$108,0)),"")</x:f>
      </x:c>
      <x:c r="N441" s="21" t="str">
        <x:f>IFERROR(INDEX('Resultados'!$L$5:$L$108,MATCH($B441,'Resultados'!$A$5:$A$108,0)),"")</x:f>
      </x:c>
      <x:c r="O441" s="59" t="str">
        <x:f>IF(OR($I441="",$J441="",$L441="",$M441=""),"",IF(AND($H441="Sim",$L441=$M441),IF($I441&lt;&gt;$J441,0,IF(AND($I441=$L441,$J441=$M441),2,1)),IF(AND($I441=$L441,$J441=$M441),3,IF(AND($I441&lt;&gt;$J441,$I441=$M441,$J441=$L441),-2,IF(SIGN($I441-$J441)=SIGN($L441-$M441),1,0)))))</x:f>
      </x:c>
      <x:c r="P441" s="59" t="str">
        <x:f>IF(OR($H441&lt;&gt;"Sim",$I441="",$J441="",$L441="",$M441=""),"",IF(AND(IF($I441&gt;$J441,$F441,IF($I441&lt;$J441,$G441,$K441))&lt;&gt;"",IF($L441&gt;$M441,$F441,IF($L441&lt;$M441,$G441,$N441))&lt;&gt;"",IF($I441&gt;$J441,$F441,IF($I441&lt;$J441,$G441,$K441))=IF($L441&gt;$M441,$F441,IF($L441&lt;$M441,$G441,$N441))),1,0))</x:f>
      </x:c>
      <x:c r="Q441" s="59" t="str">
        <x:f>IF($O441="","",$O441+$P441)</x:f>
      </x:c>
      <x:c r="R441" s="59" t="str">
        <x:f>IF($Q441="","",IF($O441=3,"Cravada",IF(AND($H441="Sim",$L441=$M441,$I441=$J441,$O441=2),"Empate cravado",IF($O441=1,"Resultado certo",IF($O441=-2,"Invertida",IF($P441=1,"Acertou quem passa","Erro"))))))</x:f>
      </x:c>
      <x:c r="S441" s="59" t="str">
        <x:f>IF($O441="","",--(OR($O441=3,AND($H441="Sim",$L441=$M441,$I441=$J441,$O441=2))))</x:f>
      </x:c>
      <x:c r="T441" s="59" t="str">
        <x:f>IF($O441="","",--($O441=-2))</x:f>
      </x:c>
      <x:c r="U441" s="59" t="str">
        <x:f>IF($O441="","",--($O441=1))</x:f>
      </x:c>
      <x:c r="V441" s="59" t="n">
        <x:f>--(AND($I441&lt;&gt;"",$J441&lt;&gt;""))</x:f>
        <x:v>0</x:v>
      </x:c>
    </x:row>
    <x:row r="442">
      <x:c r="A442" s="21" t="str">
        <x:f>INDEX(Config!$B$10:$B$16,INT((ROW()-5)/104)+1)</x:f>
        <x:v>Otávio</x:v>
      </x:c>
      <x:c r="B442" s="21" t="str">
        <x:v>GD4</x:v>
      </x:c>
      <x:c r="C442" s="21" t="n">
        <x:v>22</x:v>
      </x:c>
      <x:c r="D442" s="21" t="str">
        <x:v>Grupo D</x:v>
      </x:c>
      <x:c r="E442" s="21" t="str">
        <x:v>2026-06-20</x:v>
      </x:c>
      <x:c r="F442" s="21" t="str">
        <x:f>IFERROR(INDEX('Resultados'!$G$5:$G$108,MATCH($B442,'Resultados'!$A$5:$A$108,0)),"")</x:f>
        <x:v>Paraguai</x:v>
      </x:c>
      <x:c r="G442" s="21" t="str">
        <x:f>IFERROR(INDEX('Resultados'!$J$5:$J$108,MATCH($B442,'Resultados'!$A$5:$A$108,0)),"")</x:f>
        <x:v>Turquia</x:v>
      </x:c>
      <x:c r="H442" s="21" t="str">
        <x:v>Não</x:v>
      </x:c>
      <x:c r="I442" s="22"/>
      <x:c r="J442" s="22"/>
      <x:c r="K442" s="23"/>
      <x:c r="L442" s="21" t="str">
        <x:f>IFERROR(INDEX('Resultados'!$H$5:$H$108,MATCH($B442,'Resultados'!$A$5:$A$108,0)),"")</x:f>
      </x:c>
      <x:c r="M442" s="21" t="str">
        <x:f>IFERROR(INDEX('Resultados'!$I$5:$I$108,MATCH($B442,'Resultados'!$A$5:$A$108,0)),"")</x:f>
      </x:c>
      <x:c r="N442" s="21" t="str">
        <x:f>IFERROR(INDEX('Resultados'!$L$5:$L$108,MATCH($B442,'Resultados'!$A$5:$A$108,0)),"")</x:f>
      </x:c>
      <x:c r="O442" s="59" t="str">
        <x:f>IF(OR($I442="",$J442="",$L442="",$M442=""),"",IF(AND($H442="Sim",$L442=$M442),IF($I442&lt;&gt;$J442,0,IF(AND($I442=$L442,$J442=$M442),2,1)),IF(AND($I442=$L442,$J442=$M442),3,IF(AND($I442&lt;&gt;$J442,$I442=$M442,$J442=$L442),-2,IF(SIGN($I442-$J442)=SIGN($L442-$M442),1,0)))))</x:f>
      </x:c>
      <x:c r="P442" s="59" t="str">
        <x:f>IF(OR($H442&lt;&gt;"Sim",$I442="",$J442="",$L442="",$M442=""),"",IF(AND(IF($I442&gt;$J442,$F442,IF($I442&lt;$J442,$G442,$K442))&lt;&gt;"",IF($L442&gt;$M442,$F442,IF($L442&lt;$M442,$G442,$N442))&lt;&gt;"",IF($I442&gt;$J442,$F442,IF($I442&lt;$J442,$G442,$K442))=IF($L442&gt;$M442,$F442,IF($L442&lt;$M442,$G442,$N442))),1,0))</x:f>
      </x:c>
      <x:c r="Q442" s="59" t="str">
        <x:f>IF($O442="","",$O442+$P442)</x:f>
      </x:c>
      <x:c r="R442" s="59" t="str">
        <x:f>IF($Q442="","",IF($O442=3,"Cravada",IF(AND($H442="Sim",$L442=$M442,$I442=$J442,$O442=2),"Empate cravado",IF($O442=1,"Resultado certo",IF($O442=-2,"Invertida",IF($P442=1,"Acertou quem passa","Erro"))))))</x:f>
      </x:c>
      <x:c r="S442" s="59" t="str">
        <x:f>IF($O442="","",--(OR($O442=3,AND($H442="Sim",$L442=$M442,$I442=$J442,$O442=2))))</x:f>
      </x:c>
      <x:c r="T442" s="59" t="str">
        <x:f>IF($O442="","",--($O442=-2))</x:f>
      </x:c>
      <x:c r="U442" s="59" t="str">
        <x:f>IF($O442="","",--($O442=1))</x:f>
      </x:c>
      <x:c r="V442" s="59" t="n">
        <x:f>--(AND($I442&lt;&gt;"",$J442&lt;&gt;""))</x:f>
        <x:v>0</x:v>
      </x:c>
    </x:row>
    <x:row r="443">
      <x:c r="A443" s="21" t="str">
        <x:f>INDEX(Config!$B$10:$B$16,INT((ROW()-5)/104)+1)</x:f>
        <x:v>Otávio</x:v>
      </x:c>
      <x:c r="B443" s="21" t="str">
        <x:v>GD5</x:v>
      </x:c>
      <x:c r="C443" s="21" t="n">
        <x:v>23</x:v>
      </x:c>
      <x:c r="D443" s="21" t="str">
        <x:v>Grupo D</x:v>
      </x:c>
      <x:c r="E443" s="21" t="str">
        <x:v>2026-06-25</x:v>
      </x:c>
      <x:c r="F443" s="21" t="str">
        <x:f>IFERROR(INDEX('Resultados'!$G$5:$G$108,MATCH($B443,'Resultados'!$A$5:$A$108,0)),"")</x:f>
        <x:v>EUA</x:v>
      </x:c>
      <x:c r="G443" s="21" t="str">
        <x:f>IFERROR(INDEX('Resultados'!$J$5:$J$108,MATCH($B443,'Resultados'!$A$5:$A$108,0)),"")</x:f>
        <x:v>Turquia</x:v>
      </x:c>
      <x:c r="H443" s="21" t="str">
        <x:v>Não</x:v>
      </x:c>
      <x:c r="I443" s="22"/>
      <x:c r="J443" s="22"/>
      <x:c r="K443" s="23"/>
      <x:c r="L443" s="21" t="str">
        <x:f>IFERROR(INDEX('Resultados'!$H$5:$H$108,MATCH($B443,'Resultados'!$A$5:$A$108,0)),"")</x:f>
      </x:c>
      <x:c r="M443" s="21" t="str">
        <x:f>IFERROR(INDEX('Resultados'!$I$5:$I$108,MATCH($B443,'Resultados'!$A$5:$A$108,0)),"")</x:f>
      </x:c>
      <x:c r="N443" s="21" t="str">
        <x:f>IFERROR(INDEX('Resultados'!$L$5:$L$108,MATCH($B443,'Resultados'!$A$5:$A$108,0)),"")</x:f>
      </x:c>
      <x:c r="O443" s="59" t="str">
        <x:f>IF(OR($I443="",$J443="",$L443="",$M443=""),"",IF(AND($H443="Sim",$L443=$M443),IF($I443&lt;&gt;$J443,0,IF(AND($I443=$L443,$J443=$M443),2,1)),IF(AND($I443=$L443,$J443=$M443),3,IF(AND($I443&lt;&gt;$J443,$I443=$M443,$J443=$L443),-2,IF(SIGN($I443-$J443)=SIGN($L443-$M443),1,0)))))</x:f>
      </x:c>
      <x:c r="P443" s="59" t="str">
        <x:f>IF(OR($H443&lt;&gt;"Sim",$I443="",$J443="",$L443="",$M443=""),"",IF(AND(IF($I443&gt;$J443,$F443,IF($I443&lt;$J443,$G443,$K443))&lt;&gt;"",IF($L443&gt;$M443,$F443,IF($L443&lt;$M443,$G443,$N443))&lt;&gt;"",IF($I443&gt;$J443,$F443,IF($I443&lt;$J443,$G443,$K443))=IF($L443&gt;$M443,$F443,IF($L443&lt;$M443,$G443,$N443))),1,0))</x:f>
      </x:c>
      <x:c r="Q443" s="59" t="str">
        <x:f>IF($O443="","",$O443+$P443)</x:f>
      </x:c>
      <x:c r="R443" s="59" t="str">
        <x:f>IF($Q443="","",IF($O443=3,"Cravada",IF(AND($H443="Sim",$L443=$M443,$I443=$J443,$O443=2),"Empate cravado",IF($O443=1,"Resultado certo",IF($O443=-2,"Invertida",IF($P443=1,"Acertou quem passa","Erro"))))))</x:f>
      </x:c>
      <x:c r="S443" s="59" t="str">
        <x:f>IF($O443="","",--(OR($O443=3,AND($H443="Sim",$L443=$M443,$I443=$J443,$O443=2))))</x:f>
      </x:c>
      <x:c r="T443" s="59" t="str">
        <x:f>IF($O443="","",--($O443=-2))</x:f>
      </x:c>
      <x:c r="U443" s="59" t="str">
        <x:f>IF($O443="","",--($O443=1))</x:f>
      </x:c>
      <x:c r="V443" s="59" t="n">
        <x:f>--(AND($I443&lt;&gt;"",$J443&lt;&gt;""))</x:f>
        <x:v>0</x:v>
      </x:c>
    </x:row>
    <x:row r="444">
      <x:c r="A444" s="21" t="str">
        <x:f>INDEX(Config!$B$10:$B$16,INT((ROW()-5)/104)+1)</x:f>
        <x:v>Otávio</x:v>
      </x:c>
      <x:c r="B444" s="21" t="str">
        <x:v>GD6</x:v>
      </x:c>
      <x:c r="C444" s="21" t="n">
        <x:v>24</x:v>
      </x:c>
      <x:c r="D444" s="21" t="str">
        <x:v>Grupo D</x:v>
      </x:c>
      <x:c r="E444" s="21" t="str">
        <x:v>2026-06-25</x:v>
      </x:c>
      <x:c r="F444" s="21" t="str">
        <x:f>IFERROR(INDEX('Resultados'!$G$5:$G$108,MATCH($B444,'Resultados'!$A$5:$A$108,0)),"")</x:f>
        <x:v>Paraguai</x:v>
      </x:c>
      <x:c r="G444" s="21" t="str">
        <x:f>IFERROR(INDEX('Resultados'!$J$5:$J$108,MATCH($B444,'Resultados'!$A$5:$A$108,0)),"")</x:f>
        <x:v>Austrália</x:v>
      </x:c>
      <x:c r="H444" s="21" t="str">
        <x:v>Não</x:v>
      </x:c>
      <x:c r="I444" s="22"/>
      <x:c r="J444" s="22"/>
      <x:c r="K444" s="23"/>
      <x:c r="L444" s="21" t="str">
        <x:f>IFERROR(INDEX('Resultados'!$H$5:$H$108,MATCH($B444,'Resultados'!$A$5:$A$108,0)),"")</x:f>
      </x:c>
      <x:c r="M444" s="21" t="str">
        <x:f>IFERROR(INDEX('Resultados'!$I$5:$I$108,MATCH($B444,'Resultados'!$A$5:$A$108,0)),"")</x:f>
      </x:c>
      <x:c r="N444" s="21" t="str">
        <x:f>IFERROR(INDEX('Resultados'!$L$5:$L$108,MATCH($B444,'Resultados'!$A$5:$A$108,0)),"")</x:f>
      </x:c>
      <x:c r="O444" s="59" t="str">
        <x:f>IF(OR($I444="",$J444="",$L444="",$M444=""),"",IF(AND($H444="Sim",$L444=$M444),IF($I444&lt;&gt;$J444,0,IF(AND($I444=$L444,$J444=$M444),2,1)),IF(AND($I444=$L444,$J444=$M444),3,IF(AND($I444&lt;&gt;$J444,$I444=$M444,$J444=$L444),-2,IF(SIGN($I444-$J444)=SIGN($L444-$M444),1,0)))))</x:f>
      </x:c>
      <x:c r="P444" s="59" t="str">
        <x:f>IF(OR($H444&lt;&gt;"Sim",$I444="",$J444="",$L444="",$M444=""),"",IF(AND(IF($I444&gt;$J444,$F444,IF($I444&lt;$J444,$G444,$K444))&lt;&gt;"",IF($L444&gt;$M444,$F444,IF($L444&lt;$M444,$G444,$N444))&lt;&gt;"",IF($I444&gt;$J444,$F444,IF($I444&lt;$J444,$G444,$K444))=IF($L444&gt;$M444,$F444,IF($L444&lt;$M444,$G444,$N444))),1,0))</x:f>
      </x:c>
      <x:c r="Q444" s="59" t="str">
        <x:f>IF($O444="","",$O444+$P444)</x:f>
      </x:c>
      <x:c r="R444" s="59" t="str">
        <x:f>IF($Q444="","",IF($O444=3,"Cravada",IF(AND($H444="Sim",$L444=$M444,$I444=$J444,$O444=2),"Empate cravado",IF($O444=1,"Resultado certo",IF($O444=-2,"Invertida",IF($P444=1,"Acertou quem passa","Erro"))))))</x:f>
      </x:c>
      <x:c r="S444" s="59" t="str">
        <x:f>IF($O444="","",--(OR($O444=3,AND($H444="Sim",$L444=$M444,$I444=$J444,$O444=2))))</x:f>
      </x:c>
      <x:c r="T444" s="59" t="str">
        <x:f>IF($O444="","",--($O444=-2))</x:f>
      </x:c>
      <x:c r="U444" s="59" t="str">
        <x:f>IF($O444="","",--($O444=1))</x:f>
      </x:c>
      <x:c r="V444" s="59" t="n">
        <x:f>--(AND($I444&lt;&gt;"",$J444&lt;&gt;""))</x:f>
        <x:v>0</x:v>
      </x:c>
    </x:row>
    <x:row r="445">
      <x:c r="A445" s="21" t="str">
        <x:f>INDEX(Config!$B$10:$B$16,INT((ROW()-5)/104)+1)</x:f>
        <x:v>Otávio</x:v>
      </x:c>
      <x:c r="B445" s="21" t="str">
        <x:v>GE1</x:v>
      </x:c>
      <x:c r="C445" s="21" t="n">
        <x:v>25</x:v>
      </x:c>
      <x:c r="D445" s="21" t="str">
        <x:v>Grupo E</x:v>
      </x:c>
      <x:c r="E445" s="21" t="str">
        <x:v>2026-06-14</x:v>
      </x:c>
      <x:c r="F445" s="21" t="str">
        <x:f>IFERROR(INDEX('Resultados'!$G$5:$G$108,MATCH($B445,'Resultados'!$A$5:$A$108,0)),"")</x:f>
        <x:v>Alemanha</x:v>
      </x:c>
      <x:c r="G445" s="21" t="str">
        <x:f>IFERROR(INDEX('Resultados'!$J$5:$J$108,MATCH($B445,'Resultados'!$A$5:$A$108,0)),"")</x:f>
        <x:v>Curaçau</x:v>
      </x:c>
      <x:c r="H445" s="21" t="str">
        <x:v>Não</x:v>
      </x:c>
      <x:c r="I445" s="22"/>
      <x:c r="J445" s="22"/>
      <x:c r="K445" s="23"/>
      <x:c r="L445" s="21" t="str">
        <x:f>IFERROR(INDEX('Resultados'!$H$5:$H$108,MATCH($B445,'Resultados'!$A$5:$A$108,0)),"")</x:f>
      </x:c>
      <x:c r="M445" s="21" t="str">
        <x:f>IFERROR(INDEX('Resultados'!$I$5:$I$108,MATCH($B445,'Resultados'!$A$5:$A$108,0)),"")</x:f>
      </x:c>
      <x:c r="N445" s="21" t="str">
        <x:f>IFERROR(INDEX('Resultados'!$L$5:$L$108,MATCH($B445,'Resultados'!$A$5:$A$108,0)),"")</x:f>
      </x:c>
      <x:c r="O445" s="59" t="str">
        <x:f>IF(OR($I445="",$J445="",$L445="",$M445=""),"",IF(AND($H445="Sim",$L445=$M445),IF($I445&lt;&gt;$J445,0,IF(AND($I445=$L445,$J445=$M445),2,1)),IF(AND($I445=$L445,$J445=$M445),3,IF(AND($I445&lt;&gt;$J445,$I445=$M445,$J445=$L445),-2,IF(SIGN($I445-$J445)=SIGN($L445-$M445),1,0)))))</x:f>
      </x:c>
      <x:c r="P445" s="59" t="str">
        <x:f>IF(OR($H445&lt;&gt;"Sim",$I445="",$J445="",$L445="",$M445=""),"",IF(AND(IF($I445&gt;$J445,$F445,IF($I445&lt;$J445,$G445,$K445))&lt;&gt;"",IF($L445&gt;$M445,$F445,IF($L445&lt;$M445,$G445,$N445))&lt;&gt;"",IF($I445&gt;$J445,$F445,IF($I445&lt;$J445,$G445,$K445))=IF($L445&gt;$M445,$F445,IF($L445&lt;$M445,$G445,$N445))),1,0))</x:f>
      </x:c>
      <x:c r="Q445" s="59" t="str">
        <x:f>IF($O445="","",$O445+$P445)</x:f>
      </x:c>
      <x:c r="R445" s="59" t="str">
        <x:f>IF($Q445="","",IF($O445=3,"Cravada",IF(AND($H445="Sim",$L445=$M445,$I445=$J445,$O445=2),"Empate cravado",IF($O445=1,"Resultado certo",IF($O445=-2,"Invertida",IF($P445=1,"Acertou quem passa","Erro"))))))</x:f>
      </x:c>
      <x:c r="S445" s="59" t="str">
        <x:f>IF($O445="","",--(OR($O445=3,AND($H445="Sim",$L445=$M445,$I445=$J445,$O445=2))))</x:f>
      </x:c>
      <x:c r="T445" s="59" t="str">
        <x:f>IF($O445="","",--($O445=-2))</x:f>
      </x:c>
      <x:c r="U445" s="59" t="str">
        <x:f>IF($O445="","",--($O445=1))</x:f>
      </x:c>
      <x:c r="V445" s="59" t="n">
        <x:f>--(AND($I445&lt;&gt;"",$J445&lt;&gt;""))</x:f>
        <x:v>0</x:v>
      </x:c>
    </x:row>
    <x:row r="446">
      <x:c r="A446" s="21" t="str">
        <x:f>INDEX(Config!$B$10:$B$16,INT((ROW()-5)/104)+1)</x:f>
        <x:v>Otávio</x:v>
      </x:c>
      <x:c r="B446" s="21" t="str">
        <x:v>GE2</x:v>
      </x:c>
      <x:c r="C446" s="21" t="n">
        <x:v>26</x:v>
      </x:c>
      <x:c r="D446" s="21" t="str">
        <x:v>Grupo E</x:v>
      </x:c>
      <x:c r="E446" s="21" t="str">
        <x:v>2026-06-14</x:v>
      </x:c>
      <x:c r="F446" s="21" t="str">
        <x:f>IFERROR(INDEX('Resultados'!$G$5:$G$108,MATCH($B446,'Resultados'!$A$5:$A$108,0)),"")</x:f>
        <x:v>Costa do Marfim</x:v>
      </x:c>
      <x:c r="G446" s="21" t="str">
        <x:f>IFERROR(INDEX('Resultados'!$J$5:$J$108,MATCH($B446,'Resultados'!$A$5:$A$108,0)),"")</x:f>
        <x:v>Equador</x:v>
      </x:c>
      <x:c r="H446" s="21" t="str">
        <x:v>Não</x:v>
      </x:c>
      <x:c r="I446" s="22"/>
      <x:c r="J446" s="22"/>
      <x:c r="K446" s="23"/>
      <x:c r="L446" s="21" t="str">
        <x:f>IFERROR(INDEX('Resultados'!$H$5:$H$108,MATCH($B446,'Resultados'!$A$5:$A$108,0)),"")</x:f>
      </x:c>
      <x:c r="M446" s="21" t="str">
        <x:f>IFERROR(INDEX('Resultados'!$I$5:$I$108,MATCH($B446,'Resultados'!$A$5:$A$108,0)),"")</x:f>
      </x:c>
      <x:c r="N446" s="21" t="str">
        <x:f>IFERROR(INDEX('Resultados'!$L$5:$L$108,MATCH($B446,'Resultados'!$A$5:$A$108,0)),"")</x:f>
      </x:c>
      <x:c r="O446" s="59" t="str">
        <x:f>IF(OR($I446="",$J446="",$L446="",$M446=""),"",IF(AND($H446="Sim",$L446=$M446),IF($I446&lt;&gt;$J446,0,IF(AND($I446=$L446,$J446=$M446),2,1)),IF(AND($I446=$L446,$J446=$M446),3,IF(AND($I446&lt;&gt;$J446,$I446=$M446,$J446=$L446),-2,IF(SIGN($I446-$J446)=SIGN($L446-$M446),1,0)))))</x:f>
      </x:c>
      <x:c r="P446" s="59" t="str">
        <x:f>IF(OR($H446&lt;&gt;"Sim",$I446="",$J446="",$L446="",$M446=""),"",IF(AND(IF($I446&gt;$J446,$F446,IF($I446&lt;$J446,$G446,$K446))&lt;&gt;"",IF($L446&gt;$M446,$F446,IF($L446&lt;$M446,$G446,$N446))&lt;&gt;"",IF($I446&gt;$J446,$F446,IF($I446&lt;$J446,$G446,$K446))=IF($L446&gt;$M446,$F446,IF($L446&lt;$M446,$G446,$N446))),1,0))</x:f>
      </x:c>
      <x:c r="Q446" s="59" t="str">
        <x:f>IF($O446="","",$O446+$P446)</x:f>
      </x:c>
      <x:c r="R446" s="59" t="str">
        <x:f>IF($Q446="","",IF($O446=3,"Cravada",IF(AND($H446="Sim",$L446=$M446,$I446=$J446,$O446=2),"Empate cravado",IF($O446=1,"Resultado certo",IF($O446=-2,"Invertida",IF($P446=1,"Acertou quem passa","Erro"))))))</x:f>
      </x:c>
      <x:c r="S446" s="59" t="str">
        <x:f>IF($O446="","",--(OR($O446=3,AND($H446="Sim",$L446=$M446,$I446=$J446,$O446=2))))</x:f>
      </x:c>
      <x:c r="T446" s="59" t="str">
        <x:f>IF($O446="","",--($O446=-2))</x:f>
      </x:c>
      <x:c r="U446" s="59" t="str">
        <x:f>IF($O446="","",--($O446=1))</x:f>
      </x:c>
      <x:c r="V446" s="59" t="n">
        <x:f>--(AND($I446&lt;&gt;"",$J446&lt;&gt;""))</x:f>
        <x:v>0</x:v>
      </x:c>
    </x:row>
    <x:row r="447">
      <x:c r="A447" s="21" t="str">
        <x:f>INDEX(Config!$B$10:$B$16,INT((ROW()-5)/104)+1)</x:f>
        <x:v>Otávio</x:v>
      </x:c>
      <x:c r="B447" s="21" t="str">
        <x:v>GE3</x:v>
      </x:c>
      <x:c r="C447" s="21" t="n">
        <x:v>27</x:v>
      </x:c>
      <x:c r="D447" s="21" t="str">
        <x:v>Grupo E</x:v>
      </x:c>
      <x:c r="E447" s="21" t="str">
        <x:v>2026-06-20</x:v>
      </x:c>
      <x:c r="F447" s="21" t="str">
        <x:f>IFERROR(INDEX('Resultados'!$G$5:$G$108,MATCH($B447,'Resultados'!$A$5:$A$108,0)),"")</x:f>
        <x:v>Alemanha</x:v>
      </x:c>
      <x:c r="G447" s="21" t="str">
        <x:f>IFERROR(INDEX('Resultados'!$J$5:$J$108,MATCH($B447,'Resultados'!$A$5:$A$108,0)),"")</x:f>
        <x:v>Costa do Marfim</x:v>
      </x:c>
      <x:c r="H447" s="21" t="str">
        <x:v>Não</x:v>
      </x:c>
      <x:c r="I447" s="22"/>
      <x:c r="J447" s="22"/>
      <x:c r="K447" s="23"/>
      <x:c r="L447" s="21" t="str">
        <x:f>IFERROR(INDEX('Resultados'!$H$5:$H$108,MATCH($B447,'Resultados'!$A$5:$A$108,0)),"")</x:f>
      </x:c>
      <x:c r="M447" s="21" t="str">
        <x:f>IFERROR(INDEX('Resultados'!$I$5:$I$108,MATCH($B447,'Resultados'!$A$5:$A$108,0)),"")</x:f>
      </x:c>
      <x:c r="N447" s="21" t="str">
        <x:f>IFERROR(INDEX('Resultados'!$L$5:$L$108,MATCH($B447,'Resultados'!$A$5:$A$108,0)),"")</x:f>
      </x:c>
      <x:c r="O447" s="59" t="str">
        <x:f>IF(OR($I447="",$J447="",$L447="",$M447=""),"",IF(AND($H447="Sim",$L447=$M447),IF($I447&lt;&gt;$J447,0,IF(AND($I447=$L447,$J447=$M447),2,1)),IF(AND($I447=$L447,$J447=$M447),3,IF(AND($I447&lt;&gt;$J447,$I447=$M447,$J447=$L447),-2,IF(SIGN($I447-$J447)=SIGN($L447-$M447),1,0)))))</x:f>
      </x:c>
      <x:c r="P447" s="59" t="str">
        <x:f>IF(OR($H447&lt;&gt;"Sim",$I447="",$J447="",$L447="",$M447=""),"",IF(AND(IF($I447&gt;$J447,$F447,IF($I447&lt;$J447,$G447,$K447))&lt;&gt;"",IF($L447&gt;$M447,$F447,IF($L447&lt;$M447,$G447,$N447))&lt;&gt;"",IF($I447&gt;$J447,$F447,IF($I447&lt;$J447,$G447,$K447))=IF($L447&gt;$M447,$F447,IF($L447&lt;$M447,$G447,$N447))),1,0))</x:f>
      </x:c>
      <x:c r="Q447" s="59" t="str">
        <x:f>IF($O447="","",$O447+$P447)</x:f>
      </x:c>
      <x:c r="R447" s="59" t="str">
        <x:f>IF($Q447="","",IF($O447=3,"Cravada",IF(AND($H447="Sim",$L447=$M447,$I447=$J447,$O447=2),"Empate cravado",IF($O447=1,"Resultado certo",IF($O447=-2,"Invertida",IF($P447=1,"Acertou quem passa","Erro"))))))</x:f>
      </x:c>
      <x:c r="S447" s="59" t="str">
        <x:f>IF($O447="","",--(OR($O447=3,AND($H447="Sim",$L447=$M447,$I447=$J447,$O447=2))))</x:f>
      </x:c>
      <x:c r="T447" s="59" t="str">
        <x:f>IF($O447="","",--($O447=-2))</x:f>
      </x:c>
      <x:c r="U447" s="59" t="str">
        <x:f>IF($O447="","",--($O447=1))</x:f>
      </x:c>
      <x:c r="V447" s="59" t="n">
        <x:f>--(AND($I447&lt;&gt;"",$J447&lt;&gt;""))</x:f>
        <x:v>0</x:v>
      </x:c>
    </x:row>
    <x:row r="448">
      <x:c r="A448" s="21" t="str">
        <x:f>INDEX(Config!$B$10:$B$16,INT((ROW()-5)/104)+1)</x:f>
        <x:v>Otávio</x:v>
      </x:c>
      <x:c r="B448" s="21" t="str">
        <x:v>GE4</x:v>
      </x:c>
      <x:c r="C448" s="21" t="n">
        <x:v>28</x:v>
      </x:c>
      <x:c r="D448" s="21" t="str">
        <x:v>Grupo E</x:v>
      </x:c>
      <x:c r="E448" s="21" t="str">
        <x:v>2026-06-20</x:v>
      </x:c>
      <x:c r="F448" s="21" t="str">
        <x:f>IFERROR(INDEX('Resultados'!$G$5:$G$108,MATCH($B448,'Resultados'!$A$5:$A$108,0)),"")</x:f>
        <x:v>Curaçau</x:v>
      </x:c>
      <x:c r="G448" s="21" t="str">
        <x:f>IFERROR(INDEX('Resultados'!$J$5:$J$108,MATCH($B448,'Resultados'!$A$5:$A$108,0)),"")</x:f>
        <x:v>Equador</x:v>
      </x:c>
      <x:c r="H448" s="21" t="str">
        <x:v>Não</x:v>
      </x:c>
      <x:c r="I448" s="22"/>
      <x:c r="J448" s="22"/>
      <x:c r="K448" s="23"/>
      <x:c r="L448" s="21" t="str">
        <x:f>IFERROR(INDEX('Resultados'!$H$5:$H$108,MATCH($B448,'Resultados'!$A$5:$A$108,0)),"")</x:f>
      </x:c>
      <x:c r="M448" s="21" t="str">
        <x:f>IFERROR(INDEX('Resultados'!$I$5:$I$108,MATCH($B448,'Resultados'!$A$5:$A$108,0)),"")</x:f>
      </x:c>
      <x:c r="N448" s="21" t="str">
        <x:f>IFERROR(INDEX('Resultados'!$L$5:$L$108,MATCH($B448,'Resultados'!$A$5:$A$108,0)),"")</x:f>
      </x:c>
      <x:c r="O448" s="59" t="str">
        <x:f>IF(OR($I448="",$J448="",$L448="",$M448=""),"",IF(AND($H448="Sim",$L448=$M448),IF($I448&lt;&gt;$J448,0,IF(AND($I448=$L448,$J448=$M448),2,1)),IF(AND($I448=$L448,$J448=$M448),3,IF(AND($I448&lt;&gt;$J448,$I448=$M448,$J448=$L448),-2,IF(SIGN($I448-$J448)=SIGN($L448-$M448),1,0)))))</x:f>
      </x:c>
      <x:c r="P448" s="59" t="str">
        <x:f>IF(OR($H448&lt;&gt;"Sim",$I448="",$J448="",$L448="",$M448=""),"",IF(AND(IF($I448&gt;$J448,$F448,IF($I448&lt;$J448,$G448,$K448))&lt;&gt;"",IF($L448&gt;$M448,$F448,IF($L448&lt;$M448,$G448,$N448))&lt;&gt;"",IF($I448&gt;$J448,$F448,IF($I448&lt;$J448,$G448,$K448))=IF($L448&gt;$M448,$F448,IF($L448&lt;$M448,$G448,$N448))),1,0))</x:f>
      </x:c>
      <x:c r="Q448" s="59" t="str">
        <x:f>IF($O448="","",$O448+$P448)</x:f>
      </x:c>
      <x:c r="R448" s="59" t="str">
        <x:f>IF($Q448="","",IF($O448=3,"Cravada",IF(AND($H448="Sim",$L448=$M448,$I448=$J448,$O448=2),"Empate cravado",IF($O448=1,"Resultado certo",IF($O448=-2,"Invertida",IF($P448=1,"Acertou quem passa","Erro"))))))</x:f>
      </x:c>
      <x:c r="S448" s="59" t="str">
        <x:f>IF($O448="","",--(OR($O448=3,AND($H448="Sim",$L448=$M448,$I448=$J448,$O448=2))))</x:f>
      </x:c>
      <x:c r="T448" s="59" t="str">
        <x:f>IF($O448="","",--($O448=-2))</x:f>
      </x:c>
      <x:c r="U448" s="59" t="str">
        <x:f>IF($O448="","",--($O448=1))</x:f>
      </x:c>
      <x:c r="V448" s="59" t="n">
        <x:f>--(AND($I448&lt;&gt;"",$J448&lt;&gt;""))</x:f>
        <x:v>0</x:v>
      </x:c>
    </x:row>
    <x:row r="449">
      <x:c r="A449" s="21" t="str">
        <x:f>INDEX(Config!$B$10:$B$16,INT((ROW()-5)/104)+1)</x:f>
        <x:v>Otávio</x:v>
      </x:c>
      <x:c r="B449" s="21" t="str">
        <x:v>GE5</x:v>
      </x:c>
      <x:c r="C449" s="21" t="n">
        <x:v>29</x:v>
      </x:c>
      <x:c r="D449" s="21" t="str">
        <x:v>Grupo E</x:v>
      </x:c>
      <x:c r="E449" s="21" t="str">
        <x:v>2026-06-25</x:v>
      </x:c>
      <x:c r="F449" s="21" t="str">
        <x:f>IFERROR(INDEX('Resultados'!$G$5:$G$108,MATCH($B449,'Resultados'!$A$5:$A$108,0)),"")</x:f>
        <x:v>Alemanha</x:v>
      </x:c>
      <x:c r="G449" s="21" t="str">
        <x:f>IFERROR(INDEX('Resultados'!$J$5:$J$108,MATCH($B449,'Resultados'!$A$5:$A$108,0)),"")</x:f>
        <x:v>Equador</x:v>
      </x:c>
      <x:c r="H449" s="21" t="str">
        <x:v>Não</x:v>
      </x:c>
      <x:c r="I449" s="22"/>
      <x:c r="J449" s="22"/>
      <x:c r="K449" s="23"/>
      <x:c r="L449" s="21" t="str">
        <x:f>IFERROR(INDEX('Resultados'!$H$5:$H$108,MATCH($B449,'Resultados'!$A$5:$A$108,0)),"")</x:f>
      </x:c>
      <x:c r="M449" s="21" t="str">
        <x:f>IFERROR(INDEX('Resultados'!$I$5:$I$108,MATCH($B449,'Resultados'!$A$5:$A$108,0)),"")</x:f>
      </x:c>
      <x:c r="N449" s="21" t="str">
        <x:f>IFERROR(INDEX('Resultados'!$L$5:$L$108,MATCH($B449,'Resultados'!$A$5:$A$108,0)),"")</x:f>
      </x:c>
      <x:c r="O449" s="59" t="str">
        <x:f>IF(OR($I449="",$J449="",$L449="",$M449=""),"",IF(AND($H449="Sim",$L449=$M449),IF($I449&lt;&gt;$J449,0,IF(AND($I449=$L449,$J449=$M449),2,1)),IF(AND($I449=$L449,$J449=$M449),3,IF(AND($I449&lt;&gt;$J449,$I449=$M449,$J449=$L449),-2,IF(SIGN($I449-$J449)=SIGN($L449-$M449),1,0)))))</x:f>
      </x:c>
      <x:c r="P449" s="59" t="str">
        <x:f>IF(OR($H449&lt;&gt;"Sim",$I449="",$J449="",$L449="",$M449=""),"",IF(AND(IF($I449&gt;$J449,$F449,IF($I449&lt;$J449,$G449,$K449))&lt;&gt;"",IF($L449&gt;$M449,$F449,IF($L449&lt;$M449,$G449,$N449))&lt;&gt;"",IF($I449&gt;$J449,$F449,IF($I449&lt;$J449,$G449,$K449))=IF($L449&gt;$M449,$F449,IF($L449&lt;$M449,$G449,$N449))),1,0))</x:f>
      </x:c>
      <x:c r="Q449" s="59" t="str">
        <x:f>IF($O449="","",$O449+$P449)</x:f>
      </x:c>
      <x:c r="R449" s="59" t="str">
        <x:f>IF($Q449="","",IF($O449=3,"Cravada",IF(AND($H449="Sim",$L449=$M449,$I449=$J449,$O449=2),"Empate cravado",IF($O449=1,"Resultado certo",IF($O449=-2,"Invertida",IF($P449=1,"Acertou quem passa","Erro"))))))</x:f>
      </x:c>
      <x:c r="S449" s="59" t="str">
        <x:f>IF($O449="","",--(OR($O449=3,AND($H449="Sim",$L449=$M449,$I449=$J449,$O449=2))))</x:f>
      </x:c>
      <x:c r="T449" s="59" t="str">
        <x:f>IF($O449="","",--($O449=-2))</x:f>
      </x:c>
      <x:c r="U449" s="59" t="str">
        <x:f>IF($O449="","",--($O449=1))</x:f>
      </x:c>
      <x:c r="V449" s="59" t="n">
        <x:f>--(AND($I449&lt;&gt;"",$J449&lt;&gt;""))</x:f>
        <x:v>0</x:v>
      </x:c>
    </x:row>
    <x:row r="450">
      <x:c r="A450" s="21" t="str">
        <x:f>INDEX(Config!$B$10:$B$16,INT((ROW()-5)/104)+1)</x:f>
        <x:v>Otávio</x:v>
      </x:c>
      <x:c r="B450" s="21" t="str">
        <x:v>GE6</x:v>
      </x:c>
      <x:c r="C450" s="21" t="n">
        <x:v>30</x:v>
      </x:c>
      <x:c r="D450" s="21" t="str">
        <x:v>Grupo E</x:v>
      </x:c>
      <x:c r="E450" s="21" t="str">
        <x:v>2026-06-25</x:v>
      </x:c>
      <x:c r="F450" s="21" t="str">
        <x:f>IFERROR(INDEX('Resultados'!$G$5:$G$108,MATCH($B450,'Resultados'!$A$5:$A$108,0)),"")</x:f>
        <x:v>Curaçau</x:v>
      </x:c>
      <x:c r="G450" s="21" t="str">
        <x:f>IFERROR(INDEX('Resultados'!$J$5:$J$108,MATCH($B450,'Resultados'!$A$5:$A$108,0)),"")</x:f>
        <x:v>Costa do Marfim</x:v>
      </x:c>
      <x:c r="H450" s="21" t="str">
        <x:v>Não</x:v>
      </x:c>
      <x:c r="I450" s="22"/>
      <x:c r="J450" s="22"/>
      <x:c r="K450" s="23"/>
      <x:c r="L450" s="21" t="str">
        <x:f>IFERROR(INDEX('Resultados'!$H$5:$H$108,MATCH($B450,'Resultados'!$A$5:$A$108,0)),"")</x:f>
      </x:c>
      <x:c r="M450" s="21" t="str">
        <x:f>IFERROR(INDEX('Resultados'!$I$5:$I$108,MATCH($B450,'Resultados'!$A$5:$A$108,0)),"")</x:f>
      </x:c>
      <x:c r="N450" s="21" t="str">
        <x:f>IFERROR(INDEX('Resultados'!$L$5:$L$108,MATCH($B450,'Resultados'!$A$5:$A$108,0)),"")</x:f>
      </x:c>
      <x:c r="O450" s="59" t="str">
        <x:f>IF(OR($I450="",$J450="",$L450="",$M450=""),"",IF(AND($H450="Sim",$L450=$M450),IF($I450&lt;&gt;$J450,0,IF(AND($I450=$L450,$J450=$M450),2,1)),IF(AND($I450=$L450,$J450=$M450),3,IF(AND($I450&lt;&gt;$J450,$I450=$M450,$J450=$L450),-2,IF(SIGN($I450-$J450)=SIGN($L450-$M450),1,0)))))</x:f>
      </x:c>
      <x:c r="P450" s="59" t="str">
        <x:f>IF(OR($H450&lt;&gt;"Sim",$I450="",$J450="",$L450="",$M450=""),"",IF(AND(IF($I450&gt;$J450,$F450,IF($I450&lt;$J450,$G450,$K450))&lt;&gt;"",IF($L450&gt;$M450,$F450,IF($L450&lt;$M450,$G450,$N450))&lt;&gt;"",IF($I450&gt;$J450,$F450,IF($I450&lt;$J450,$G450,$K450))=IF($L450&gt;$M450,$F450,IF($L450&lt;$M450,$G450,$N450))),1,0))</x:f>
      </x:c>
      <x:c r="Q450" s="59" t="str">
        <x:f>IF($O450="","",$O450+$P450)</x:f>
      </x:c>
      <x:c r="R450" s="59" t="str">
        <x:f>IF($Q450="","",IF($O450=3,"Cravada",IF(AND($H450="Sim",$L450=$M450,$I450=$J450,$O450=2),"Empate cravado",IF($O450=1,"Resultado certo",IF($O450=-2,"Invertida",IF($P450=1,"Acertou quem passa","Erro"))))))</x:f>
      </x:c>
      <x:c r="S450" s="59" t="str">
        <x:f>IF($O450="","",--(OR($O450=3,AND($H450="Sim",$L450=$M450,$I450=$J450,$O450=2))))</x:f>
      </x:c>
      <x:c r="T450" s="59" t="str">
        <x:f>IF($O450="","",--($O450=-2))</x:f>
      </x:c>
      <x:c r="U450" s="59" t="str">
        <x:f>IF($O450="","",--($O450=1))</x:f>
      </x:c>
      <x:c r="V450" s="59" t="n">
        <x:f>--(AND($I450&lt;&gt;"",$J450&lt;&gt;""))</x:f>
        <x:v>0</x:v>
      </x:c>
    </x:row>
    <x:row r="451">
      <x:c r="A451" s="21" t="str">
        <x:f>INDEX(Config!$B$10:$B$16,INT((ROW()-5)/104)+1)</x:f>
        <x:v>Otávio</x:v>
      </x:c>
      <x:c r="B451" s="21" t="str">
        <x:v>GF1</x:v>
      </x:c>
      <x:c r="C451" s="21" t="n">
        <x:v>31</x:v>
      </x:c>
      <x:c r="D451" s="21" t="str">
        <x:v>Grupo F</x:v>
      </x:c>
      <x:c r="E451" s="21" t="str">
        <x:v>2026-06-14</x:v>
      </x:c>
      <x:c r="F451" s="21" t="str">
        <x:f>IFERROR(INDEX('Resultados'!$G$5:$G$108,MATCH($B451,'Resultados'!$A$5:$A$108,0)),"")</x:f>
        <x:v>Holanda</x:v>
      </x:c>
      <x:c r="G451" s="21" t="str">
        <x:f>IFERROR(INDEX('Resultados'!$J$5:$J$108,MATCH($B451,'Resultados'!$A$5:$A$108,0)),"")</x:f>
        <x:v>Japão</x:v>
      </x:c>
      <x:c r="H451" s="21" t="str">
        <x:v>Não</x:v>
      </x:c>
      <x:c r="I451" s="22"/>
      <x:c r="J451" s="22"/>
      <x:c r="K451" s="23"/>
      <x:c r="L451" s="21" t="str">
        <x:f>IFERROR(INDEX('Resultados'!$H$5:$H$108,MATCH($B451,'Resultados'!$A$5:$A$108,0)),"")</x:f>
      </x:c>
      <x:c r="M451" s="21" t="str">
        <x:f>IFERROR(INDEX('Resultados'!$I$5:$I$108,MATCH($B451,'Resultados'!$A$5:$A$108,0)),"")</x:f>
      </x:c>
      <x:c r="N451" s="21" t="str">
        <x:f>IFERROR(INDEX('Resultados'!$L$5:$L$108,MATCH($B451,'Resultados'!$A$5:$A$108,0)),"")</x:f>
      </x:c>
      <x:c r="O451" s="59" t="str">
        <x:f>IF(OR($I451="",$J451="",$L451="",$M451=""),"",IF(AND($H451="Sim",$L451=$M451),IF($I451&lt;&gt;$J451,0,IF(AND($I451=$L451,$J451=$M451),2,1)),IF(AND($I451=$L451,$J451=$M451),3,IF(AND($I451&lt;&gt;$J451,$I451=$M451,$J451=$L451),-2,IF(SIGN($I451-$J451)=SIGN($L451-$M451),1,0)))))</x:f>
      </x:c>
      <x:c r="P451" s="59" t="str">
        <x:f>IF(OR($H451&lt;&gt;"Sim",$I451="",$J451="",$L451="",$M451=""),"",IF(AND(IF($I451&gt;$J451,$F451,IF($I451&lt;$J451,$G451,$K451))&lt;&gt;"",IF($L451&gt;$M451,$F451,IF($L451&lt;$M451,$G451,$N451))&lt;&gt;"",IF($I451&gt;$J451,$F451,IF($I451&lt;$J451,$G451,$K451))=IF($L451&gt;$M451,$F451,IF($L451&lt;$M451,$G451,$N451))),1,0))</x:f>
      </x:c>
      <x:c r="Q451" s="59" t="str">
        <x:f>IF($O451="","",$O451+$P451)</x:f>
      </x:c>
      <x:c r="R451" s="59" t="str">
        <x:f>IF($Q451="","",IF($O451=3,"Cravada",IF(AND($H451="Sim",$L451=$M451,$I451=$J451,$O451=2),"Empate cravado",IF($O451=1,"Resultado certo",IF($O451=-2,"Invertida",IF($P451=1,"Acertou quem passa","Erro"))))))</x:f>
      </x:c>
      <x:c r="S451" s="59" t="str">
        <x:f>IF($O451="","",--(OR($O451=3,AND($H451="Sim",$L451=$M451,$I451=$J451,$O451=2))))</x:f>
      </x:c>
      <x:c r="T451" s="59" t="str">
        <x:f>IF($O451="","",--($O451=-2))</x:f>
      </x:c>
      <x:c r="U451" s="59" t="str">
        <x:f>IF($O451="","",--($O451=1))</x:f>
      </x:c>
      <x:c r="V451" s="59" t="n">
        <x:f>--(AND($I451&lt;&gt;"",$J451&lt;&gt;""))</x:f>
        <x:v>0</x:v>
      </x:c>
    </x:row>
    <x:row r="452">
      <x:c r="A452" s="21" t="str">
        <x:f>INDEX(Config!$B$10:$B$16,INT((ROW()-5)/104)+1)</x:f>
        <x:v>Otávio</x:v>
      </x:c>
      <x:c r="B452" s="21" t="str">
        <x:v>GF2</x:v>
      </x:c>
      <x:c r="C452" s="21" t="n">
        <x:v>32</x:v>
      </x:c>
      <x:c r="D452" s="21" t="str">
        <x:v>Grupo F</x:v>
      </x:c>
      <x:c r="E452" s="21" t="str">
        <x:v>2026-06-14</x:v>
      </x:c>
      <x:c r="F452" s="21" t="str">
        <x:f>IFERROR(INDEX('Resultados'!$G$5:$G$108,MATCH($B452,'Resultados'!$A$5:$A$108,0)),"")</x:f>
        <x:v>Suécia</x:v>
      </x:c>
      <x:c r="G452" s="21" t="str">
        <x:f>IFERROR(INDEX('Resultados'!$J$5:$J$108,MATCH($B452,'Resultados'!$A$5:$A$108,0)),"")</x:f>
        <x:v>Tunísia</x:v>
      </x:c>
      <x:c r="H452" s="21" t="str">
        <x:v>Não</x:v>
      </x:c>
      <x:c r="I452" s="22"/>
      <x:c r="J452" s="22"/>
      <x:c r="K452" s="23"/>
      <x:c r="L452" s="21" t="str">
        <x:f>IFERROR(INDEX('Resultados'!$H$5:$H$108,MATCH($B452,'Resultados'!$A$5:$A$108,0)),"")</x:f>
      </x:c>
      <x:c r="M452" s="21" t="str">
        <x:f>IFERROR(INDEX('Resultados'!$I$5:$I$108,MATCH($B452,'Resultados'!$A$5:$A$108,0)),"")</x:f>
      </x:c>
      <x:c r="N452" s="21" t="str">
        <x:f>IFERROR(INDEX('Resultados'!$L$5:$L$108,MATCH($B452,'Resultados'!$A$5:$A$108,0)),"")</x:f>
      </x:c>
      <x:c r="O452" s="59" t="str">
        <x:f>IF(OR($I452="",$J452="",$L452="",$M452=""),"",IF(AND($H452="Sim",$L452=$M452),IF($I452&lt;&gt;$J452,0,IF(AND($I452=$L452,$J452=$M452),2,1)),IF(AND($I452=$L452,$J452=$M452),3,IF(AND($I452&lt;&gt;$J452,$I452=$M452,$J452=$L452),-2,IF(SIGN($I452-$J452)=SIGN($L452-$M452),1,0)))))</x:f>
      </x:c>
      <x:c r="P452" s="59" t="str">
        <x:f>IF(OR($H452&lt;&gt;"Sim",$I452="",$J452="",$L452="",$M452=""),"",IF(AND(IF($I452&gt;$J452,$F452,IF($I452&lt;$J452,$G452,$K452))&lt;&gt;"",IF($L452&gt;$M452,$F452,IF($L452&lt;$M452,$G452,$N452))&lt;&gt;"",IF($I452&gt;$J452,$F452,IF($I452&lt;$J452,$G452,$K452))=IF($L452&gt;$M452,$F452,IF($L452&lt;$M452,$G452,$N452))),1,0))</x:f>
      </x:c>
      <x:c r="Q452" s="59" t="str">
        <x:f>IF($O452="","",$O452+$P452)</x:f>
      </x:c>
      <x:c r="R452" s="59" t="str">
        <x:f>IF($Q452="","",IF($O452=3,"Cravada",IF(AND($H452="Sim",$L452=$M452,$I452=$J452,$O452=2),"Empate cravado",IF($O452=1,"Resultado certo",IF($O452=-2,"Invertida",IF($P452=1,"Acertou quem passa","Erro"))))))</x:f>
      </x:c>
      <x:c r="S452" s="59" t="str">
        <x:f>IF($O452="","",--(OR($O452=3,AND($H452="Sim",$L452=$M452,$I452=$J452,$O452=2))))</x:f>
      </x:c>
      <x:c r="T452" s="59" t="str">
        <x:f>IF($O452="","",--($O452=-2))</x:f>
      </x:c>
      <x:c r="U452" s="59" t="str">
        <x:f>IF($O452="","",--($O452=1))</x:f>
      </x:c>
      <x:c r="V452" s="59" t="n">
        <x:f>--(AND($I452&lt;&gt;"",$J452&lt;&gt;""))</x:f>
        <x:v>0</x:v>
      </x:c>
    </x:row>
    <x:row r="453">
      <x:c r="A453" s="21" t="str">
        <x:f>INDEX(Config!$B$10:$B$16,INT((ROW()-5)/104)+1)</x:f>
        <x:v>Otávio</x:v>
      </x:c>
      <x:c r="B453" s="21" t="str">
        <x:v>GF3</x:v>
      </x:c>
      <x:c r="C453" s="21" t="n">
        <x:v>33</x:v>
      </x:c>
      <x:c r="D453" s="21" t="str">
        <x:v>Grupo F</x:v>
      </x:c>
      <x:c r="E453" s="21" t="str">
        <x:v>2026-06-20</x:v>
      </x:c>
      <x:c r="F453" s="21" t="str">
        <x:f>IFERROR(INDEX('Resultados'!$G$5:$G$108,MATCH($B453,'Resultados'!$A$5:$A$108,0)),"")</x:f>
        <x:v>Holanda</x:v>
      </x:c>
      <x:c r="G453" s="21" t="str">
        <x:f>IFERROR(INDEX('Resultados'!$J$5:$J$108,MATCH($B453,'Resultados'!$A$5:$A$108,0)),"")</x:f>
        <x:v>Suécia</x:v>
      </x:c>
      <x:c r="H453" s="21" t="str">
        <x:v>Não</x:v>
      </x:c>
      <x:c r="I453" s="22"/>
      <x:c r="J453" s="22"/>
      <x:c r="K453" s="23"/>
      <x:c r="L453" s="21" t="str">
        <x:f>IFERROR(INDEX('Resultados'!$H$5:$H$108,MATCH($B453,'Resultados'!$A$5:$A$108,0)),"")</x:f>
      </x:c>
      <x:c r="M453" s="21" t="str">
        <x:f>IFERROR(INDEX('Resultados'!$I$5:$I$108,MATCH($B453,'Resultados'!$A$5:$A$108,0)),"")</x:f>
      </x:c>
      <x:c r="N453" s="21" t="str">
        <x:f>IFERROR(INDEX('Resultados'!$L$5:$L$108,MATCH($B453,'Resultados'!$A$5:$A$108,0)),"")</x:f>
      </x:c>
      <x:c r="O453" s="59" t="str">
        <x:f>IF(OR($I453="",$J453="",$L453="",$M453=""),"",IF(AND($H453="Sim",$L453=$M453),IF($I453&lt;&gt;$J453,0,IF(AND($I453=$L453,$J453=$M453),2,1)),IF(AND($I453=$L453,$J453=$M453),3,IF(AND($I453&lt;&gt;$J453,$I453=$M453,$J453=$L453),-2,IF(SIGN($I453-$J453)=SIGN($L453-$M453),1,0)))))</x:f>
      </x:c>
      <x:c r="P453" s="59" t="str">
        <x:f>IF(OR($H453&lt;&gt;"Sim",$I453="",$J453="",$L453="",$M453=""),"",IF(AND(IF($I453&gt;$J453,$F453,IF($I453&lt;$J453,$G453,$K453))&lt;&gt;"",IF($L453&gt;$M453,$F453,IF($L453&lt;$M453,$G453,$N453))&lt;&gt;"",IF($I453&gt;$J453,$F453,IF($I453&lt;$J453,$G453,$K453))=IF($L453&gt;$M453,$F453,IF($L453&lt;$M453,$G453,$N453))),1,0))</x:f>
      </x:c>
      <x:c r="Q453" s="59" t="str">
        <x:f>IF($O453="","",$O453+$P453)</x:f>
      </x:c>
      <x:c r="R453" s="59" t="str">
        <x:f>IF($Q453="","",IF($O453=3,"Cravada",IF(AND($H453="Sim",$L453=$M453,$I453=$J453,$O453=2),"Empate cravado",IF($O453=1,"Resultado certo",IF($O453=-2,"Invertida",IF($P453=1,"Acertou quem passa","Erro"))))))</x:f>
      </x:c>
      <x:c r="S453" s="59" t="str">
        <x:f>IF($O453="","",--(OR($O453=3,AND($H453="Sim",$L453=$M453,$I453=$J453,$O453=2))))</x:f>
      </x:c>
      <x:c r="T453" s="59" t="str">
        <x:f>IF($O453="","",--($O453=-2))</x:f>
      </x:c>
      <x:c r="U453" s="59" t="str">
        <x:f>IF($O453="","",--($O453=1))</x:f>
      </x:c>
      <x:c r="V453" s="59" t="n">
        <x:f>--(AND($I453&lt;&gt;"",$J453&lt;&gt;""))</x:f>
        <x:v>0</x:v>
      </x:c>
    </x:row>
    <x:row r="454">
      <x:c r="A454" s="21" t="str">
        <x:f>INDEX(Config!$B$10:$B$16,INT((ROW()-5)/104)+1)</x:f>
        <x:v>Otávio</x:v>
      </x:c>
      <x:c r="B454" s="21" t="str">
        <x:v>GF4</x:v>
      </x:c>
      <x:c r="C454" s="21" t="n">
        <x:v>34</x:v>
      </x:c>
      <x:c r="D454" s="21" t="str">
        <x:v>Grupo F</x:v>
      </x:c>
      <x:c r="E454" s="21" t="str">
        <x:v>2026-06-21</x:v>
      </x:c>
      <x:c r="F454" s="21" t="str">
        <x:f>IFERROR(INDEX('Resultados'!$G$5:$G$108,MATCH($B454,'Resultados'!$A$5:$A$108,0)),"")</x:f>
        <x:v>Japão</x:v>
      </x:c>
      <x:c r="G454" s="21" t="str">
        <x:f>IFERROR(INDEX('Resultados'!$J$5:$J$108,MATCH($B454,'Resultados'!$A$5:$A$108,0)),"")</x:f>
        <x:v>Tunísia</x:v>
      </x:c>
      <x:c r="H454" s="21" t="str">
        <x:v>Não</x:v>
      </x:c>
      <x:c r="I454" s="22"/>
      <x:c r="J454" s="22"/>
      <x:c r="K454" s="23"/>
      <x:c r="L454" s="21" t="str">
        <x:f>IFERROR(INDEX('Resultados'!$H$5:$H$108,MATCH($B454,'Resultados'!$A$5:$A$108,0)),"")</x:f>
      </x:c>
      <x:c r="M454" s="21" t="str">
        <x:f>IFERROR(INDEX('Resultados'!$I$5:$I$108,MATCH($B454,'Resultados'!$A$5:$A$108,0)),"")</x:f>
      </x:c>
      <x:c r="N454" s="21" t="str">
        <x:f>IFERROR(INDEX('Resultados'!$L$5:$L$108,MATCH($B454,'Resultados'!$A$5:$A$108,0)),"")</x:f>
      </x:c>
      <x:c r="O454" s="59" t="str">
        <x:f>IF(OR($I454="",$J454="",$L454="",$M454=""),"",IF(AND($H454="Sim",$L454=$M454),IF($I454&lt;&gt;$J454,0,IF(AND($I454=$L454,$J454=$M454),2,1)),IF(AND($I454=$L454,$J454=$M454),3,IF(AND($I454&lt;&gt;$J454,$I454=$M454,$J454=$L454),-2,IF(SIGN($I454-$J454)=SIGN($L454-$M454),1,0)))))</x:f>
      </x:c>
      <x:c r="P454" s="59" t="str">
        <x:f>IF(OR($H454&lt;&gt;"Sim",$I454="",$J454="",$L454="",$M454=""),"",IF(AND(IF($I454&gt;$J454,$F454,IF($I454&lt;$J454,$G454,$K454))&lt;&gt;"",IF($L454&gt;$M454,$F454,IF($L454&lt;$M454,$G454,$N454))&lt;&gt;"",IF($I454&gt;$J454,$F454,IF($I454&lt;$J454,$G454,$K454))=IF($L454&gt;$M454,$F454,IF($L454&lt;$M454,$G454,$N454))),1,0))</x:f>
      </x:c>
      <x:c r="Q454" s="59" t="str">
        <x:f>IF($O454="","",$O454+$P454)</x:f>
      </x:c>
      <x:c r="R454" s="59" t="str">
        <x:f>IF($Q454="","",IF($O454=3,"Cravada",IF(AND($H454="Sim",$L454=$M454,$I454=$J454,$O454=2),"Empate cravado",IF($O454=1,"Resultado certo",IF($O454=-2,"Invertida",IF($P454=1,"Acertou quem passa","Erro"))))))</x:f>
      </x:c>
      <x:c r="S454" s="59" t="str">
        <x:f>IF($O454="","",--(OR($O454=3,AND($H454="Sim",$L454=$M454,$I454=$J454,$O454=2))))</x:f>
      </x:c>
      <x:c r="T454" s="59" t="str">
        <x:f>IF($O454="","",--($O454=-2))</x:f>
      </x:c>
      <x:c r="U454" s="59" t="str">
        <x:f>IF($O454="","",--($O454=1))</x:f>
      </x:c>
      <x:c r="V454" s="59" t="n">
        <x:f>--(AND($I454&lt;&gt;"",$J454&lt;&gt;""))</x:f>
        <x:v>0</x:v>
      </x:c>
    </x:row>
    <x:row r="455">
      <x:c r="A455" s="21" t="str">
        <x:f>INDEX(Config!$B$10:$B$16,INT((ROW()-5)/104)+1)</x:f>
        <x:v>Otávio</x:v>
      </x:c>
      <x:c r="B455" s="21" t="str">
        <x:v>GF5</x:v>
      </x:c>
      <x:c r="C455" s="21" t="n">
        <x:v>35</x:v>
      </x:c>
      <x:c r="D455" s="21" t="str">
        <x:v>Grupo F</x:v>
      </x:c>
      <x:c r="E455" s="21" t="str">
        <x:v>2026-06-25</x:v>
      </x:c>
      <x:c r="F455" s="21" t="str">
        <x:f>IFERROR(INDEX('Resultados'!$G$5:$G$108,MATCH($B455,'Resultados'!$A$5:$A$108,0)),"")</x:f>
        <x:v>Holanda</x:v>
      </x:c>
      <x:c r="G455" s="21" t="str">
        <x:f>IFERROR(INDEX('Resultados'!$J$5:$J$108,MATCH($B455,'Resultados'!$A$5:$A$108,0)),"")</x:f>
        <x:v>Tunísia</x:v>
      </x:c>
      <x:c r="H455" s="21" t="str">
        <x:v>Não</x:v>
      </x:c>
      <x:c r="I455" s="22"/>
      <x:c r="J455" s="22"/>
      <x:c r="K455" s="23"/>
      <x:c r="L455" s="21" t="str">
        <x:f>IFERROR(INDEX('Resultados'!$H$5:$H$108,MATCH($B455,'Resultados'!$A$5:$A$108,0)),"")</x:f>
      </x:c>
      <x:c r="M455" s="21" t="str">
        <x:f>IFERROR(INDEX('Resultados'!$I$5:$I$108,MATCH($B455,'Resultados'!$A$5:$A$108,0)),"")</x:f>
      </x:c>
      <x:c r="N455" s="21" t="str">
        <x:f>IFERROR(INDEX('Resultados'!$L$5:$L$108,MATCH($B455,'Resultados'!$A$5:$A$108,0)),"")</x:f>
      </x:c>
      <x:c r="O455" s="59" t="str">
        <x:f>IF(OR($I455="",$J455="",$L455="",$M455=""),"",IF(AND($H455="Sim",$L455=$M455),IF($I455&lt;&gt;$J455,0,IF(AND($I455=$L455,$J455=$M455),2,1)),IF(AND($I455=$L455,$J455=$M455),3,IF(AND($I455&lt;&gt;$J455,$I455=$M455,$J455=$L455),-2,IF(SIGN($I455-$J455)=SIGN($L455-$M455),1,0)))))</x:f>
      </x:c>
      <x:c r="P455" s="59" t="str">
        <x:f>IF(OR($H455&lt;&gt;"Sim",$I455="",$J455="",$L455="",$M455=""),"",IF(AND(IF($I455&gt;$J455,$F455,IF($I455&lt;$J455,$G455,$K455))&lt;&gt;"",IF($L455&gt;$M455,$F455,IF($L455&lt;$M455,$G455,$N455))&lt;&gt;"",IF($I455&gt;$J455,$F455,IF($I455&lt;$J455,$G455,$K455))=IF($L455&gt;$M455,$F455,IF($L455&lt;$M455,$G455,$N455))),1,0))</x:f>
      </x:c>
      <x:c r="Q455" s="59" t="str">
        <x:f>IF($O455="","",$O455+$P455)</x:f>
      </x:c>
      <x:c r="R455" s="59" t="str">
        <x:f>IF($Q455="","",IF($O455=3,"Cravada",IF(AND($H455="Sim",$L455=$M455,$I455=$J455,$O455=2),"Empate cravado",IF($O455=1,"Resultado certo",IF($O455=-2,"Invertida",IF($P455=1,"Acertou quem passa","Erro"))))))</x:f>
      </x:c>
      <x:c r="S455" s="59" t="str">
        <x:f>IF($O455="","",--(OR($O455=3,AND($H455="Sim",$L455=$M455,$I455=$J455,$O455=2))))</x:f>
      </x:c>
      <x:c r="T455" s="59" t="str">
        <x:f>IF($O455="","",--($O455=-2))</x:f>
      </x:c>
      <x:c r="U455" s="59" t="str">
        <x:f>IF($O455="","",--($O455=1))</x:f>
      </x:c>
      <x:c r="V455" s="59" t="n">
        <x:f>--(AND($I455&lt;&gt;"",$J455&lt;&gt;""))</x:f>
        <x:v>0</x:v>
      </x:c>
    </x:row>
    <x:row r="456">
      <x:c r="A456" s="21" t="str">
        <x:f>INDEX(Config!$B$10:$B$16,INT((ROW()-5)/104)+1)</x:f>
        <x:v>Otávio</x:v>
      </x:c>
      <x:c r="B456" s="21" t="str">
        <x:v>GF6</x:v>
      </x:c>
      <x:c r="C456" s="21" t="n">
        <x:v>36</x:v>
      </x:c>
      <x:c r="D456" s="21" t="str">
        <x:v>Grupo F</x:v>
      </x:c>
      <x:c r="E456" s="21" t="str">
        <x:v>2026-06-25</x:v>
      </x:c>
      <x:c r="F456" s="21" t="str">
        <x:f>IFERROR(INDEX('Resultados'!$G$5:$G$108,MATCH($B456,'Resultados'!$A$5:$A$108,0)),"")</x:f>
        <x:v>Japão</x:v>
      </x:c>
      <x:c r="G456" s="21" t="str">
        <x:f>IFERROR(INDEX('Resultados'!$J$5:$J$108,MATCH($B456,'Resultados'!$A$5:$A$108,0)),"")</x:f>
        <x:v>Suécia</x:v>
      </x:c>
      <x:c r="H456" s="21" t="str">
        <x:v>Não</x:v>
      </x:c>
      <x:c r="I456" s="22"/>
      <x:c r="J456" s="22"/>
      <x:c r="K456" s="23"/>
      <x:c r="L456" s="21" t="str">
        <x:f>IFERROR(INDEX('Resultados'!$H$5:$H$108,MATCH($B456,'Resultados'!$A$5:$A$108,0)),"")</x:f>
      </x:c>
      <x:c r="M456" s="21" t="str">
        <x:f>IFERROR(INDEX('Resultados'!$I$5:$I$108,MATCH($B456,'Resultados'!$A$5:$A$108,0)),"")</x:f>
      </x:c>
      <x:c r="N456" s="21" t="str">
        <x:f>IFERROR(INDEX('Resultados'!$L$5:$L$108,MATCH($B456,'Resultados'!$A$5:$A$108,0)),"")</x:f>
      </x:c>
      <x:c r="O456" s="59" t="str">
        <x:f>IF(OR($I456="",$J456="",$L456="",$M456=""),"",IF(AND($H456="Sim",$L456=$M456),IF($I456&lt;&gt;$J456,0,IF(AND($I456=$L456,$J456=$M456),2,1)),IF(AND($I456=$L456,$J456=$M456),3,IF(AND($I456&lt;&gt;$J456,$I456=$M456,$J456=$L456),-2,IF(SIGN($I456-$J456)=SIGN($L456-$M456),1,0)))))</x:f>
      </x:c>
      <x:c r="P456" s="59" t="str">
        <x:f>IF(OR($H456&lt;&gt;"Sim",$I456="",$J456="",$L456="",$M456=""),"",IF(AND(IF($I456&gt;$J456,$F456,IF($I456&lt;$J456,$G456,$K456))&lt;&gt;"",IF($L456&gt;$M456,$F456,IF($L456&lt;$M456,$G456,$N456))&lt;&gt;"",IF($I456&gt;$J456,$F456,IF($I456&lt;$J456,$G456,$K456))=IF($L456&gt;$M456,$F456,IF($L456&lt;$M456,$G456,$N456))),1,0))</x:f>
      </x:c>
      <x:c r="Q456" s="59" t="str">
        <x:f>IF($O456="","",$O456+$P456)</x:f>
      </x:c>
      <x:c r="R456" s="59" t="str">
        <x:f>IF($Q456="","",IF($O456=3,"Cravada",IF(AND($H456="Sim",$L456=$M456,$I456=$J456,$O456=2),"Empate cravado",IF($O456=1,"Resultado certo",IF($O456=-2,"Invertida",IF($P456=1,"Acertou quem passa","Erro"))))))</x:f>
      </x:c>
      <x:c r="S456" s="59" t="str">
        <x:f>IF($O456="","",--(OR($O456=3,AND($H456="Sim",$L456=$M456,$I456=$J456,$O456=2))))</x:f>
      </x:c>
      <x:c r="T456" s="59" t="str">
        <x:f>IF($O456="","",--($O456=-2))</x:f>
      </x:c>
      <x:c r="U456" s="59" t="str">
        <x:f>IF($O456="","",--($O456=1))</x:f>
      </x:c>
      <x:c r="V456" s="59" t="n">
        <x:f>--(AND($I456&lt;&gt;"",$J456&lt;&gt;""))</x:f>
        <x:v>0</x:v>
      </x:c>
    </x:row>
    <x:row r="457">
      <x:c r="A457" s="21" t="str">
        <x:f>INDEX(Config!$B$10:$B$16,INT((ROW()-5)/104)+1)</x:f>
        <x:v>Otávio</x:v>
      </x:c>
      <x:c r="B457" s="21" t="str">
        <x:v>GG1</x:v>
      </x:c>
      <x:c r="C457" s="21" t="n">
        <x:v>37</x:v>
      </x:c>
      <x:c r="D457" s="21" t="str">
        <x:v>Grupo G</x:v>
      </x:c>
      <x:c r="E457" s="21" t="str">
        <x:v>2026-06-15</x:v>
      </x:c>
      <x:c r="F457" s="21" t="str">
        <x:f>IFERROR(INDEX('Resultados'!$G$5:$G$108,MATCH($B457,'Resultados'!$A$5:$A$108,0)),"")</x:f>
        <x:v>Bélgica</x:v>
      </x:c>
      <x:c r="G457" s="21" t="str">
        <x:f>IFERROR(INDEX('Resultados'!$J$5:$J$108,MATCH($B457,'Resultados'!$A$5:$A$108,0)),"")</x:f>
        <x:v>Egito</x:v>
      </x:c>
      <x:c r="H457" s="21" t="str">
        <x:v>Não</x:v>
      </x:c>
      <x:c r="I457" s="22"/>
      <x:c r="J457" s="22"/>
      <x:c r="K457" s="23"/>
      <x:c r="L457" s="21" t="str">
        <x:f>IFERROR(INDEX('Resultados'!$H$5:$H$108,MATCH($B457,'Resultados'!$A$5:$A$108,0)),"")</x:f>
      </x:c>
      <x:c r="M457" s="21" t="str">
        <x:f>IFERROR(INDEX('Resultados'!$I$5:$I$108,MATCH($B457,'Resultados'!$A$5:$A$108,0)),"")</x:f>
      </x:c>
      <x:c r="N457" s="21" t="str">
        <x:f>IFERROR(INDEX('Resultados'!$L$5:$L$108,MATCH($B457,'Resultados'!$A$5:$A$108,0)),"")</x:f>
      </x:c>
      <x:c r="O457" s="59" t="str">
        <x:f>IF(OR($I457="",$J457="",$L457="",$M457=""),"",IF(AND($H457="Sim",$L457=$M457),IF($I457&lt;&gt;$J457,0,IF(AND($I457=$L457,$J457=$M457),2,1)),IF(AND($I457=$L457,$J457=$M457),3,IF(AND($I457&lt;&gt;$J457,$I457=$M457,$J457=$L457),-2,IF(SIGN($I457-$J457)=SIGN($L457-$M457),1,0)))))</x:f>
      </x:c>
      <x:c r="P457" s="59" t="str">
        <x:f>IF(OR($H457&lt;&gt;"Sim",$I457="",$J457="",$L457="",$M457=""),"",IF(AND(IF($I457&gt;$J457,$F457,IF($I457&lt;$J457,$G457,$K457))&lt;&gt;"",IF($L457&gt;$M457,$F457,IF($L457&lt;$M457,$G457,$N457))&lt;&gt;"",IF($I457&gt;$J457,$F457,IF($I457&lt;$J457,$G457,$K457))=IF($L457&gt;$M457,$F457,IF($L457&lt;$M457,$G457,$N457))),1,0))</x:f>
      </x:c>
      <x:c r="Q457" s="59" t="str">
        <x:f>IF($O457="","",$O457+$P457)</x:f>
      </x:c>
      <x:c r="R457" s="59" t="str">
        <x:f>IF($Q457="","",IF($O457=3,"Cravada",IF(AND($H457="Sim",$L457=$M457,$I457=$J457,$O457=2),"Empate cravado",IF($O457=1,"Resultado certo",IF($O457=-2,"Invertida",IF($P457=1,"Acertou quem passa","Erro"))))))</x:f>
      </x:c>
      <x:c r="S457" s="59" t="str">
        <x:f>IF($O457="","",--(OR($O457=3,AND($H457="Sim",$L457=$M457,$I457=$J457,$O457=2))))</x:f>
      </x:c>
      <x:c r="T457" s="59" t="str">
        <x:f>IF($O457="","",--($O457=-2))</x:f>
      </x:c>
      <x:c r="U457" s="59" t="str">
        <x:f>IF($O457="","",--($O457=1))</x:f>
      </x:c>
      <x:c r="V457" s="59" t="n">
        <x:f>--(AND($I457&lt;&gt;"",$J457&lt;&gt;""))</x:f>
        <x:v>0</x:v>
      </x:c>
    </x:row>
    <x:row r="458">
      <x:c r="A458" s="21" t="str">
        <x:f>INDEX(Config!$B$10:$B$16,INT((ROW()-5)/104)+1)</x:f>
        <x:v>Otávio</x:v>
      </x:c>
      <x:c r="B458" s="21" t="str">
        <x:v>GG2</x:v>
      </x:c>
      <x:c r="C458" s="21" t="n">
        <x:v>38</x:v>
      </x:c>
      <x:c r="D458" s="21" t="str">
        <x:v>Grupo G</x:v>
      </x:c>
      <x:c r="E458" s="21" t="str">
        <x:v>2026-06-15</x:v>
      </x:c>
      <x:c r="F458" s="21" t="str">
        <x:f>IFERROR(INDEX('Resultados'!$G$5:$G$108,MATCH($B458,'Resultados'!$A$5:$A$108,0)),"")</x:f>
        <x:v>Irã</x:v>
      </x:c>
      <x:c r="G458" s="21" t="str">
        <x:f>IFERROR(INDEX('Resultados'!$J$5:$J$108,MATCH($B458,'Resultados'!$A$5:$A$108,0)),"")</x:f>
        <x:v>Nova Zelândia</x:v>
      </x:c>
      <x:c r="H458" s="21" t="str">
        <x:v>Não</x:v>
      </x:c>
      <x:c r="I458" s="22"/>
      <x:c r="J458" s="22"/>
      <x:c r="K458" s="23"/>
      <x:c r="L458" s="21" t="str">
        <x:f>IFERROR(INDEX('Resultados'!$H$5:$H$108,MATCH($B458,'Resultados'!$A$5:$A$108,0)),"")</x:f>
      </x:c>
      <x:c r="M458" s="21" t="str">
        <x:f>IFERROR(INDEX('Resultados'!$I$5:$I$108,MATCH($B458,'Resultados'!$A$5:$A$108,0)),"")</x:f>
      </x:c>
      <x:c r="N458" s="21" t="str">
        <x:f>IFERROR(INDEX('Resultados'!$L$5:$L$108,MATCH($B458,'Resultados'!$A$5:$A$108,0)),"")</x:f>
      </x:c>
      <x:c r="O458" s="59" t="str">
        <x:f>IF(OR($I458="",$J458="",$L458="",$M458=""),"",IF(AND($H458="Sim",$L458=$M458),IF($I458&lt;&gt;$J458,0,IF(AND($I458=$L458,$J458=$M458),2,1)),IF(AND($I458=$L458,$J458=$M458),3,IF(AND($I458&lt;&gt;$J458,$I458=$M458,$J458=$L458),-2,IF(SIGN($I458-$J458)=SIGN($L458-$M458),1,0)))))</x:f>
      </x:c>
      <x:c r="P458" s="59" t="str">
        <x:f>IF(OR($H458&lt;&gt;"Sim",$I458="",$J458="",$L458="",$M458=""),"",IF(AND(IF($I458&gt;$J458,$F458,IF($I458&lt;$J458,$G458,$K458))&lt;&gt;"",IF($L458&gt;$M458,$F458,IF($L458&lt;$M458,$G458,$N458))&lt;&gt;"",IF($I458&gt;$J458,$F458,IF($I458&lt;$J458,$G458,$K458))=IF($L458&gt;$M458,$F458,IF($L458&lt;$M458,$G458,$N458))),1,0))</x:f>
      </x:c>
      <x:c r="Q458" s="59" t="str">
        <x:f>IF($O458="","",$O458+$P458)</x:f>
      </x:c>
      <x:c r="R458" s="59" t="str">
        <x:f>IF($Q458="","",IF($O458=3,"Cravada",IF(AND($H458="Sim",$L458=$M458,$I458=$J458,$O458=2),"Empate cravado",IF($O458=1,"Resultado certo",IF($O458=-2,"Invertida",IF($P458=1,"Acertou quem passa","Erro"))))))</x:f>
      </x:c>
      <x:c r="S458" s="59" t="str">
        <x:f>IF($O458="","",--(OR($O458=3,AND($H458="Sim",$L458=$M458,$I458=$J458,$O458=2))))</x:f>
      </x:c>
      <x:c r="T458" s="59" t="str">
        <x:f>IF($O458="","",--($O458=-2))</x:f>
      </x:c>
      <x:c r="U458" s="59" t="str">
        <x:f>IF($O458="","",--($O458=1))</x:f>
      </x:c>
      <x:c r="V458" s="59" t="n">
        <x:f>--(AND($I458&lt;&gt;"",$J458&lt;&gt;""))</x:f>
        <x:v>0</x:v>
      </x:c>
    </x:row>
    <x:row r="459">
      <x:c r="A459" s="21" t="str">
        <x:f>INDEX(Config!$B$10:$B$16,INT((ROW()-5)/104)+1)</x:f>
        <x:v>Otávio</x:v>
      </x:c>
      <x:c r="B459" s="21" t="str">
        <x:v>GG3</x:v>
      </x:c>
      <x:c r="C459" s="21" t="n">
        <x:v>39</x:v>
      </x:c>
      <x:c r="D459" s="21" t="str">
        <x:v>Grupo G</x:v>
      </x:c>
      <x:c r="E459" s="21" t="str">
        <x:v>2026-06-21</x:v>
      </x:c>
      <x:c r="F459" s="21" t="str">
        <x:f>IFERROR(INDEX('Resultados'!$G$5:$G$108,MATCH($B459,'Resultados'!$A$5:$A$108,0)),"")</x:f>
        <x:v>Bélgica</x:v>
      </x:c>
      <x:c r="G459" s="21" t="str">
        <x:f>IFERROR(INDEX('Resultados'!$J$5:$J$108,MATCH($B459,'Resultados'!$A$5:$A$108,0)),"")</x:f>
        <x:v>Irã</x:v>
      </x:c>
      <x:c r="H459" s="21" t="str">
        <x:v>Não</x:v>
      </x:c>
      <x:c r="I459" s="22"/>
      <x:c r="J459" s="22"/>
      <x:c r="K459" s="23"/>
      <x:c r="L459" s="21" t="str">
        <x:f>IFERROR(INDEX('Resultados'!$H$5:$H$108,MATCH($B459,'Resultados'!$A$5:$A$108,0)),"")</x:f>
      </x:c>
      <x:c r="M459" s="21" t="str">
        <x:f>IFERROR(INDEX('Resultados'!$I$5:$I$108,MATCH($B459,'Resultados'!$A$5:$A$108,0)),"")</x:f>
      </x:c>
      <x:c r="N459" s="21" t="str">
        <x:f>IFERROR(INDEX('Resultados'!$L$5:$L$108,MATCH($B459,'Resultados'!$A$5:$A$108,0)),"")</x:f>
      </x:c>
      <x:c r="O459" s="59" t="str">
        <x:f>IF(OR($I459="",$J459="",$L459="",$M459=""),"",IF(AND($H459="Sim",$L459=$M459),IF($I459&lt;&gt;$J459,0,IF(AND($I459=$L459,$J459=$M459),2,1)),IF(AND($I459=$L459,$J459=$M459),3,IF(AND($I459&lt;&gt;$J459,$I459=$M459,$J459=$L459),-2,IF(SIGN($I459-$J459)=SIGN($L459-$M459),1,0)))))</x:f>
      </x:c>
      <x:c r="P459" s="59" t="str">
        <x:f>IF(OR($H459&lt;&gt;"Sim",$I459="",$J459="",$L459="",$M459=""),"",IF(AND(IF($I459&gt;$J459,$F459,IF($I459&lt;$J459,$G459,$K459))&lt;&gt;"",IF($L459&gt;$M459,$F459,IF($L459&lt;$M459,$G459,$N459))&lt;&gt;"",IF($I459&gt;$J459,$F459,IF($I459&lt;$J459,$G459,$K459))=IF($L459&gt;$M459,$F459,IF($L459&lt;$M459,$G459,$N459))),1,0))</x:f>
      </x:c>
      <x:c r="Q459" s="59" t="str">
        <x:f>IF($O459="","",$O459+$P459)</x:f>
      </x:c>
      <x:c r="R459" s="59" t="str">
        <x:f>IF($Q459="","",IF($O459=3,"Cravada",IF(AND($H459="Sim",$L459=$M459,$I459=$J459,$O459=2),"Empate cravado",IF($O459=1,"Resultado certo",IF($O459=-2,"Invertida",IF($P459=1,"Acertou quem passa","Erro"))))))</x:f>
      </x:c>
      <x:c r="S459" s="59" t="str">
        <x:f>IF($O459="","",--(OR($O459=3,AND($H459="Sim",$L459=$M459,$I459=$J459,$O459=2))))</x:f>
      </x:c>
      <x:c r="T459" s="59" t="str">
        <x:f>IF($O459="","",--($O459=-2))</x:f>
      </x:c>
      <x:c r="U459" s="59" t="str">
        <x:f>IF($O459="","",--($O459=1))</x:f>
      </x:c>
      <x:c r="V459" s="59" t="n">
        <x:f>--(AND($I459&lt;&gt;"",$J459&lt;&gt;""))</x:f>
        <x:v>0</x:v>
      </x:c>
    </x:row>
    <x:row r="460">
      <x:c r="A460" s="21" t="str">
        <x:f>INDEX(Config!$B$10:$B$16,INT((ROW()-5)/104)+1)</x:f>
        <x:v>Otávio</x:v>
      </x:c>
      <x:c r="B460" s="21" t="str">
        <x:v>GG4</x:v>
      </x:c>
      <x:c r="C460" s="21" t="n">
        <x:v>40</x:v>
      </x:c>
      <x:c r="D460" s="21" t="str">
        <x:v>Grupo G</x:v>
      </x:c>
      <x:c r="E460" s="21" t="str">
        <x:v>2026-06-21</x:v>
      </x:c>
      <x:c r="F460" s="21" t="str">
        <x:f>IFERROR(INDEX('Resultados'!$G$5:$G$108,MATCH($B460,'Resultados'!$A$5:$A$108,0)),"")</x:f>
        <x:v>Egito</x:v>
      </x:c>
      <x:c r="G460" s="21" t="str">
        <x:f>IFERROR(INDEX('Resultados'!$J$5:$J$108,MATCH($B460,'Resultados'!$A$5:$A$108,0)),"")</x:f>
        <x:v>Nova Zelândia</x:v>
      </x:c>
      <x:c r="H460" s="21" t="str">
        <x:v>Não</x:v>
      </x:c>
      <x:c r="I460" s="22"/>
      <x:c r="J460" s="22"/>
      <x:c r="K460" s="23"/>
      <x:c r="L460" s="21" t="str">
        <x:f>IFERROR(INDEX('Resultados'!$H$5:$H$108,MATCH($B460,'Resultados'!$A$5:$A$108,0)),"")</x:f>
      </x:c>
      <x:c r="M460" s="21" t="str">
        <x:f>IFERROR(INDEX('Resultados'!$I$5:$I$108,MATCH($B460,'Resultados'!$A$5:$A$108,0)),"")</x:f>
      </x:c>
      <x:c r="N460" s="21" t="str">
        <x:f>IFERROR(INDEX('Resultados'!$L$5:$L$108,MATCH($B460,'Resultados'!$A$5:$A$108,0)),"")</x:f>
      </x:c>
      <x:c r="O460" s="59" t="str">
        <x:f>IF(OR($I460="",$J460="",$L460="",$M460=""),"",IF(AND($H460="Sim",$L460=$M460),IF($I460&lt;&gt;$J460,0,IF(AND($I460=$L460,$J460=$M460),2,1)),IF(AND($I460=$L460,$J460=$M460),3,IF(AND($I460&lt;&gt;$J460,$I460=$M460,$J460=$L460),-2,IF(SIGN($I460-$J460)=SIGN($L460-$M460),1,0)))))</x:f>
      </x:c>
      <x:c r="P460" s="59" t="str">
        <x:f>IF(OR($H460&lt;&gt;"Sim",$I460="",$J460="",$L460="",$M460=""),"",IF(AND(IF($I460&gt;$J460,$F460,IF($I460&lt;$J460,$G460,$K460))&lt;&gt;"",IF($L460&gt;$M460,$F460,IF($L460&lt;$M460,$G460,$N460))&lt;&gt;"",IF($I460&gt;$J460,$F460,IF($I460&lt;$J460,$G460,$K460))=IF($L460&gt;$M460,$F460,IF($L460&lt;$M460,$G460,$N460))),1,0))</x:f>
      </x:c>
      <x:c r="Q460" s="59" t="str">
        <x:f>IF($O460="","",$O460+$P460)</x:f>
      </x:c>
      <x:c r="R460" s="59" t="str">
        <x:f>IF($Q460="","",IF($O460=3,"Cravada",IF(AND($H460="Sim",$L460=$M460,$I460=$J460,$O460=2),"Empate cravado",IF($O460=1,"Resultado certo",IF($O460=-2,"Invertida",IF($P460=1,"Acertou quem passa","Erro"))))))</x:f>
      </x:c>
      <x:c r="S460" s="59" t="str">
        <x:f>IF($O460="","",--(OR($O460=3,AND($H460="Sim",$L460=$M460,$I460=$J460,$O460=2))))</x:f>
      </x:c>
      <x:c r="T460" s="59" t="str">
        <x:f>IF($O460="","",--($O460=-2))</x:f>
      </x:c>
      <x:c r="U460" s="59" t="str">
        <x:f>IF($O460="","",--($O460=1))</x:f>
      </x:c>
      <x:c r="V460" s="59" t="n">
        <x:f>--(AND($I460&lt;&gt;"",$J460&lt;&gt;""))</x:f>
        <x:v>0</x:v>
      </x:c>
    </x:row>
    <x:row r="461">
      <x:c r="A461" s="21" t="str">
        <x:f>INDEX(Config!$B$10:$B$16,INT((ROW()-5)/104)+1)</x:f>
        <x:v>Otávio</x:v>
      </x:c>
      <x:c r="B461" s="21" t="str">
        <x:v>GG5</x:v>
      </x:c>
      <x:c r="C461" s="21" t="n">
        <x:v>41</x:v>
      </x:c>
      <x:c r="D461" s="21" t="str">
        <x:v>Grupo G</x:v>
      </x:c>
      <x:c r="E461" s="21" t="str">
        <x:v>2026-06-27</x:v>
      </x:c>
      <x:c r="F461" s="21" t="str">
        <x:f>IFERROR(INDEX('Resultados'!$G$5:$G$108,MATCH($B461,'Resultados'!$A$5:$A$108,0)),"")</x:f>
        <x:v>Bélgica</x:v>
      </x:c>
      <x:c r="G461" s="21" t="str">
        <x:f>IFERROR(INDEX('Resultados'!$J$5:$J$108,MATCH($B461,'Resultados'!$A$5:$A$108,0)),"")</x:f>
        <x:v>Nova Zelândia</x:v>
      </x:c>
      <x:c r="H461" s="21" t="str">
        <x:v>Não</x:v>
      </x:c>
      <x:c r="I461" s="22"/>
      <x:c r="J461" s="22"/>
      <x:c r="K461" s="23"/>
      <x:c r="L461" s="21" t="str">
        <x:f>IFERROR(INDEX('Resultados'!$H$5:$H$108,MATCH($B461,'Resultados'!$A$5:$A$108,0)),"")</x:f>
      </x:c>
      <x:c r="M461" s="21" t="str">
        <x:f>IFERROR(INDEX('Resultados'!$I$5:$I$108,MATCH($B461,'Resultados'!$A$5:$A$108,0)),"")</x:f>
      </x:c>
      <x:c r="N461" s="21" t="str">
        <x:f>IFERROR(INDEX('Resultados'!$L$5:$L$108,MATCH($B461,'Resultados'!$A$5:$A$108,0)),"")</x:f>
      </x:c>
      <x:c r="O461" s="59" t="str">
        <x:f>IF(OR($I461="",$J461="",$L461="",$M461=""),"",IF(AND($H461="Sim",$L461=$M461),IF($I461&lt;&gt;$J461,0,IF(AND($I461=$L461,$J461=$M461),2,1)),IF(AND($I461=$L461,$J461=$M461),3,IF(AND($I461&lt;&gt;$J461,$I461=$M461,$J461=$L461),-2,IF(SIGN($I461-$J461)=SIGN($L461-$M461),1,0)))))</x:f>
      </x:c>
      <x:c r="P461" s="59" t="str">
        <x:f>IF(OR($H461&lt;&gt;"Sim",$I461="",$J461="",$L461="",$M461=""),"",IF(AND(IF($I461&gt;$J461,$F461,IF($I461&lt;$J461,$G461,$K461))&lt;&gt;"",IF($L461&gt;$M461,$F461,IF($L461&lt;$M461,$G461,$N461))&lt;&gt;"",IF($I461&gt;$J461,$F461,IF($I461&lt;$J461,$G461,$K461))=IF($L461&gt;$M461,$F461,IF($L461&lt;$M461,$G461,$N461))),1,0))</x:f>
      </x:c>
      <x:c r="Q461" s="59" t="str">
        <x:f>IF($O461="","",$O461+$P461)</x:f>
      </x:c>
      <x:c r="R461" s="59" t="str">
        <x:f>IF($Q461="","",IF($O461=3,"Cravada",IF(AND($H461="Sim",$L461=$M461,$I461=$J461,$O461=2),"Empate cravado",IF($O461=1,"Resultado certo",IF($O461=-2,"Invertida",IF($P461=1,"Acertou quem passa","Erro"))))))</x:f>
      </x:c>
      <x:c r="S461" s="59" t="str">
        <x:f>IF($O461="","",--(OR($O461=3,AND($H461="Sim",$L461=$M461,$I461=$J461,$O461=2))))</x:f>
      </x:c>
      <x:c r="T461" s="59" t="str">
        <x:f>IF($O461="","",--($O461=-2))</x:f>
      </x:c>
      <x:c r="U461" s="59" t="str">
        <x:f>IF($O461="","",--($O461=1))</x:f>
      </x:c>
      <x:c r="V461" s="59" t="n">
        <x:f>--(AND($I461&lt;&gt;"",$J461&lt;&gt;""))</x:f>
        <x:v>0</x:v>
      </x:c>
    </x:row>
    <x:row r="462">
      <x:c r="A462" s="21" t="str">
        <x:f>INDEX(Config!$B$10:$B$16,INT((ROW()-5)/104)+1)</x:f>
        <x:v>Otávio</x:v>
      </x:c>
      <x:c r="B462" s="21" t="str">
        <x:v>GG6</x:v>
      </x:c>
      <x:c r="C462" s="21" t="n">
        <x:v>42</x:v>
      </x:c>
      <x:c r="D462" s="21" t="str">
        <x:v>Grupo G</x:v>
      </x:c>
      <x:c r="E462" s="21" t="str">
        <x:v>2026-06-27</x:v>
      </x:c>
      <x:c r="F462" s="21" t="str">
        <x:f>IFERROR(INDEX('Resultados'!$G$5:$G$108,MATCH($B462,'Resultados'!$A$5:$A$108,0)),"")</x:f>
        <x:v>Egito</x:v>
      </x:c>
      <x:c r="G462" s="21" t="str">
        <x:f>IFERROR(INDEX('Resultados'!$J$5:$J$108,MATCH($B462,'Resultados'!$A$5:$A$108,0)),"")</x:f>
        <x:v>Irã</x:v>
      </x:c>
      <x:c r="H462" s="21" t="str">
        <x:v>Não</x:v>
      </x:c>
      <x:c r="I462" s="22"/>
      <x:c r="J462" s="22"/>
      <x:c r="K462" s="23"/>
      <x:c r="L462" s="21" t="str">
        <x:f>IFERROR(INDEX('Resultados'!$H$5:$H$108,MATCH($B462,'Resultados'!$A$5:$A$108,0)),"")</x:f>
      </x:c>
      <x:c r="M462" s="21" t="str">
        <x:f>IFERROR(INDEX('Resultados'!$I$5:$I$108,MATCH($B462,'Resultados'!$A$5:$A$108,0)),"")</x:f>
      </x:c>
      <x:c r="N462" s="21" t="str">
        <x:f>IFERROR(INDEX('Resultados'!$L$5:$L$108,MATCH($B462,'Resultados'!$A$5:$A$108,0)),"")</x:f>
      </x:c>
      <x:c r="O462" s="59" t="str">
        <x:f>IF(OR($I462="",$J462="",$L462="",$M462=""),"",IF(AND($H462="Sim",$L462=$M462),IF($I462&lt;&gt;$J462,0,IF(AND($I462=$L462,$J462=$M462),2,1)),IF(AND($I462=$L462,$J462=$M462),3,IF(AND($I462&lt;&gt;$J462,$I462=$M462,$J462=$L462),-2,IF(SIGN($I462-$J462)=SIGN($L462-$M462),1,0)))))</x:f>
      </x:c>
      <x:c r="P462" s="59" t="str">
        <x:f>IF(OR($H462&lt;&gt;"Sim",$I462="",$J462="",$L462="",$M462=""),"",IF(AND(IF($I462&gt;$J462,$F462,IF($I462&lt;$J462,$G462,$K462))&lt;&gt;"",IF($L462&gt;$M462,$F462,IF($L462&lt;$M462,$G462,$N462))&lt;&gt;"",IF($I462&gt;$J462,$F462,IF($I462&lt;$J462,$G462,$K462))=IF($L462&gt;$M462,$F462,IF($L462&lt;$M462,$G462,$N462))),1,0))</x:f>
      </x:c>
      <x:c r="Q462" s="59" t="str">
        <x:f>IF($O462="","",$O462+$P462)</x:f>
      </x:c>
      <x:c r="R462" s="59" t="str">
        <x:f>IF($Q462="","",IF($O462=3,"Cravada",IF(AND($H462="Sim",$L462=$M462,$I462=$J462,$O462=2),"Empate cravado",IF($O462=1,"Resultado certo",IF($O462=-2,"Invertida",IF($P462=1,"Acertou quem passa","Erro"))))))</x:f>
      </x:c>
      <x:c r="S462" s="59" t="str">
        <x:f>IF($O462="","",--(OR($O462=3,AND($H462="Sim",$L462=$M462,$I462=$J462,$O462=2))))</x:f>
      </x:c>
      <x:c r="T462" s="59" t="str">
        <x:f>IF($O462="","",--($O462=-2))</x:f>
      </x:c>
      <x:c r="U462" s="59" t="str">
        <x:f>IF($O462="","",--($O462=1))</x:f>
      </x:c>
      <x:c r="V462" s="59" t="n">
        <x:f>--(AND($I462&lt;&gt;"",$J462&lt;&gt;""))</x:f>
        <x:v>0</x:v>
      </x:c>
    </x:row>
    <x:row r="463">
      <x:c r="A463" s="21" t="str">
        <x:f>INDEX(Config!$B$10:$B$16,INT((ROW()-5)/104)+1)</x:f>
        <x:v>Otávio</x:v>
      </x:c>
      <x:c r="B463" s="21" t="str">
        <x:v>GH1</x:v>
      </x:c>
      <x:c r="C463" s="21" t="n">
        <x:v>43</x:v>
      </x:c>
      <x:c r="D463" s="21" t="str">
        <x:v>Grupo H</x:v>
      </x:c>
      <x:c r="E463" s="21" t="str">
        <x:v>2026-06-15</x:v>
      </x:c>
      <x:c r="F463" s="21" t="str">
        <x:f>IFERROR(INDEX('Resultados'!$G$5:$G$108,MATCH($B463,'Resultados'!$A$5:$A$108,0)),"")</x:f>
        <x:v>Espanha</x:v>
      </x:c>
      <x:c r="G463" s="21" t="str">
        <x:f>IFERROR(INDEX('Resultados'!$J$5:$J$108,MATCH($B463,'Resultados'!$A$5:$A$108,0)),"")</x:f>
        <x:v>Cabo Verde</x:v>
      </x:c>
      <x:c r="H463" s="21" t="str">
        <x:v>Não</x:v>
      </x:c>
      <x:c r="I463" s="22"/>
      <x:c r="J463" s="22"/>
      <x:c r="K463" s="23"/>
      <x:c r="L463" s="21" t="str">
        <x:f>IFERROR(INDEX('Resultados'!$H$5:$H$108,MATCH($B463,'Resultados'!$A$5:$A$108,0)),"")</x:f>
      </x:c>
      <x:c r="M463" s="21" t="str">
        <x:f>IFERROR(INDEX('Resultados'!$I$5:$I$108,MATCH($B463,'Resultados'!$A$5:$A$108,0)),"")</x:f>
      </x:c>
      <x:c r="N463" s="21" t="str">
        <x:f>IFERROR(INDEX('Resultados'!$L$5:$L$108,MATCH($B463,'Resultados'!$A$5:$A$108,0)),"")</x:f>
      </x:c>
      <x:c r="O463" s="59" t="str">
        <x:f>IF(OR($I463="",$J463="",$L463="",$M463=""),"",IF(AND($H463="Sim",$L463=$M463),IF($I463&lt;&gt;$J463,0,IF(AND($I463=$L463,$J463=$M463),2,1)),IF(AND($I463=$L463,$J463=$M463),3,IF(AND($I463&lt;&gt;$J463,$I463=$M463,$J463=$L463),-2,IF(SIGN($I463-$J463)=SIGN($L463-$M463),1,0)))))</x:f>
      </x:c>
      <x:c r="P463" s="59" t="str">
        <x:f>IF(OR($H463&lt;&gt;"Sim",$I463="",$J463="",$L463="",$M463=""),"",IF(AND(IF($I463&gt;$J463,$F463,IF($I463&lt;$J463,$G463,$K463))&lt;&gt;"",IF($L463&gt;$M463,$F463,IF($L463&lt;$M463,$G463,$N463))&lt;&gt;"",IF($I463&gt;$J463,$F463,IF($I463&lt;$J463,$G463,$K463))=IF($L463&gt;$M463,$F463,IF($L463&lt;$M463,$G463,$N463))),1,0))</x:f>
      </x:c>
      <x:c r="Q463" s="59" t="str">
        <x:f>IF($O463="","",$O463+$P463)</x:f>
      </x:c>
      <x:c r="R463" s="59" t="str">
        <x:f>IF($Q463="","",IF($O463=3,"Cravada",IF(AND($H463="Sim",$L463=$M463,$I463=$J463,$O463=2),"Empate cravado",IF($O463=1,"Resultado certo",IF($O463=-2,"Invertida",IF($P463=1,"Acertou quem passa","Erro"))))))</x:f>
      </x:c>
      <x:c r="S463" s="59" t="str">
        <x:f>IF($O463="","",--(OR($O463=3,AND($H463="Sim",$L463=$M463,$I463=$J463,$O463=2))))</x:f>
      </x:c>
      <x:c r="T463" s="59" t="str">
        <x:f>IF($O463="","",--($O463=-2))</x:f>
      </x:c>
      <x:c r="U463" s="59" t="str">
        <x:f>IF($O463="","",--($O463=1))</x:f>
      </x:c>
      <x:c r="V463" s="59" t="n">
        <x:f>--(AND($I463&lt;&gt;"",$J463&lt;&gt;""))</x:f>
        <x:v>0</x:v>
      </x:c>
    </x:row>
    <x:row r="464">
      <x:c r="A464" s="21" t="str">
        <x:f>INDEX(Config!$B$10:$B$16,INT((ROW()-5)/104)+1)</x:f>
        <x:v>Otávio</x:v>
      </x:c>
      <x:c r="B464" s="21" t="str">
        <x:v>GH2</x:v>
      </x:c>
      <x:c r="C464" s="21" t="n">
        <x:v>44</x:v>
      </x:c>
      <x:c r="D464" s="21" t="str">
        <x:v>Grupo H</x:v>
      </x:c>
      <x:c r="E464" s="21" t="str">
        <x:v>2026-06-15</x:v>
      </x:c>
      <x:c r="F464" s="21" t="str">
        <x:f>IFERROR(INDEX('Resultados'!$G$5:$G$108,MATCH($B464,'Resultados'!$A$5:$A$108,0)),"")</x:f>
        <x:v>Arábia Saudita</x:v>
      </x:c>
      <x:c r="G464" s="21" t="str">
        <x:f>IFERROR(INDEX('Resultados'!$J$5:$J$108,MATCH($B464,'Resultados'!$A$5:$A$108,0)),"")</x:f>
        <x:v>Uruguai</x:v>
      </x:c>
      <x:c r="H464" s="21" t="str">
        <x:v>Não</x:v>
      </x:c>
      <x:c r="I464" s="22"/>
      <x:c r="J464" s="22"/>
      <x:c r="K464" s="23"/>
      <x:c r="L464" s="21" t="str">
        <x:f>IFERROR(INDEX('Resultados'!$H$5:$H$108,MATCH($B464,'Resultados'!$A$5:$A$108,0)),"")</x:f>
      </x:c>
      <x:c r="M464" s="21" t="str">
        <x:f>IFERROR(INDEX('Resultados'!$I$5:$I$108,MATCH($B464,'Resultados'!$A$5:$A$108,0)),"")</x:f>
      </x:c>
      <x:c r="N464" s="21" t="str">
        <x:f>IFERROR(INDEX('Resultados'!$L$5:$L$108,MATCH($B464,'Resultados'!$A$5:$A$108,0)),"")</x:f>
      </x:c>
      <x:c r="O464" s="59" t="str">
        <x:f>IF(OR($I464="",$J464="",$L464="",$M464=""),"",IF(AND($H464="Sim",$L464=$M464),IF($I464&lt;&gt;$J464,0,IF(AND($I464=$L464,$J464=$M464),2,1)),IF(AND($I464=$L464,$J464=$M464),3,IF(AND($I464&lt;&gt;$J464,$I464=$M464,$J464=$L464),-2,IF(SIGN($I464-$J464)=SIGN($L464-$M464),1,0)))))</x:f>
      </x:c>
      <x:c r="P464" s="59" t="str">
        <x:f>IF(OR($H464&lt;&gt;"Sim",$I464="",$J464="",$L464="",$M464=""),"",IF(AND(IF($I464&gt;$J464,$F464,IF($I464&lt;$J464,$G464,$K464))&lt;&gt;"",IF($L464&gt;$M464,$F464,IF($L464&lt;$M464,$G464,$N464))&lt;&gt;"",IF($I464&gt;$J464,$F464,IF($I464&lt;$J464,$G464,$K464))=IF($L464&gt;$M464,$F464,IF($L464&lt;$M464,$G464,$N464))),1,0))</x:f>
      </x:c>
      <x:c r="Q464" s="59" t="str">
        <x:f>IF($O464="","",$O464+$P464)</x:f>
      </x:c>
      <x:c r="R464" s="59" t="str">
        <x:f>IF($Q464="","",IF($O464=3,"Cravada",IF(AND($H464="Sim",$L464=$M464,$I464=$J464,$O464=2),"Empate cravado",IF($O464=1,"Resultado certo",IF($O464=-2,"Invertida",IF($P464=1,"Acertou quem passa","Erro"))))))</x:f>
      </x:c>
      <x:c r="S464" s="59" t="str">
        <x:f>IF($O464="","",--(OR($O464=3,AND($H464="Sim",$L464=$M464,$I464=$J464,$O464=2))))</x:f>
      </x:c>
      <x:c r="T464" s="59" t="str">
        <x:f>IF($O464="","",--($O464=-2))</x:f>
      </x:c>
      <x:c r="U464" s="59" t="str">
        <x:f>IF($O464="","",--($O464=1))</x:f>
      </x:c>
      <x:c r="V464" s="59" t="n">
        <x:f>--(AND($I464&lt;&gt;"",$J464&lt;&gt;""))</x:f>
        <x:v>0</x:v>
      </x:c>
    </x:row>
    <x:row r="465">
      <x:c r="A465" s="21" t="str">
        <x:f>INDEX(Config!$B$10:$B$16,INT((ROW()-5)/104)+1)</x:f>
        <x:v>Otávio</x:v>
      </x:c>
      <x:c r="B465" s="21" t="str">
        <x:v>GH3</x:v>
      </x:c>
      <x:c r="C465" s="21" t="n">
        <x:v>45</x:v>
      </x:c>
      <x:c r="D465" s="21" t="str">
        <x:v>Grupo H</x:v>
      </x:c>
      <x:c r="E465" s="21" t="str">
        <x:v>2026-06-21</x:v>
      </x:c>
      <x:c r="F465" s="21" t="str">
        <x:f>IFERROR(INDEX('Resultados'!$G$5:$G$108,MATCH($B465,'Resultados'!$A$5:$A$108,0)),"")</x:f>
        <x:v>Espanha</x:v>
      </x:c>
      <x:c r="G465" s="21" t="str">
        <x:f>IFERROR(INDEX('Resultados'!$J$5:$J$108,MATCH($B465,'Resultados'!$A$5:$A$108,0)),"")</x:f>
        <x:v>Arábia Saudita</x:v>
      </x:c>
      <x:c r="H465" s="21" t="str">
        <x:v>Não</x:v>
      </x:c>
      <x:c r="I465" s="22"/>
      <x:c r="J465" s="22"/>
      <x:c r="K465" s="23"/>
      <x:c r="L465" s="21" t="str">
        <x:f>IFERROR(INDEX('Resultados'!$H$5:$H$108,MATCH($B465,'Resultados'!$A$5:$A$108,0)),"")</x:f>
      </x:c>
      <x:c r="M465" s="21" t="str">
        <x:f>IFERROR(INDEX('Resultados'!$I$5:$I$108,MATCH($B465,'Resultados'!$A$5:$A$108,0)),"")</x:f>
      </x:c>
      <x:c r="N465" s="21" t="str">
        <x:f>IFERROR(INDEX('Resultados'!$L$5:$L$108,MATCH($B465,'Resultados'!$A$5:$A$108,0)),"")</x:f>
      </x:c>
      <x:c r="O465" s="59" t="str">
        <x:f>IF(OR($I465="",$J465="",$L465="",$M465=""),"",IF(AND($H465="Sim",$L465=$M465),IF($I465&lt;&gt;$J465,0,IF(AND($I465=$L465,$J465=$M465),2,1)),IF(AND($I465=$L465,$J465=$M465),3,IF(AND($I465&lt;&gt;$J465,$I465=$M465,$J465=$L465),-2,IF(SIGN($I465-$J465)=SIGN($L465-$M465),1,0)))))</x:f>
      </x:c>
      <x:c r="P465" s="59" t="str">
        <x:f>IF(OR($H465&lt;&gt;"Sim",$I465="",$J465="",$L465="",$M465=""),"",IF(AND(IF($I465&gt;$J465,$F465,IF($I465&lt;$J465,$G465,$K465))&lt;&gt;"",IF($L465&gt;$M465,$F465,IF($L465&lt;$M465,$G465,$N465))&lt;&gt;"",IF($I465&gt;$J465,$F465,IF($I465&lt;$J465,$G465,$K465))=IF($L465&gt;$M465,$F465,IF($L465&lt;$M465,$G465,$N465))),1,0))</x:f>
      </x:c>
      <x:c r="Q465" s="59" t="str">
        <x:f>IF($O465="","",$O465+$P465)</x:f>
      </x:c>
      <x:c r="R465" s="59" t="str">
        <x:f>IF($Q465="","",IF($O465=3,"Cravada",IF(AND($H465="Sim",$L465=$M465,$I465=$J465,$O465=2),"Empate cravado",IF($O465=1,"Resultado certo",IF($O465=-2,"Invertida",IF($P465=1,"Acertou quem passa","Erro"))))))</x:f>
      </x:c>
      <x:c r="S465" s="59" t="str">
        <x:f>IF($O465="","",--(OR($O465=3,AND($H465="Sim",$L465=$M465,$I465=$J465,$O465=2))))</x:f>
      </x:c>
      <x:c r="T465" s="59" t="str">
        <x:f>IF($O465="","",--($O465=-2))</x:f>
      </x:c>
      <x:c r="U465" s="59" t="str">
        <x:f>IF($O465="","",--($O465=1))</x:f>
      </x:c>
      <x:c r="V465" s="59" t="n">
        <x:f>--(AND($I465&lt;&gt;"",$J465&lt;&gt;""))</x:f>
        <x:v>0</x:v>
      </x:c>
    </x:row>
    <x:row r="466">
      <x:c r="A466" s="21" t="str">
        <x:f>INDEX(Config!$B$10:$B$16,INT((ROW()-5)/104)+1)</x:f>
        <x:v>Otávio</x:v>
      </x:c>
      <x:c r="B466" s="21" t="str">
        <x:v>GH4</x:v>
      </x:c>
      <x:c r="C466" s="21" t="n">
        <x:v>46</x:v>
      </x:c>
      <x:c r="D466" s="21" t="str">
        <x:v>Grupo H</x:v>
      </x:c>
      <x:c r="E466" s="21" t="str">
        <x:v>2026-06-21</x:v>
      </x:c>
      <x:c r="F466" s="21" t="str">
        <x:f>IFERROR(INDEX('Resultados'!$G$5:$G$108,MATCH($B466,'Resultados'!$A$5:$A$108,0)),"")</x:f>
        <x:v>Cabo Verde</x:v>
      </x:c>
      <x:c r="G466" s="21" t="str">
        <x:f>IFERROR(INDEX('Resultados'!$J$5:$J$108,MATCH($B466,'Resultados'!$A$5:$A$108,0)),"")</x:f>
        <x:v>Uruguai</x:v>
      </x:c>
      <x:c r="H466" s="21" t="str">
        <x:v>Não</x:v>
      </x:c>
      <x:c r="I466" s="22"/>
      <x:c r="J466" s="22"/>
      <x:c r="K466" s="23"/>
      <x:c r="L466" s="21" t="str">
        <x:f>IFERROR(INDEX('Resultados'!$H$5:$H$108,MATCH($B466,'Resultados'!$A$5:$A$108,0)),"")</x:f>
      </x:c>
      <x:c r="M466" s="21" t="str">
        <x:f>IFERROR(INDEX('Resultados'!$I$5:$I$108,MATCH($B466,'Resultados'!$A$5:$A$108,0)),"")</x:f>
      </x:c>
      <x:c r="N466" s="21" t="str">
        <x:f>IFERROR(INDEX('Resultados'!$L$5:$L$108,MATCH($B466,'Resultados'!$A$5:$A$108,0)),"")</x:f>
      </x:c>
      <x:c r="O466" s="59" t="str">
        <x:f>IF(OR($I466="",$J466="",$L466="",$M466=""),"",IF(AND($H466="Sim",$L466=$M466),IF($I466&lt;&gt;$J466,0,IF(AND($I466=$L466,$J466=$M466),2,1)),IF(AND($I466=$L466,$J466=$M466),3,IF(AND($I466&lt;&gt;$J466,$I466=$M466,$J466=$L466),-2,IF(SIGN($I466-$J466)=SIGN($L466-$M466),1,0)))))</x:f>
      </x:c>
      <x:c r="P466" s="59" t="str">
        <x:f>IF(OR($H466&lt;&gt;"Sim",$I466="",$J466="",$L466="",$M466=""),"",IF(AND(IF($I466&gt;$J466,$F466,IF($I466&lt;$J466,$G466,$K466))&lt;&gt;"",IF($L466&gt;$M466,$F466,IF($L466&lt;$M466,$G466,$N466))&lt;&gt;"",IF($I466&gt;$J466,$F466,IF($I466&lt;$J466,$G466,$K466))=IF($L466&gt;$M466,$F466,IF($L466&lt;$M466,$G466,$N466))),1,0))</x:f>
      </x:c>
      <x:c r="Q466" s="59" t="str">
        <x:f>IF($O466="","",$O466+$P466)</x:f>
      </x:c>
      <x:c r="R466" s="59" t="str">
        <x:f>IF($Q466="","",IF($O466=3,"Cravada",IF(AND($H466="Sim",$L466=$M466,$I466=$J466,$O466=2),"Empate cravado",IF($O466=1,"Resultado certo",IF($O466=-2,"Invertida",IF($P466=1,"Acertou quem passa","Erro"))))))</x:f>
      </x:c>
      <x:c r="S466" s="59" t="str">
        <x:f>IF($O466="","",--(OR($O466=3,AND($H466="Sim",$L466=$M466,$I466=$J466,$O466=2))))</x:f>
      </x:c>
      <x:c r="T466" s="59" t="str">
        <x:f>IF($O466="","",--($O466=-2))</x:f>
      </x:c>
      <x:c r="U466" s="59" t="str">
        <x:f>IF($O466="","",--($O466=1))</x:f>
      </x:c>
      <x:c r="V466" s="59" t="n">
        <x:f>--(AND($I466&lt;&gt;"",$J466&lt;&gt;""))</x:f>
        <x:v>0</x:v>
      </x:c>
    </x:row>
    <x:row r="467">
      <x:c r="A467" s="21" t="str">
        <x:f>INDEX(Config!$B$10:$B$16,INT((ROW()-5)/104)+1)</x:f>
        <x:v>Otávio</x:v>
      </x:c>
      <x:c r="B467" s="21" t="str">
        <x:v>GH5</x:v>
      </x:c>
      <x:c r="C467" s="21" t="n">
        <x:v>47</x:v>
      </x:c>
      <x:c r="D467" s="21" t="str">
        <x:v>Grupo H</x:v>
      </x:c>
      <x:c r="E467" s="21" t="str">
        <x:v>2026-06-26</x:v>
      </x:c>
      <x:c r="F467" s="21" t="str">
        <x:f>IFERROR(INDEX('Resultados'!$G$5:$G$108,MATCH($B467,'Resultados'!$A$5:$A$108,0)),"")</x:f>
        <x:v>Espanha</x:v>
      </x:c>
      <x:c r="G467" s="21" t="str">
        <x:f>IFERROR(INDEX('Resultados'!$J$5:$J$108,MATCH($B467,'Resultados'!$A$5:$A$108,0)),"")</x:f>
        <x:v>Uruguai</x:v>
      </x:c>
      <x:c r="H467" s="21" t="str">
        <x:v>Não</x:v>
      </x:c>
      <x:c r="I467" s="22"/>
      <x:c r="J467" s="22"/>
      <x:c r="K467" s="23"/>
      <x:c r="L467" s="21" t="str">
        <x:f>IFERROR(INDEX('Resultados'!$H$5:$H$108,MATCH($B467,'Resultados'!$A$5:$A$108,0)),"")</x:f>
      </x:c>
      <x:c r="M467" s="21" t="str">
        <x:f>IFERROR(INDEX('Resultados'!$I$5:$I$108,MATCH($B467,'Resultados'!$A$5:$A$108,0)),"")</x:f>
      </x:c>
      <x:c r="N467" s="21" t="str">
        <x:f>IFERROR(INDEX('Resultados'!$L$5:$L$108,MATCH($B467,'Resultados'!$A$5:$A$108,0)),"")</x:f>
      </x:c>
      <x:c r="O467" s="59" t="str">
        <x:f>IF(OR($I467="",$J467="",$L467="",$M467=""),"",IF(AND($H467="Sim",$L467=$M467),IF($I467&lt;&gt;$J467,0,IF(AND($I467=$L467,$J467=$M467),2,1)),IF(AND($I467=$L467,$J467=$M467),3,IF(AND($I467&lt;&gt;$J467,$I467=$M467,$J467=$L467),-2,IF(SIGN($I467-$J467)=SIGN($L467-$M467),1,0)))))</x:f>
      </x:c>
      <x:c r="P467" s="59" t="str">
        <x:f>IF(OR($H467&lt;&gt;"Sim",$I467="",$J467="",$L467="",$M467=""),"",IF(AND(IF($I467&gt;$J467,$F467,IF($I467&lt;$J467,$G467,$K467))&lt;&gt;"",IF($L467&gt;$M467,$F467,IF($L467&lt;$M467,$G467,$N467))&lt;&gt;"",IF($I467&gt;$J467,$F467,IF($I467&lt;$J467,$G467,$K467))=IF($L467&gt;$M467,$F467,IF($L467&lt;$M467,$G467,$N467))),1,0))</x:f>
      </x:c>
      <x:c r="Q467" s="59" t="str">
        <x:f>IF($O467="","",$O467+$P467)</x:f>
      </x:c>
      <x:c r="R467" s="59" t="str">
        <x:f>IF($Q467="","",IF($O467=3,"Cravada",IF(AND($H467="Sim",$L467=$M467,$I467=$J467,$O467=2),"Empate cravado",IF($O467=1,"Resultado certo",IF($O467=-2,"Invertida",IF($P467=1,"Acertou quem passa","Erro"))))))</x:f>
      </x:c>
      <x:c r="S467" s="59" t="str">
        <x:f>IF($O467="","",--(OR($O467=3,AND($H467="Sim",$L467=$M467,$I467=$J467,$O467=2))))</x:f>
      </x:c>
      <x:c r="T467" s="59" t="str">
        <x:f>IF($O467="","",--($O467=-2))</x:f>
      </x:c>
      <x:c r="U467" s="59" t="str">
        <x:f>IF($O467="","",--($O467=1))</x:f>
      </x:c>
      <x:c r="V467" s="59" t="n">
        <x:f>--(AND($I467&lt;&gt;"",$J467&lt;&gt;""))</x:f>
        <x:v>0</x:v>
      </x:c>
    </x:row>
    <x:row r="468">
      <x:c r="A468" s="21" t="str">
        <x:f>INDEX(Config!$B$10:$B$16,INT((ROW()-5)/104)+1)</x:f>
        <x:v>Otávio</x:v>
      </x:c>
      <x:c r="B468" s="21" t="str">
        <x:v>GH6</x:v>
      </x:c>
      <x:c r="C468" s="21" t="n">
        <x:v>48</x:v>
      </x:c>
      <x:c r="D468" s="21" t="str">
        <x:v>Grupo H</x:v>
      </x:c>
      <x:c r="E468" s="21" t="str">
        <x:v>2026-06-26</x:v>
      </x:c>
      <x:c r="F468" s="21" t="str">
        <x:f>IFERROR(INDEX('Resultados'!$G$5:$G$108,MATCH($B468,'Resultados'!$A$5:$A$108,0)),"")</x:f>
        <x:v>Cabo Verde</x:v>
      </x:c>
      <x:c r="G468" s="21" t="str">
        <x:f>IFERROR(INDEX('Resultados'!$J$5:$J$108,MATCH($B468,'Resultados'!$A$5:$A$108,0)),"")</x:f>
        <x:v>Arábia Saudita</x:v>
      </x:c>
      <x:c r="H468" s="21" t="str">
        <x:v>Não</x:v>
      </x:c>
      <x:c r="I468" s="22"/>
      <x:c r="J468" s="22"/>
      <x:c r="K468" s="23"/>
      <x:c r="L468" s="21" t="str">
        <x:f>IFERROR(INDEX('Resultados'!$H$5:$H$108,MATCH($B468,'Resultados'!$A$5:$A$108,0)),"")</x:f>
      </x:c>
      <x:c r="M468" s="21" t="str">
        <x:f>IFERROR(INDEX('Resultados'!$I$5:$I$108,MATCH($B468,'Resultados'!$A$5:$A$108,0)),"")</x:f>
      </x:c>
      <x:c r="N468" s="21" t="str">
        <x:f>IFERROR(INDEX('Resultados'!$L$5:$L$108,MATCH($B468,'Resultados'!$A$5:$A$108,0)),"")</x:f>
      </x:c>
      <x:c r="O468" s="59" t="str">
        <x:f>IF(OR($I468="",$J468="",$L468="",$M468=""),"",IF(AND($H468="Sim",$L468=$M468),IF($I468&lt;&gt;$J468,0,IF(AND($I468=$L468,$J468=$M468),2,1)),IF(AND($I468=$L468,$J468=$M468),3,IF(AND($I468&lt;&gt;$J468,$I468=$M468,$J468=$L468),-2,IF(SIGN($I468-$J468)=SIGN($L468-$M468),1,0)))))</x:f>
      </x:c>
      <x:c r="P468" s="59" t="str">
        <x:f>IF(OR($H468&lt;&gt;"Sim",$I468="",$J468="",$L468="",$M468=""),"",IF(AND(IF($I468&gt;$J468,$F468,IF($I468&lt;$J468,$G468,$K468))&lt;&gt;"",IF($L468&gt;$M468,$F468,IF($L468&lt;$M468,$G468,$N468))&lt;&gt;"",IF($I468&gt;$J468,$F468,IF($I468&lt;$J468,$G468,$K468))=IF($L468&gt;$M468,$F468,IF($L468&lt;$M468,$G468,$N468))),1,0))</x:f>
      </x:c>
      <x:c r="Q468" s="59" t="str">
        <x:f>IF($O468="","",$O468+$P468)</x:f>
      </x:c>
      <x:c r="R468" s="59" t="str">
        <x:f>IF($Q468="","",IF($O468=3,"Cravada",IF(AND($H468="Sim",$L468=$M468,$I468=$J468,$O468=2),"Empate cravado",IF($O468=1,"Resultado certo",IF($O468=-2,"Invertida",IF($P468=1,"Acertou quem passa","Erro"))))))</x:f>
      </x:c>
      <x:c r="S468" s="59" t="str">
        <x:f>IF($O468="","",--(OR($O468=3,AND($H468="Sim",$L468=$M468,$I468=$J468,$O468=2))))</x:f>
      </x:c>
      <x:c r="T468" s="59" t="str">
        <x:f>IF($O468="","",--($O468=-2))</x:f>
      </x:c>
      <x:c r="U468" s="59" t="str">
        <x:f>IF($O468="","",--($O468=1))</x:f>
      </x:c>
      <x:c r="V468" s="59" t="n">
        <x:f>--(AND($I468&lt;&gt;"",$J468&lt;&gt;""))</x:f>
        <x:v>0</x:v>
      </x:c>
    </x:row>
    <x:row r="469">
      <x:c r="A469" s="21" t="str">
        <x:f>INDEX(Config!$B$10:$B$16,INT((ROW()-5)/104)+1)</x:f>
        <x:v>Otávio</x:v>
      </x:c>
      <x:c r="B469" s="21" t="str">
        <x:v>GI1</x:v>
      </x:c>
      <x:c r="C469" s="21" t="n">
        <x:v>49</x:v>
      </x:c>
      <x:c r="D469" s="21" t="str">
        <x:v>Grupo I</x:v>
      </x:c>
      <x:c r="E469" s="21" t="str">
        <x:v>2026-06-16</x:v>
      </x:c>
      <x:c r="F469" s="21" t="str">
        <x:f>IFERROR(INDEX('Resultados'!$G$5:$G$108,MATCH($B469,'Resultados'!$A$5:$A$108,0)),"")</x:f>
        <x:v>França</x:v>
      </x:c>
      <x:c r="G469" s="21" t="str">
        <x:f>IFERROR(INDEX('Resultados'!$J$5:$J$108,MATCH($B469,'Resultados'!$A$5:$A$108,0)),"")</x:f>
        <x:v>Senegal</x:v>
      </x:c>
      <x:c r="H469" s="21" t="str">
        <x:v>Não</x:v>
      </x:c>
      <x:c r="I469" s="22"/>
      <x:c r="J469" s="22"/>
      <x:c r="K469" s="23"/>
      <x:c r="L469" s="21" t="str">
        <x:f>IFERROR(INDEX('Resultados'!$H$5:$H$108,MATCH($B469,'Resultados'!$A$5:$A$108,0)),"")</x:f>
      </x:c>
      <x:c r="M469" s="21" t="str">
        <x:f>IFERROR(INDEX('Resultados'!$I$5:$I$108,MATCH($B469,'Resultados'!$A$5:$A$108,0)),"")</x:f>
      </x:c>
      <x:c r="N469" s="21" t="str">
        <x:f>IFERROR(INDEX('Resultados'!$L$5:$L$108,MATCH($B469,'Resultados'!$A$5:$A$108,0)),"")</x:f>
      </x:c>
      <x:c r="O469" s="59" t="str">
        <x:f>IF(OR($I469="",$J469="",$L469="",$M469=""),"",IF(AND($H469="Sim",$L469=$M469),IF($I469&lt;&gt;$J469,0,IF(AND($I469=$L469,$J469=$M469),2,1)),IF(AND($I469=$L469,$J469=$M469),3,IF(AND($I469&lt;&gt;$J469,$I469=$M469,$J469=$L469),-2,IF(SIGN($I469-$J469)=SIGN($L469-$M469),1,0)))))</x:f>
      </x:c>
      <x:c r="P469" s="59" t="str">
        <x:f>IF(OR($H469&lt;&gt;"Sim",$I469="",$J469="",$L469="",$M469=""),"",IF(AND(IF($I469&gt;$J469,$F469,IF($I469&lt;$J469,$G469,$K469))&lt;&gt;"",IF($L469&gt;$M469,$F469,IF($L469&lt;$M469,$G469,$N469))&lt;&gt;"",IF($I469&gt;$J469,$F469,IF($I469&lt;$J469,$G469,$K469))=IF($L469&gt;$M469,$F469,IF($L469&lt;$M469,$G469,$N469))),1,0))</x:f>
      </x:c>
      <x:c r="Q469" s="59" t="str">
        <x:f>IF($O469="","",$O469+$P469)</x:f>
      </x:c>
      <x:c r="R469" s="59" t="str">
        <x:f>IF($Q469="","",IF($O469=3,"Cravada",IF(AND($H469="Sim",$L469=$M469,$I469=$J469,$O469=2),"Empate cravado",IF($O469=1,"Resultado certo",IF($O469=-2,"Invertida",IF($P469=1,"Acertou quem passa","Erro"))))))</x:f>
      </x:c>
      <x:c r="S469" s="59" t="str">
        <x:f>IF($O469="","",--(OR($O469=3,AND($H469="Sim",$L469=$M469,$I469=$J469,$O469=2))))</x:f>
      </x:c>
      <x:c r="T469" s="59" t="str">
        <x:f>IF($O469="","",--($O469=-2))</x:f>
      </x:c>
      <x:c r="U469" s="59" t="str">
        <x:f>IF($O469="","",--($O469=1))</x:f>
      </x:c>
      <x:c r="V469" s="59" t="n">
        <x:f>--(AND($I469&lt;&gt;"",$J469&lt;&gt;""))</x:f>
        <x:v>0</x:v>
      </x:c>
    </x:row>
    <x:row r="470">
      <x:c r="A470" s="21" t="str">
        <x:f>INDEX(Config!$B$10:$B$16,INT((ROW()-5)/104)+1)</x:f>
        <x:v>Otávio</x:v>
      </x:c>
      <x:c r="B470" s="21" t="str">
        <x:v>GI2</x:v>
      </x:c>
      <x:c r="C470" s="21" t="n">
        <x:v>50</x:v>
      </x:c>
      <x:c r="D470" s="21" t="str">
        <x:v>Grupo I</x:v>
      </x:c>
      <x:c r="E470" s="21" t="str">
        <x:v>2026-06-16</x:v>
      </x:c>
      <x:c r="F470" s="21" t="str">
        <x:f>IFERROR(INDEX('Resultados'!$G$5:$G$108,MATCH($B470,'Resultados'!$A$5:$A$108,0)),"")</x:f>
        <x:v>Iraque</x:v>
      </x:c>
      <x:c r="G470" s="21" t="str">
        <x:f>IFERROR(INDEX('Resultados'!$J$5:$J$108,MATCH($B470,'Resultados'!$A$5:$A$108,0)),"")</x:f>
        <x:v>Noruega</x:v>
      </x:c>
      <x:c r="H470" s="21" t="str">
        <x:v>Não</x:v>
      </x:c>
      <x:c r="I470" s="22"/>
      <x:c r="J470" s="22"/>
      <x:c r="K470" s="23"/>
      <x:c r="L470" s="21" t="str">
        <x:f>IFERROR(INDEX('Resultados'!$H$5:$H$108,MATCH($B470,'Resultados'!$A$5:$A$108,0)),"")</x:f>
      </x:c>
      <x:c r="M470" s="21" t="str">
        <x:f>IFERROR(INDEX('Resultados'!$I$5:$I$108,MATCH($B470,'Resultados'!$A$5:$A$108,0)),"")</x:f>
      </x:c>
      <x:c r="N470" s="21" t="str">
        <x:f>IFERROR(INDEX('Resultados'!$L$5:$L$108,MATCH($B470,'Resultados'!$A$5:$A$108,0)),"")</x:f>
      </x:c>
      <x:c r="O470" s="59" t="str">
        <x:f>IF(OR($I470="",$J470="",$L470="",$M470=""),"",IF(AND($H470="Sim",$L470=$M470),IF($I470&lt;&gt;$J470,0,IF(AND($I470=$L470,$J470=$M470),2,1)),IF(AND($I470=$L470,$J470=$M470),3,IF(AND($I470&lt;&gt;$J470,$I470=$M470,$J470=$L470),-2,IF(SIGN($I470-$J470)=SIGN($L470-$M470),1,0)))))</x:f>
      </x:c>
      <x:c r="P470" s="59" t="str">
        <x:f>IF(OR($H470&lt;&gt;"Sim",$I470="",$J470="",$L470="",$M470=""),"",IF(AND(IF($I470&gt;$J470,$F470,IF($I470&lt;$J470,$G470,$K470))&lt;&gt;"",IF($L470&gt;$M470,$F470,IF($L470&lt;$M470,$G470,$N470))&lt;&gt;"",IF($I470&gt;$J470,$F470,IF($I470&lt;$J470,$G470,$K470))=IF($L470&gt;$M470,$F470,IF($L470&lt;$M470,$G470,$N470))),1,0))</x:f>
      </x:c>
      <x:c r="Q470" s="59" t="str">
        <x:f>IF($O470="","",$O470+$P470)</x:f>
      </x:c>
      <x:c r="R470" s="59" t="str">
        <x:f>IF($Q470="","",IF($O470=3,"Cravada",IF(AND($H470="Sim",$L470=$M470,$I470=$J470,$O470=2),"Empate cravado",IF($O470=1,"Resultado certo",IF($O470=-2,"Invertida",IF($P470=1,"Acertou quem passa","Erro"))))))</x:f>
      </x:c>
      <x:c r="S470" s="59" t="str">
        <x:f>IF($O470="","",--(OR($O470=3,AND($H470="Sim",$L470=$M470,$I470=$J470,$O470=2))))</x:f>
      </x:c>
      <x:c r="T470" s="59" t="str">
        <x:f>IF($O470="","",--($O470=-2))</x:f>
      </x:c>
      <x:c r="U470" s="59" t="str">
        <x:f>IF($O470="","",--($O470=1))</x:f>
      </x:c>
      <x:c r="V470" s="59" t="n">
        <x:f>--(AND($I470&lt;&gt;"",$J470&lt;&gt;""))</x:f>
        <x:v>0</x:v>
      </x:c>
    </x:row>
    <x:row r="471">
      <x:c r="A471" s="21" t="str">
        <x:f>INDEX(Config!$B$10:$B$16,INT((ROW()-5)/104)+1)</x:f>
        <x:v>Otávio</x:v>
      </x:c>
      <x:c r="B471" s="21" t="str">
        <x:v>GI3</x:v>
      </x:c>
      <x:c r="C471" s="21" t="n">
        <x:v>51</x:v>
      </x:c>
      <x:c r="D471" s="21" t="str">
        <x:v>Grupo I</x:v>
      </x:c>
      <x:c r="E471" s="21" t="str">
        <x:v>2026-06-22</x:v>
      </x:c>
      <x:c r="F471" s="21" t="str">
        <x:f>IFERROR(INDEX('Resultados'!$G$5:$G$108,MATCH($B471,'Resultados'!$A$5:$A$108,0)),"")</x:f>
        <x:v>França</x:v>
      </x:c>
      <x:c r="G471" s="21" t="str">
        <x:f>IFERROR(INDEX('Resultados'!$J$5:$J$108,MATCH($B471,'Resultados'!$A$5:$A$108,0)),"")</x:f>
        <x:v>Iraque</x:v>
      </x:c>
      <x:c r="H471" s="21" t="str">
        <x:v>Não</x:v>
      </x:c>
      <x:c r="I471" s="22"/>
      <x:c r="J471" s="22"/>
      <x:c r="K471" s="23"/>
      <x:c r="L471" s="21" t="str">
        <x:f>IFERROR(INDEX('Resultados'!$H$5:$H$108,MATCH($B471,'Resultados'!$A$5:$A$108,0)),"")</x:f>
      </x:c>
      <x:c r="M471" s="21" t="str">
        <x:f>IFERROR(INDEX('Resultados'!$I$5:$I$108,MATCH($B471,'Resultados'!$A$5:$A$108,0)),"")</x:f>
      </x:c>
      <x:c r="N471" s="21" t="str">
        <x:f>IFERROR(INDEX('Resultados'!$L$5:$L$108,MATCH($B471,'Resultados'!$A$5:$A$108,0)),"")</x:f>
      </x:c>
      <x:c r="O471" s="59" t="str">
        <x:f>IF(OR($I471="",$J471="",$L471="",$M471=""),"",IF(AND($H471="Sim",$L471=$M471),IF($I471&lt;&gt;$J471,0,IF(AND($I471=$L471,$J471=$M471),2,1)),IF(AND($I471=$L471,$J471=$M471),3,IF(AND($I471&lt;&gt;$J471,$I471=$M471,$J471=$L471),-2,IF(SIGN($I471-$J471)=SIGN($L471-$M471),1,0)))))</x:f>
      </x:c>
      <x:c r="P471" s="59" t="str">
        <x:f>IF(OR($H471&lt;&gt;"Sim",$I471="",$J471="",$L471="",$M471=""),"",IF(AND(IF($I471&gt;$J471,$F471,IF($I471&lt;$J471,$G471,$K471))&lt;&gt;"",IF($L471&gt;$M471,$F471,IF($L471&lt;$M471,$G471,$N471))&lt;&gt;"",IF($I471&gt;$J471,$F471,IF($I471&lt;$J471,$G471,$K471))=IF($L471&gt;$M471,$F471,IF($L471&lt;$M471,$G471,$N471))),1,0))</x:f>
      </x:c>
      <x:c r="Q471" s="59" t="str">
        <x:f>IF($O471="","",$O471+$P471)</x:f>
      </x:c>
      <x:c r="R471" s="59" t="str">
        <x:f>IF($Q471="","",IF($O471=3,"Cravada",IF(AND($H471="Sim",$L471=$M471,$I471=$J471,$O471=2),"Empate cravado",IF($O471=1,"Resultado certo",IF($O471=-2,"Invertida",IF($P471=1,"Acertou quem passa","Erro"))))))</x:f>
      </x:c>
      <x:c r="S471" s="59" t="str">
        <x:f>IF($O471="","",--(OR($O471=3,AND($H471="Sim",$L471=$M471,$I471=$J471,$O471=2))))</x:f>
      </x:c>
      <x:c r="T471" s="59" t="str">
        <x:f>IF($O471="","",--($O471=-2))</x:f>
      </x:c>
      <x:c r="U471" s="59" t="str">
        <x:f>IF($O471="","",--($O471=1))</x:f>
      </x:c>
      <x:c r="V471" s="59" t="n">
        <x:f>--(AND($I471&lt;&gt;"",$J471&lt;&gt;""))</x:f>
        <x:v>0</x:v>
      </x:c>
    </x:row>
    <x:row r="472">
      <x:c r="A472" s="21" t="str">
        <x:f>INDEX(Config!$B$10:$B$16,INT((ROW()-5)/104)+1)</x:f>
        <x:v>Otávio</x:v>
      </x:c>
      <x:c r="B472" s="21" t="str">
        <x:v>GI4</x:v>
      </x:c>
      <x:c r="C472" s="21" t="n">
        <x:v>52</x:v>
      </x:c>
      <x:c r="D472" s="21" t="str">
        <x:v>Grupo I</x:v>
      </x:c>
      <x:c r="E472" s="21" t="str">
        <x:v>2026-06-22</x:v>
      </x:c>
      <x:c r="F472" s="21" t="str">
        <x:f>IFERROR(INDEX('Resultados'!$G$5:$G$108,MATCH($B472,'Resultados'!$A$5:$A$108,0)),"")</x:f>
        <x:v>Senegal</x:v>
      </x:c>
      <x:c r="G472" s="21" t="str">
        <x:f>IFERROR(INDEX('Resultados'!$J$5:$J$108,MATCH($B472,'Resultados'!$A$5:$A$108,0)),"")</x:f>
        <x:v>Noruega</x:v>
      </x:c>
      <x:c r="H472" s="21" t="str">
        <x:v>Não</x:v>
      </x:c>
      <x:c r="I472" s="22"/>
      <x:c r="J472" s="22"/>
      <x:c r="K472" s="23"/>
      <x:c r="L472" s="21" t="str">
        <x:f>IFERROR(INDEX('Resultados'!$H$5:$H$108,MATCH($B472,'Resultados'!$A$5:$A$108,0)),"")</x:f>
      </x:c>
      <x:c r="M472" s="21" t="str">
        <x:f>IFERROR(INDEX('Resultados'!$I$5:$I$108,MATCH($B472,'Resultados'!$A$5:$A$108,0)),"")</x:f>
      </x:c>
      <x:c r="N472" s="21" t="str">
        <x:f>IFERROR(INDEX('Resultados'!$L$5:$L$108,MATCH($B472,'Resultados'!$A$5:$A$108,0)),"")</x:f>
      </x:c>
      <x:c r="O472" s="59" t="str">
        <x:f>IF(OR($I472="",$J472="",$L472="",$M472=""),"",IF(AND($H472="Sim",$L472=$M472),IF($I472&lt;&gt;$J472,0,IF(AND($I472=$L472,$J472=$M472),2,1)),IF(AND($I472=$L472,$J472=$M472),3,IF(AND($I472&lt;&gt;$J472,$I472=$M472,$J472=$L472),-2,IF(SIGN($I472-$J472)=SIGN($L472-$M472),1,0)))))</x:f>
      </x:c>
      <x:c r="P472" s="59" t="str">
        <x:f>IF(OR($H472&lt;&gt;"Sim",$I472="",$J472="",$L472="",$M472=""),"",IF(AND(IF($I472&gt;$J472,$F472,IF($I472&lt;$J472,$G472,$K472))&lt;&gt;"",IF($L472&gt;$M472,$F472,IF($L472&lt;$M472,$G472,$N472))&lt;&gt;"",IF($I472&gt;$J472,$F472,IF($I472&lt;$J472,$G472,$K472))=IF($L472&gt;$M472,$F472,IF($L472&lt;$M472,$G472,$N472))),1,0))</x:f>
      </x:c>
      <x:c r="Q472" s="59" t="str">
        <x:f>IF($O472="","",$O472+$P472)</x:f>
      </x:c>
      <x:c r="R472" s="59" t="str">
        <x:f>IF($Q472="","",IF($O472=3,"Cravada",IF(AND($H472="Sim",$L472=$M472,$I472=$J472,$O472=2),"Empate cravado",IF($O472=1,"Resultado certo",IF($O472=-2,"Invertida",IF($P472=1,"Acertou quem passa","Erro"))))))</x:f>
      </x:c>
      <x:c r="S472" s="59" t="str">
        <x:f>IF($O472="","",--(OR($O472=3,AND($H472="Sim",$L472=$M472,$I472=$J472,$O472=2))))</x:f>
      </x:c>
      <x:c r="T472" s="59" t="str">
        <x:f>IF($O472="","",--($O472=-2))</x:f>
      </x:c>
      <x:c r="U472" s="59" t="str">
        <x:f>IF($O472="","",--($O472=1))</x:f>
      </x:c>
      <x:c r="V472" s="59" t="n">
        <x:f>--(AND($I472&lt;&gt;"",$J472&lt;&gt;""))</x:f>
        <x:v>0</x:v>
      </x:c>
    </x:row>
    <x:row r="473">
      <x:c r="A473" s="21" t="str">
        <x:f>INDEX(Config!$B$10:$B$16,INT((ROW()-5)/104)+1)</x:f>
        <x:v>Otávio</x:v>
      </x:c>
      <x:c r="B473" s="21" t="str">
        <x:v>GI5</x:v>
      </x:c>
      <x:c r="C473" s="21" t="n">
        <x:v>53</x:v>
      </x:c>
      <x:c r="D473" s="21" t="str">
        <x:v>Grupo I</x:v>
      </x:c>
      <x:c r="E473" s="21" t="str">
        <x:v>2026-06-26</x:v>
      </x:c>
      <x:c r="F473" s="21" t="str">
        <x:f>IFERROR(INDEX('Resultados'!$G$5:$G$108,MATCH($B473,'Resultados'!$A$5:$A$108,0)),"")</x:f>
        <x:v>França</x:v>
      </x:c>
      <x:c r="G473" s="21" t="str">
        <x:f>IFERROR(INDEX('Resultados'!$J$5:$J$108,MATCH($B473,'Resultados'!$A$5:$A$108,0)),"")</x:f>
        <x:v>Noruega</x:v>
      </x:c>
      <x:c r="H473" s="21" t="str">
        <x:v>Não</x:v>
      </x:c>
      <x:c r="I473" s="22"/>
      <x:c r="J473" s="22"/>
      <x:c r="K473" s="23"/>
      <x:c r="L473" s="21" t="str">
        <x:f>IFERROR(INDEX('Resultados'!$H$5:$H$108,MATCH($B473,'Resultados'!$A$5:$A$108,0)),"")</x:f>
      </x:c>
      <x:c r="M473" s="21" t="str">
        <x:f>IFERROR(INDEX('Resultados'!$I$5:$I$108,MATCH($B473,'Resultados'!$A$5:$A$108,0)),"")</x:f>
      </x:c>
      <x:c r="N473" s="21" t="str">
        <x:f>IFERROR(INDEX('Resultados'!$L$5:$L$108,MATCH($B473,'Resultados'!$A$5:$A$108,0)),"")</x:f>
      </x:c>
      <x:c r="O473" s="59" t="str">
        <x:f>IF(OR($I473="",$J473="",$L473="",$M473=""),"",IF(AND($H473="Sim",$L473=$M473),IF($I473&lt;&gt;$J473,0,IF(AND($I473=$L473,$J473=$M473),2,1)),IF(AND($I473=$L473,$J473=$M473),3,IF(AND($I473&lt;&gt;$J473,$I473=$M473,$J473=$L473),-2,IF(SIGN($I473-$J473)=SIGN($L473-$M473),1,0)))))</x:f>
      </x:c>
      <x:c r="P473" s="59" t="str">
        <x:f>IF(OR($H473&lt;&gt;"Sim",$I473="",$J473="",$L473="",$M473=""),"",IF(AND(IF($I473&gt;$J473,$F473,IF($I473&lt;$J473,$G473,$K473))&lt;&gt;"",IF($L473&gt;$M473,$F473,IF($L473&lt;$M473,$G473,$N473))&lt;&gt;"",IF($I473&gt;$J473,$F473,IF($I473&lt;$J473,$G473,$K473))=IF($L473&gt;$M473,$F473,IF($L473&lt;$M473,$G473,$N473))),1,0))</x:f>
      </x:c>
      <x:c r="Q473" s="59" t="str">
        <x:f>IF($O473="","",$O473+$P473)</x:f>
      </x:c>
      <x:c r="R473" s="59" t="str">
        <x:f>IF($Q473="","",IF($O473=3,"Cravada",IF(AND($H473="Sim",$L473=$M473,$I473=$J473,$O473=2),"Empate cravado",IF($O473=1,"Resultado certo",IF($O473=-2,"Invertida",IF($P473=1,"Acertou quem passa","Erro"))))))</x:f>
      </x:c>
      <x:c r="S473" s="59" t="str">
        <x:f>IF($O473="","",--(OR($O473=3,AND($H473="Sim",$L473=$M473,$I473=$J473,$O473=2))))</x:f>
      </x:c>
      <x:c r="T473" s="59" t="str">
        <x:f>IF($O473="","",--($O473=-2))</x:f>
      </x:c>
      <x:c r="U473" s="59" t="str">
        <x:f>IF($O473="","",--($O473=1))</x:f>
      </x:c>
      <x:c r="V473" s="59" t="n">
        <x:f>--(AND($I473&lt;&gt;"",$J473&lt;&gt;""))</x:f>
        <x:v>0</x:v>
      </x:c>
    </x:row>
    <x:row r="474">
      <x:c r="A474" s="21" t="str">
        <x:f>INDEX(Config!$B$10:$B$16,INT((ROW()-5)/104)+1)</x:f>
        <x:v>Otávio</x:v>
      </x:c>
      <x:c r="B474" s="21" t="str">
        <x:v>GI6</x:v>
      </x:c>
      <x:c r="C474" s="21" t="n">
        <x:v>54</x:v>
      </x:c>
      <x:c r="D474" s="21" t="str">
        <x:v>Grupo I</x:v>
      </x:c>
      <x:c r="E474" s="21" t="str">
        <x:v>2026-06-26</x:v>
      </x:c>
      <x:c r="F474" s="21" t="str">
        <x:f>IFERROR(INDEX('Resultados'!$G$5:$G$108,MATCH($B474,'Resultados'!$A$5:$A$108,0)),"")</x:f>
        <x:v>Senegal</x:v>
      </x:c>
      <x:c r="G474" s="21" t="str">
        <x:f>IFERROR(INDEX('Resultados'!$J$5:$J$108,MATCH($B474,'Resultados'!$A$5:$A$108,0)),"")</x:f>
        <x:v>Iraque</x:v>
      </x:c>
      <x:c r="H474" s="21" t="str">
        <x:v>Não</x:v>
      </x:c>
      <x:c r="I474" s="22"/>
      <x:c r="J474" s="22"/>
      <x:c r="K474" s="23"/>
      <x:c r="L474" s="21" t="str">
        <x:f>IFERROR(INDEX('Resultados'!$H$5:$H$108,MATCH($B474,'Resultados'!$A$5:$A$108,0)),"")</x:f>
      </x:c>
      <x:c r="M474" s="21" t="str">
        <x:f>IFERROR(INDEX('Resultados'!$I$5:$I$108,MATCH($B474,'Resultados'!$A$5:$A$108,0)),"")</x:f>
      </x:c>
      <x:c r="N474" s="21" t="str">
        <x:f>IFERROR(INDEX('Resultados'!$L$5:$L$108,MATCH($B474,'Resultados'!$A$5:$A$108,0)),"")</x:f>
      </x:c>
      <x:c r="O474" s="59" t="str">
        <x:f>IF(OR($I474="",$J474="",$L474="",$M474=""),"",IF(AND($H474="Sim",$L474=$M474),IF($I474&lt;&gt;$J474,0,IF(AND($I474=$L474,$J474=$M474),2,1)),IF(AND($I474=$L474,$J474=$M474),3,IF(AND($I474&lt;&gt;$J474,$I474=$M474,$J474=$L474),-2,IF(SIGN($I474-$J474)=SIGN($L474-$M474),1,0)))))</x:f>
      </x:c>
      <x:c r="P474" s="59" t="str">
        <x:f>IF(OR($H474&lt;&gt;"Sim",$I474="",$J474="",$L474="",$M474=""),"",IF(AND(IF($I474&gt;$J474,$F474,IF($I474&lt;$J474,$G474,$K474))&lt;&gt;"",IF($L474&gt;$M474,$F474,IF($L474&lt;$M474,$G474,$N474))&lt;&gt;"",IF($I474&gt;$J474,$F474,IF($I474&lt;$J474,$G474,$K474))=IF($L474&gt;$M474,$F474,IF($L474&lt;$M474,$G474,$N474))),1,0))</x:f>
      </x:c>
      <x:c r="Q474" s="59" t="str">
        <x:f>IF($O474="","",$O474+$P474)</x:f>
      </x:c>
      <x:c r="R474" s="59" t="str">
        <x:f>IF($Q474="","",IF($O474=3,"Cravada",IF(AND($H474="Sim",$L474=$M474,$I474=$J474,$O474=2),"Empate cravado",IF($O474=1,"Resultado certo",IF($O474=-2,"Invertida",IF($P474=1,"Acertou quem passa","Erro"))))))</x:f>
      </x:c>
      <x:c r="S474" s="59" t="str">
        <x:f>IF($O474="","",--(OR($O474=3,AND($H474="Sim",$L474=$M474,$I474=$J474,$O474=2))))</x:f>
      </x:c>
      <x:c r="T474" s="59" t="str">
        <x:f>IF($O474="","",--($O474=-2))</x:f>
      </x:c>
      <x:c r="U474" s="59" t="str">
        <x:f>IF($O474="","",--($O474=1))</x:f>
      </x:c>
      <x:c r="V474" s="59" t="n">
        <x:f>--(AND($I474&lt;&gt;"",$J474&lt;&gt;""))</x:f>
        <x:v>0</x:v>
      </x:c>
    </x:row>
    <x:row r="475">
      <x:c r="A475" s="21" t="str">
        <x:f>INDEX(Config!$B$10:$B$16,INT((ROW()-5)/104)+1)</x:f>
        <x:v>Otávio</x:v>
      </x:c>
      <x:c r="B475" s="21" t="str">
        <x:v>GJ1</x:v>
      </x:c>
      <x:c r="C475" s="21" t="n">
        <x:v>55</x:v>
      </x:c>
      <x:c r="D475" s="21" t="str">
        <x:v>Grupo J</x:v>
      </x:c>
      <x:c r="E475" s="21" t="str">
        <x:v>2026-06-16</x:v>
      </x:c>
      <x:c r="F475" s="21" t="str">
        <x:f>IFERROR(INDEX('Resultados'!$G$5:$G$108,MATCH($B475,'Resultados'!$A$5:$A$108,0)),"")</x:f>
        <x:v>Argentina</x:v>
      </x:c>
      <x:c r="G475" s="21" t="str">
        <x:f>IFERROR(INDEX('Resultados'!$J$5:$J$108,MATCH($B475,'Resultados'!$A$5:$A$108,0)),"")</x:f>
        <x:v>Argélia</x:v>
      </x:c>
      <x:c r="H475" s="21" t="str">
        <x:v>Não</x:v>
      </x:c>
      <x:c r="I475" s="22"/>
      <x:c r="J475" s="22"/>
      <x:c r="K475" s="23"/>
      <x:c r="L475" s="21" t="str">
        <x:f>IFERROR(INDEX('Resultados'!$H$5:$H$108,MATCH($B475,'Resultados'!$A$5:$A$108,0)),"")</x:f>
      </x:c>
      <x:c r="M475" s="21" t="str">
        <x:f>IFERROR(INDEX('Resultados'!$I$5:$I$108,MATCH($B475,'Resultados'!$A$5:$A$108,0)),"")</x:f>
      </x:c>
      <x:c r="N475" s="21" t="str">
        <x:f>IFERROR(INDEX('Resultados'!$L$5:$L$108,MATCH($B475,'Resultados'!$A$5:$A$108,0)),"")</x:f>
      </x:c>
      <x:c r="O475" s="59" t="str">
        <x:f>IF(OR($I475="",$J475="",$L475="",$M475=""),"",IF(AND($H475="Sim",$L475=$M475),IF($I475&lt;&gt;$J475,0,IF(AND($I475=$L475,$J475=$M475),2,1)),IF(AND($I475=$L475,$J475=$M475),3,IF(AND($I475&lt;&gt;$J475,$I475=$M475,$J475=$L475),-2,IF(SIGN($I475-$J475)=SIGN($L475-$M475),1,0)))))</x:f>
      </x:c>
      <x:c r="P475" s="59" t="str">
        <x:f>IF(OR($H475&lt;&gt;"Sim",$I475="",$J475="",$L475="",$M475=""),"",IF(AND(IF($I475&gt;$J475,$F475,IF($I475&lt;$J475,$G475,$K475))&lt;&gt;"",IF($L475&gt;$M475,$F475,IF($L475&lt;$M475,$G475,$N475))&lt;&gt;"",IF($I475&gt;$J475,$F475,IF($I475&lt;$J475,$G475,$K475))=IF($L475&gt;$M475,$F475,IF($L475&lt;$M475,$G475,$N475))),1,0))</x:f>
      </x:c>
      <x:c r="Q475" s="59" t="str">
        <x:f>IF($O475="","",$O475+$P475)</x:f>
      </x:c>
      <x:c r="R475" s="59" t="str">
        <x:f>IF($Q475="","",IF($O475=3,"Cravada",IF(AND($H475="Sim",$L475=$M475,$I475=$J475,$O475=2),"Empate cravado",IF($O475=1,"Resultado certo",IF($O475=-2,"Invertida",IF($P475=1,"Acertou quem passa","Erro"))))))</x:f>
      </x:c>
      <x:c r="S475" s="59" t="str">
        <x:f>IF($O475="","",--(OR($O475=3,AND($H475="Sim",$L475=$M475,$I475=$J475,$O475=2))))</x:f>
      </x:c>
      <x:c r="T475" s="59" t="str">
        <x:f>IF($O475="","",--($O475=-2))</x:f>
      </x:c>
      <x:c r="U475" s="59" t="str">
        <x:f>IF($O475="","",--($O475=1))</x:f>
      </x:c>
      <x:c r="V475" s="59" t="n">
        <x:f>--(AND($I475&lt;&gt;"",$J475&lt;&gt;""))</x:f>
        <x:v>0</x:v>
      </x:c>
    </x:row>
    <x:row r="476">
      <x:c r="A476" s="21" t="str">
        <x:f>INDEX(Config!$B$10:$B$16,INT((ROW()-5)/104)+1)</x:f>
        <x:v>Otávio</x:v>
      </x:c>
      <x:c r="B476" s="21" t="str">
        <x:v>GJ2</x:v>
      </x:c>
      <x:c r="C476" s="21" t="n">
        <x:v>56</x:v>
      </x:c>
      <x:c r="D476" s="21" t="str">
        <x:v>Grupo J</x:v>
      </x:c>
      <x:c r="E476" s="21" t="str">
        <x:v>2026-06-17</x:v>
      </x:c>
      <x:c r="F476" s="21" t="str">
        <x:f>IFERROR(INDEX('Resultados'!$G$5:$G$108,MATCH($B476,'Resultados'!$A$5:$A$108,0)),"")</x:f>
        <x:v>Áustria</x:v>
      </x:c>
      <x:c r="G476" s="21" t="str">
        <x:f>IFERROR(INDEX('Resultados'!$J$5:$J$108,MATCH($B476,'Resultados'!$A$5:$A$108,0)),"")</x:f>
        <x:v>Jordânia</x:v>
      </x:c>
      <x:c r="H476" s="21" t="str">
        <x:v>Não</x:v>
      </x:c>
      <x:c r="I476" s="22"/>
      <x:c r="J476" s="22"/>
      <x:c r="K476" s="23"/>
      <x:c r="L476" s="21" t="str">
        <x:f>IFERROR(INDEX('Resultados'!$H$5:$H$108,MATCH($B476,'Resultados'!$A$5:$A$108,0)),"")</x:f>
      </x:c>
      <x:c r="M476" s="21" t="str">
        <x:f>IFERROR(INDEX('Resultados'!$I$5:$I$108,MATCH($B476,'Resultados'!$A$5:$A$108,0)),"")</x:f>
      </x:c>
      <x:c r="N476" s="21" t="str">
        <x:f>IFERROR(INDEX('Resultados'!$L$5:$L$108,MATCH($B476,'Resultados'!$A$5:$A$108,0)),"")</x:f>
      </x:c>
      <x:c r="O476" s="59" t="str">
        <x:f>IF(OR($I476="",$J476="",$L476="",$M476=""),"",IF(AND($H476="Sim",$L476=$M476),IF($I476&lt;&gt;$J476,0,IF(AND($I476=$L476,$J476=$M476),2,1)),IF(AND($I476=$L476,$J476=$M476),3,IF(AND($I476&lt;&gt;$J476,$I476=$M476,$J476=$L476),-2,IF(SIGN($I476-$J476)=SIGN($L476-$M476),1,0)))))</x:f>
      </x:c>
      <x:c r="P476" s="59" t="str">
        <x:f>IF(OR($H476&lt;&gt;"Sim",$I476="",$J476="",$L476="",$M476=""),"",IF(AND(IF($I476&gt;$J476,$F476,IF($I476&lt;$J476,$G476,$K476))&lt;&gt;"",IF($L476&gt;$M476,$F476,IF($L476&lt;$M476,$G476,$N476))&lt;&gt;"",IF($I476&gt;$J476,$F476,IF($I476&lt;$J476,$G476,$K476))=IF($L476&gt;$M476,$F476,IF($L476&lt;$M476,$G476,$N476))),1,0))</x:f>
      </x:c>
      <x:c r="Q476" s="59" t="str">
        <x:f>IF($O476="","",$O476+$P476)</x:f>
      </x:c>
      <x:c r="R476" s="59" t="str">
        <x:f>IF($Q476="","",IF($O476=3,"Cravada",IF(AND($H476="Sim",$L476=$M476,$I476=$J476,$O476=2),"Empate cravado",IF($O476=1,"Resultado certo",IF($O476=-2,"Invertida",IF($P476=1,"Acertou quem passa","Erro"))))))</x:f>
      </x:c>
      <x:c r="S476" s="59" t="str">
        <x:f>IF($O476="","",--(OR($O476=3,AND($H476="Sim",$L476=$M476,$I476=$J476,$O476=2))))</x:f>
      </x:c>
      <x:c r="T476" s="59" t="str">
        <x:f>IF($O476="","",--($O476=-2))</x:f>
      </x:c>
      <x:c r="U476" s="59" t="str">
        <x:f>IF($O476="","",--($O476=1))</x:f>
      </x:c>
      <x:c r="V476" s="59" t="n">
        <x:f>--(AND($I476&lt;&gt;"",$J476&lt;&gt;""))</x:f>
        <x:v>0</x:v>
      </x:c>
    </x:row>
    <x:row r="477">
      <x:c r="A477" s="21" t="str">
        <x:f>INDEX(Config!$B$10:$B$16,INT((ROW()-5)/104)+1)</x:f>
        <x:v>Otávio</x:v>
      </x:c>
      <x:c r="B477" s="21" t="str">
        <x:v>GJ3</x:v>
      </x:c>
      <x:c r="C477" s="21" t="n">
        <x:v>57</x:v>
      </x:c>
      <x:c r="D477" s="21" t="str">
        <x:v>Grupo J</x:v>
      </x:c>
      <x:c r="E477" s="21" t="str">
        <x:v>2026-06-22</x:v>
      </x:c>
      <x:c r="F477" s="21" t="str">
        <x:f>IFERROR(INDEX('Resultados'!$G$5:$G$108,MATCH($B477,'Resultados'!$A$5:$A$108,0)),"")</x:f>
        <x:v>Argentina</x:v>
      </x:c>
      <x:c r="G477" s="21" t="str">
        <x:f>IFERROR(INDEX('Resultados'!$J$5:$J$108,MATCH($B477,'Resultados'!$A$5:$A$108,0)),"")</x:f>
        <x:v>Áustria</x:v>
      </x:c>
      <x:c r="H477" s="21" t="str">
        <x:v>Não</x:v>
      </x:c>
      <x:c r="I477" s="22"/>
      <x:c r="J477" s="22"/>
      <x:c r="K477" s="23"/>
      <x:c r="L477" s="21" t="str">
        <x:f>IFERROR(INDEX('Resultados'!$H$5:$H$108,MATCH($B477,'Resultados'!$A$5:$A$108,0)),"")</x:f>
      </x:c>
      <x:c r="M477" s="21" t="str">
        <x:f>IFERROR(INDEX('Resultados'!$I$5:$I$108,MATCH($B477,'Resultados'!$A$5:$A$108,0)),"")</x:f>
      </x:c>
      <x:c r="N477" s="21" t="str">
        <x:f>IFERROR(INDEX('Resultados'!$L$5:$L$108,MATCH($B477,'Resultados'!$A$5:$A$108,0)),"")</x:f>
      </x:c>
      <x:c r="O477" s="59" t="str">
        <x:f>IF(OR($I477="",$J477="",$L477="",$M477=""),"",IF(AND($H477="Sim",$L477=$M477),IF($I477&lt;&gt;$J477,0,IF(AND($I477=$L477,$J477=$M477),2,1)),IF(AND($I477=$L477,$J477=$M477),3,IF(AND($I477&lt;&gt;$J477,$I477=$M477,$J477=$L477),-2,IF(SIGN($I477-$J477)=SIGN($L477-$M477),1,0)))))</x:f>
      </x:c>
      <x:c r="P477" s="59" t="str">
        <x:f>IF(OR($H477&lt;&gt;"Sim",$I477="",$J477="",$L477="",$M477=""),"",IF(AND(IF($I477&gt;$J477,$F477,IF($I477&lt;$J477,$G477,$K477))&lt;&gt;"",IF($L477&gt;$M477,$F477,IF($L477&lt;$M477,$G477,$N477))&lt;&gt;"",IF($I477&gt;$J477,$F477,IF($I477&lt;$J477,$G477,$K477))=IF($L477&gt;$M477,$F477,IF($L477&lt;$M477,$G477,$N477))),1,0))</x:f>
      </x:c>
      <x:c r="Q477" s="59" t="str">
        <x:f>IF($O477="","",$O477+$P477)</x:f>
      </x:c>
      <x:c r="R477" s="59" t="str">
        <x:f>IF($Q477="","",IF($O477=3,"Cravada",IF(AND($H477="Sim",$L477=$M477,$I477=$J477,$O477=2),"Empate cravado",IF($O477=1,"Resultado certo",IF($O477=-2,"Invertida",IF($P477=1,"Acertou quem passa","Erro"))))))</x:f>
      </x:c>
      <x:c r="S477" s="59" t="str">
        <x:f>IF($O477="","",--(OR($O477=3,AND($H477="Sim",$L477=$M477,$I477=$J477,$O477=2))))</x:f>
      </x:c>
      <x:c r="T477" s="59" t="str">
        <x:f>IF($O477="","",--($O477=-2))</x:f>
      </x:c>
      <x:c r="U477" s="59" t="str">
        <x:f>IF($O477="","",--($O477=1))</x:f>
      </x:c>
      <x:c r="V477" s="59" t="n">
        <x:f>--(AND($I477&lt;&gt;"",$J477&lt;&gt;""))</x:f>
        <x:v>0</x:v>
      </x:c>
    </x:row>
    <x:row r="478">
      <x:c r="A478" s="21" t="str">
        <x:f>INDEX(Config!$B$10:$B$16,INT((ROW()-5)/104)+1)</x:f>
        <x:v>Otávio</x:v>
      </x:c>
      <x:c r="B478" s="21" t="str">
        <x:v>GJ4</x:v>
      </x:c>
      <x:c r="C478" s="21" t="n">
        <x:v>58</x:v>
      </x:c>
      <x:c r="D478" s="21" t="str">
        <x:v>Grupo J</x:v>
      </x:c>
      <x:c r="E478" s="21" t="str">
        <x:v>2026-06-23</x:v>
      </x:c>
      <x:c r="F478" s="21" t="str">
        <x:f>IFERROR(INDEX('Resultados'!$G$5:$G$108,MATCH($B478,'Resultados'!$A$5:$A$108,0)),"")</x:f>
        <x:v>Argélia</x:v>
      </x:c>
      <x:c r="G478" s="21" t="str">
        <x:f>IFERROR(INDEX('Resultados'!$J$5:$J$108,MATCH($B478,'Resultados'!$A$5:$A$108,0)),"")</x:f>
        <x:v>Jordânia</x:v>
      </x:c>
      <x:c r="H478" s="21" t="str">
        <x:v>Não</x:v>
      </x:c>
      <x:c r="I478" s="22"/>
      <x:c r="J478" s="22"/>
      <x:c r="K478" s="23"/>
      <x:c r="L478" s="21" t="str">
        <x:f>IFERROR(INDEX('Resultados'!$H$5:$H$108,MATCH($B478,'Resultados'!$A$5:$A$108,0)),"")</x:f>
      </x:c>
      <x:c r="M478" s="21" t="str">
        <x:f>IFERROR(INDEX('Resultados'!$I$5:$I$108,MATCH($B478,'Resultados'!$A$5:$A$108,0)),"")</x:f>
      </x:c>
      <x:c r="N478" s="21" t="str">
        <x:f>IFERROR(INDEX('Resultados'!$L$5:$L$108,MATCH($B478,'Resultados'!$A$5:$A$108,0)),"")</x:f>
      </x:c>
      <x:c r="O478" s="59" t="str">
        <x:f>IF(OR($I478="",$J478="",$L478="",$M478=""),"",IF(AND($H478="Sim",$L478=$M478),IF($I478&lt;&gt;$J478,0,IF(AND($I478=$L478,$J478=$M478),2,1)),IF(AND($I478=$L478,$J478=$M478),3,IF(AND($I478&lt;&gt;$J478,$I478=$M478,$J478=$L478),-2,IF(SIGN($I478-$J478)=SIGN($L478-$M478),1,0)))))</x:f>
      </x:c>
      <x:c r="P478" s="59" t="str">
        <x:f>IF(OR($H478&lt;&gt;"Sim",$I478="",$J478="",$L478="",$M478=""),"",IF(AND(IF($I478&gt;$J478,$F478,IF($I478&lt;$J478,$G478,$K478))&lt;&gt;"",IF($L478&gt;$M478,$F478,IF($L478&lt;$M478,$G478,$N478))&lt;&gt;"",IF($I478&gt;$J478,$F478,IF($I478&lt;$J478,$G478,$K478))=IF($L478&gt;$M478,$F478,IF($L478&lt;$M478,$G478,$N478))),1,0))</x:f>
      </x:c>
      <x:c r="Q478" s="59" t="str">
        <x:f>IF($O478="","",$O478+$P478)</x:f>
      </x:c>
      <x:c r="R478" s="59" t="str">
        <x:f>IF($Q478="","",IF($O478=3,"Cravada",IF(AND($H478="Sim",$L478=$M478,$I478=$J478,$O478=2),"Empate cravado",IF($O478=1,"Resultado certo",IF($O478=-2,"Invertida",IF($P478=1,"Acertou quem passa","Erro"))))))</x:f>
      </x:c>
      <x:c r="S478" s="59" t="str">
        <x:f>IF($O478="","",--(OR($O478=3,AND($H478="Sim",$L478=$M478,$I478=$J478,$O478=2))))</x:f>
      </x:c>
      <x:c r="T478" s="59" t="str">
        <x:f>IF($O478="","",--($O478=-2))</x:f>
      </x:c>
      <x:c r="U478" s="59" t="str">
        <x:f>IF($O478="","",--($O478=1))</x:f>
      </x:c>
      <x:c r="V478" s="59" t="n">
        <x:f>--(AND($I478&lt;&gt;"",$J478&lt;&gt;""))</x:f>
        <x:v>0</x:v>
      </x:c>
    </x:row>
    <x:row r="479">
      <x:c r="A479" s="21" t="str">
        <x:f>INDEX(Config!$B$10:$B$16,INT((ROW()-5)/104)+1)</x:f>
        <x:v>Otávio</x:v>
      </x:c>
      <x:c r="B479" s="21" t="str">
        <x:v>GJ5</x:v>
      </x:c>
      <x:c r="C479" s="21" t="n">
        <x:v>59</x:v>
      </x:c>
      <x:c r="D479" s="21" t="str">
        <x:v>Grupo J</x:v>
      </x:c>
      <x:c r="E479" s="21" t="str">
        <x:v>2026-06-27</x:v>
      </x:c>
      <x:c r="F479" s="21" t="str">
        <x:f>IFERROR(INDEX('Resultados'!$G$5:$G$108,MATCH($B479,'Resultados'!$A$5:$A$108,0)),"")</x:f>
        <x:v>Argentina</x:v>
      </x:c>
      <x:c r="G479" s="21" t="str">
        <x:f>IFERROR(INDEX('Resultados'!$J$5:$J$108,MATCH($B479,'Resultados'!$A$5:$A$108,0)),"")</x:f>
        <x:v>Jordânia</x:v>
      </x:c>
      <x:c r="H479" s="21" t="str">
        <x:v>Não</x:v>
      </x:c>
      <x:c r="I479" s="22"/>
      <x:c r="J479" s="22"/>
      <x:c r="K479" s="23"/>
      <x:c r="L479" s="21" t="str">
        <x:f>IFERROR(INDEX('Resultados'!$H$5:$H$108,MATCH($B479,'Resultados'!$A$5:$A$108,0)),"")</x:f>
      </x:c>
      <x:c r="M479" s="21" t="str">
        <x:f>IFERROR(INDEX('Resultados'!$I$5:$I$108,MATCH($B479,'Resultados'!$A$5:$A$108,0)),"")</x:f>
      </x:c>
      <x:c r="N479" s="21" t="str">
        <x:f>IFERROR(INDEX('Resultados'!$L$5:$L$108,MATCH($B479,'Resultados'!$A$5:$A$108,0)),"")</x:f>
      </x:c>
      <x:c r="O479" s="59" t="str">
        <x:f>IF(OR($I479="",$J479="",$L479="",$M479=""),"",IF(AND($H479="Sim",$L479=$M479),IF($I479&lt;&gt;$J479,0,IF(AND($I479=$L479,$J479=$M479),2,1)),IF(AND($I479=$L479,$J479=$M479),3,IF(AND($I479&lt;&gt;$J479,$I479=$M479,$J479=$L479),-2,IF(SIGN($I479-$J479)=SIGN($L479-$M479),1,0)))))</x:f>
      </x:c>
      <x:c r="P479" s="59" t="str">
        <x:f>IF(OR($H479&lt;&gt;"Sim",$I479="",$J479="",$L479="",$M479=""),"",IF(AND(IF($I479&gt;$J479,$F479,IF($I479&lt;$J479,$G479,$K479))&lt;&gt;"",IF($L479&gt;$M479,$F479,IF($L479&lt;$M479,$G479,$N479))&lt;&gt;"",IF($I479&gt;$J479,$F479,IF($I479&lt;$J479,$G479,$K479))=IF($L479&gt;$M479,$F479,IF($L479&lt;$M479,$G479,$N479))),1,0))</x:f>
      </x:c>
      <x:c r="Q479" s="59" t="str">
        <x:f>IF($O479="","",$O479+$P479)</x:f>
      </x:c>
      <x:c r="R479" s="59" t="str">
        <x:f>IF($Q479="","",IF($O479=3,"Cravada",IF(AND($H479="Sim",$L479=$M479,$I479=$J479,$O479=2),"Empate cravado",IF($O479=1,"Resultado certo",IF($O479=-2,"Invertida",IF($P479=1,"Acertou quem passa","Erro"))))))</x:f>
      </x:c>
      <x:c r="S479" s="59" t="str">
        <x:f>IF($O479="","",--(OR($O479=3,AND($H479="Sim",$L479=$M479,$I479=$J479,$O479=2))))</x:f>
      </x:c>
      <x:c r="T479" s="59" t="str">
        <x:f>IF($O479="","",--($O479=-2))</x:f>
      </x:c>
      <x:c r="U479" s="59" t="str">
        <x:f>IF($O479="","",--($O479=1))</x:f>
      </x:c>
      <x:c r="V479" s="59" t="n">
        <x:f>--(AND($I479&lt;&gt;"",$J479&lt;&gt;""))</x:f>
        <x:v>0</x:v>
      </x:c>
    </x:row>
    <x:row r="480">
      <x:c r="A480" s="21" t="str">
        <x:f>INDEX(Config!$B$10:$B$16,INT((ROW()-5)/104)+1)</x:f>
        <x:v>Otávio</x:v>
      </x:c>
      <x:c r="B480" s="21" t="str">
        <x:v>GJ6</x:v>
      </x:c>
      <x:c r="C480" s="21" t="n">
        <x:v>60</x:v>
      </x:c>
      <x:c r="D480" s="21" t="str">
        <x:v>Grupo J</x:v>
      </x:c>
      <x:c r="E480" s="21" t="str">
        <x:v>2026-06-27</x:v>
      </x:c>
      <x:c r="F480" s="21" t="str">
        <x:f>IFERROR(INDEX('Resultados'!$G$5:$G$108,MATCH($B480,'Resultados'!$A$5:$A$108,0)),"")</x:f>
        <x:v>Argélia</x:v>
      </x:c>
      <x:c r="G480" s="21" t="str">
        <x:f>IFERROR(INDEX('Resultados'!$J$5:$J$108,MATCH($B480,'Resultados'!$A$5:$A$108,0)),"")</x:f>
        <x:v>Áustria</x:v>
      </x:c>
      <x:c r="H480" s="21" t="str">
        <x:v>Não</x:v>
      </x:c>
      <x:c r="I480" s="22"/>
      <x:c r="J480" s="22"/>
      <x:c r="K480" s="23"/>
      <x:c r="L480" s="21" t="str">
        <x:f>IFERROR(INDEX('Resultados'!$H$5:$H$108,MATCH($B480,'Resultados'!$A$5:$A$108,0)),"")</x:f>
      </x:c>
      <x:c r="M480" s="21" t="str">
        <x:f>IFERROR(INDEX('Resultados'!$I$5:$I$108,MATCH($B480,'Resultados'!$A$5:$A$108,0)),"")</x:f>
      </x:c>
      <x:c r="N480" s="21" t="str">
        <x:f>IFERROR(INDEX('Resultados'!$L$5:$L$108,MATCH($B480,'Resultados'!$A$5:$A$108,0)),"")</x:f>
      </x:c>
      <x:c r="O480" s="59" t="str">
        <x:f>IF(OR($I480="",$J480="",$L480="",$M480=""),"",IF(AND($H480="Sim",$L480=$M480),IF($I480&lt;&gt;$J480,0,IF(AND($I480=$L480,$J480=$M480),2,1)),IF(AND($I480=$L480,$J480=$M480),3,IF(AND($I480&lt;&gt;$J480,$I480=$M480,$J480=$L480),-2,IF(SIGN($I480-$J480)=SIGN($L480-$M480),1,0)))))</x:f>
      </x:c>
      <x:c r="P480" s="59" t="str">
        <x:f>IF(OR($H480&lt;&gt;"Sim",$I480="",$J480="",$L480="",$M480=""),"",IF(AND(IF($I480&gt;$J480,$F480,IF($I480&lt;$J480,$G480,$K480))&lt;&gt;"",IF($L480&gt;$M480,$F480,IF($L480&lt;$M480,$G480,$N480))&lt;&gt;"",IF($I480&gt;$J480,$F480,IF($I480&lt;$J480,$G480,$K480))=IF($L480&gt;$M480,$F480,IF($L480&lt;$M480,$G480,$N480))),1,0))</x:f>
      </x:c>
      <x:c r="Q480" s="59" t="str">
        <x:f>IF($O480="","",$O480+$P480)</x:f>
      </x:c>
      <x:c r="R480" s="59" t="str">
        <x:f>IF($Q480="","",IF($O480=3,"Cravada",IF(AND($H480="Sim",$L480=$M480,$I480=$J480,$O480=2),"Empate cravado",IF($O480=1,"Resultado certo",IF($O480=-2,"Invertida",IF($P480=1,"Acertou quem passa","Erro"))))))</x:f>
      </x:c>
      <x:c r="S480" s="59" t="str">
        <x:f>IF($O480="","",--(OR($O480=3,AND($H480="Sim",$L480=$M480,$I480=$J480,$O480=2))))</x:f>
      </x:c>
      <x:c r="T480" s="59" t="str">
        <x:f>IF($O480="","",--($O480=-2))</x:f>
      </x:c>
      <x:c r="U480" s="59" t="str">
        <x:f>IF($O480="","",--($O480=1))</x:f>
      </x:c>
      <x:c r="V480" s="59" t="n">
        <x:f>--(AND($I480&lt;&gt;"",$J480&lt;&gt;""))</x:f>
        <x:v>0</x:v>
      </x:c>
    </x:row>
    <x:row r="481">
      <x:c r="A481" s="21" t="str">
        <x:f>INDEX(Config!$B$10:$B$16,INT((ROW()-5)/104)+1)</x:f>
        <x:v>Otávio</x:v>
      </x:c>
      <x:c r="B481" s="21" t="str">
        <x:v>GK1</x:v>
      </x:c>
      <x:c r="C481" s="21" t="n">
        <x:v>61</x:v>
      </x:c>
      <x:c r="D481" s="21" t="str">
        <x:v>Grupo K</x:v>
      </x:c>
      <x:c r="E481" s="21" t="str">
        <x:v>2026-06-17</x:v>
      </x:c>
      <x:c r="F481" s="21" t="str">
        <x:f>IFERROR(INDEX('Resultados'!$G$5:$G$108,MATCH($B481,'Resultados'!$A$5:$A$108,0)),"")</x:f>
        <x:v>Portugal</x:v>
      </x:c>
      <x:c r="G481" s="21" t="str">
        <x:f>IFERROR(INDEX('Resultados'!$J$5:$J$108,MATCH($B481,'Resultados'!$A$5:$A$108,0)),"")</x:f>
        <x:v>Rep. D. do Congo</x:v>
      </x:c>
      <x:c r="H481" s="21" t="str">
        <x:v>Não</x:v>
      </x:c>
      <x:c r="I481" s="22"/>
      <x:c r="J481" s="22"/>
      <x:c r="K481" s="23"/>
      <x:c r="L481" s="21" t="str">
        <x:f>IFERROR(INDEX('Resultados'!$H$5:$H$108,MATCH($B481,'Resultados'!$A$5:$A$108,0)),"")</x:f>
      </x:c>
      <x:c r="M481" s="21" t="str">
        <x:f>IFERROR(INDEX('Resultados'!$I$5:$I$108,MATCH($B481,'Resultados'!$A$5:$A$108,0)),"")</x:f>
      </x:c>
      <x:c r="N481" s="21" t="str">
        <x:f>IFERROR(INDEX('Resultados'!$L$5:$L$108,MATCH($B481,'Resultados'!$A$5:$A$108,0)),"")</x:f>
      </x:c>
      <x:c r="O481" s="59" t="str">
        <x:f>IF(OR($I481="",$J481="",$L481="",$M481=""),"",IF(AND($H481="Sim",$L481=$M481),IF($I481&lt;&gt;$J481,0,IF(AND($I481=$L481,$J481=$M481),2,1)),IF(AND($I481=$L481,$J481=$M481),3,IF(AND($I481&lt;&gt;$J481,$I481=$M481,$J481=$L481),-2,IF(SIGN($I481-$J481)=SIGN($L481-$M481),1,0)))))</x:f>
      </x:c>
      <x:c r="P481" s="59" t="str">
        <x:f>IF(OR($H481&lt;&gt;"Sim",$I481="",$J481="",$L481="",$M481=""),"",IF(AND(IF($I481&gt;$J481,$F481,IF($I481&lt;$J481,$G481,$K481))&lt;&gt;"",IF($L481&gt;$M481,$F481,IF($L481&lt;$M481,$G481,$N481))&lt;&gt;"",IF($I481&gt;$J481,$F481,IF($I481&lt;$J481,$G481,$K481))=IF($L481&gt;$M481,$F481,IF($L481&lt;$M481,$G481,$N481))),1,0))</x:f>
      </x:c>
      <x:c r="Q481" s="59" t="str">
        <x:f>IF($O481="","",$O481+$P481)</x:f>
      </x:c>
      <x:c r="R481" s="59" t="str">
        <x:f>IF($Q481="","",IF($O481=3,"Cravada",IF(AND($H481="Sim",$L481=$M481,$I481=$J481,$O481=2),"Empate cravado",IF($O481=1,"Resultado certo",IF($O481=-2,"Invertida",IF($P481=1,"Acertou quem passa","Erro"))))))</x:f>
      </x:c>
      <x:c r="S481" s="59" t="str">
        <x:f>IF($O481="","",--(OR($O481=3,AND($H481="Sim",$L481=$M481,$I481=$J481,$O481=2))))</x:f>
      </x:c>
      <x:c r="T481" s="59" t="str">
        <x:f>IF($O481="","",--($O481=-2))</x:f>
      </x:c>
      <x:c r="U481" s="59" t="str">
        <x:f>IF($O481="","",--($O481=1))</x:f>
      </x:c>
      <x:c r="V481" s="59" t="n">
        <x:f>--(AND($I481&lt;&gt;"",$J481&lt;&gt;""))</x:f>
        <x:v>0</x:v>
      </x:c>
    </x:row>
    <x:row r="482">
      <x:c r="A482" s="21" t="str">
        <x:f>INDEX(Config!$B$10:$B$16,INT((ROW()-5)/104)+1)</x:f>
        <x:v>Otávio</x:v>
      </x:c>
      <x:c r="B482" s="21" t="str">
        <x:v>GK2</x:v>
      </x:c>
      <x:c r="C482" s="21" t="n">
        <x:v>62</x:v>
      </x:c>
      <x:c r="D482" s="21" t="str">
        <x:v>Grupo K</x:v>
      </x:c>
      <x:c r="E482" s="21" t="str">
        <x:v>2026-06-17</x:v>
      </x:c>
      <x:c r="F482" s="21" t="str">
        <x:f>IFERROR(INDEX('Resultados'!$G$5:$G$108,MATCH($B482,'Resultados'!$A$5:$A$108,0)),"")</x:f>
        <x:v>Uzbequistão</x:v>
      </x:c>
      <x:c r="G482" s="21" t="str">
        <x:f>IFERROR(INDEX('Resultados'!$J$5:$J$108,MATCH($B482,'Resultados'!$A$5:$A$108,0)),"")</x:f>
        <x:v>Colômbia</x:v>
      </x:c>
      <x:c r="H482" s="21" t="str">
        <x:v>Não</x:v>
      </x:c>
      <x:c r="I482" s="22"/>
      <x:c r="J482" s="22"/>
      <x:c r="K482" s="23"/>
      <x:c r="L482" s="21" t="str">
        <x:f>IFERROR(INDEX('Resultados'!$H$5:$H$108,MATCH($B482,'Resultados'!$A$5:$A$108,0)),"")</x:f>
      </x:c>
      <x:c r="M482" s="21" t="str">
        <x:f>IFERROR(INDEX('Resultados'!$I$5:$I$108,MATCH($B482,'Resultados'!$A$5:$A$108,0)),"")</x:f>
      </x:c>
      <x:c r="N482" s="21" t="str">
        <x:f>IFERROR(INDEX('Resultados'!$L$5:$L$108,MATCH($B482,'Resultados'!$A$5:$A$108,0)),"")</x:f>
      </x:c>
      <x:c r="O482" s="59" t="str">
        <x:f>IF(OR($I482="",$J482="",$L482="",$M482=""),"",IF(AND($H482="Sim",$L482=$M482),IF($I482&lt;&gt;$J482,0,IF(AND($I482=$L482,$J482=$M482),2,1)),IF(AND($I482=$L482,$J482=$M482),3,IF(AND($I482&lt;&gt;$J482,$I482=$M482,$J482=$L482),-2,IF(SIGN($I482-$J482)=SIGN($L482-$M482),1,0)))))</x:f>
      </x:c>
      <x:c r="P482" s="59" t="str">
        <x:f>IF(OR($H482&lt;&gt;"Sim",$I482="",$J482="",$L482="",$M482=""),"",IF(AND(IF($I482&gt;$J482,$F482,IF($I482&lt;$J482,$G482,$K482))&lt;&gt;"",IF($L482&gt;$M482,$F482,IF($L482&lt;$M482,$G482,$N482))&lt;&gt;"",IF($I482&gt;$J482,$F482,IF($I482&lt;$J482,$G482,$K482))=IF($L482&gt;$M482,$F482,IF($L482&lt;$M482,$G482,$N482))),1,0))</x:f>
      </x:c>
      <x:c r="Q482" s="59" t="str">
        <x:f>IF($O482="","",$O482+$P482)</x:f>
      </x:c>
      <x:c r="R482" s="59" t="str">
        <x:f>IF($Q482="","",IF($O482=3,"Cravada",IF(AND($H482="Sim",$L482=$M482,$I482=$J482,$O482=2),"Empate cravado",IF($O482=1,"Resultado certo",IF($O482=-2,"Invertida",IF($P482=1,"Acertou quem passa","Erro"))))))</x:f>
      </x:c>
      <x:c r="S482" s="59" t="str">
        <x:f>IF($O482="","",--(OR($O482=3,AND($H482="Sim",$L482=$M482,$I482=$J482,$O482=2))))</x:f>
      </x:c>
      <x:c r="T482" s="59" t="str">
        <x:f>IF($O482="","",--($O482=-2))</x:f>
      </x:c>
      <x:c r="U482" s="59" t="str">
        <x:f>IF($O482="","",--($O482=1))</x:f>
      </x:c>
      <x:c r="V482" s="59" t="n">
        <x:f>--(AND($I482&lt;&gt;"",$J482&lt;&gt;""))</x:f>
        <x:v>0</x:v>
      </x:c>
    </x:row>
    <x:row r="483">
      <x:c r="A483" s="21" t="str">
        <x:f>INDEX(Config!$B$10:$B$16,INT((ROW()-5)/104)+1)</x:f>
        <x:v>Otávio</x:v>
      </x:c>
      <x:c r="B483" s="21" t="str">
        <x:v>GK3</x:v>
      </x:c>
      <x:c r="C483" s="21" t="n">
        <x:v>63</x:v>
      </x:c>
      <x:c r="D483" s="21" t="str">
        <x:v>Grupo K</x:v>
      </x:c>
      <x:c r="E483" s="21" t="str">
        <x:v>2026-06-23</x:v>
      </x:c>
      <x:c r="F483" s="21" t="str">
        <x:f>IFERROR(INDEX('Resultados'!$G$5:$G$108,MATCH($B483,'Resultados'!$A$5:$A$108,0)),"")</x:f>
        <x:v>Portugal</x:v>
      </x:c>
      <x:c r="G483" s="21" t="str">
        <x:f>IFERROR(INDEX('Resultados'!$J$5:$J$108,MATCH($B483,'Resultados'!$A$5:$A$108,0)),"")</x:f>
        <x:v>Uzbequistão</x:v>
      </x:c>
      <x:c r="H483" s="21" t="str">
        <x:v>Não</x:v>
      </x:c>
      <x:c r="I483" s="22"/>
      <x:c r="J483" s="22"/>
      <x:c r="K483" s="23"/>
      <x:c r="L483" s="21" t="str">
        <x:f>IFERROR(INDEX('Resultados'!$H$5:$H$108,MATCH($B483,'Resultados'!$A$5:$A$108,0)),"")</x:f>
      </x:c>
      <x:c r="M483" s="21" t="str">
        <x:f>IFERROR(INDEX('Resultados'!$I$5:$I$108,MATCH($B483,'Resultados'!$A$5:$A$108,0)),"")</x:f>
      </x:c>
      <x:c r="N483" s="21" t="str">
        <x:f>IFERROR(INDEX('Resultados'!$L$5:$L$108,MATCH($B483,'Resultados'!$A$5:$A$108,0)),"")</x:f>
      </x:c>
      <x:c r="O483" s="59" t="str">
        <x:f>IF(OR($I483="",$J483="",$L483="",$M483=""),"",IF(AND($H483="Sim",$L483=$M483),IF($I483&lt;&gt;$J483,0,IF(AND($I483=$L483,$J483=$M483),2,1)),IF(AND($I483=$L483,$J483=$M483),3,IF(AND($I483&lt;&gt;$J483,$I483=$M483,$J483=$L483),-2,IF(SIGN($I483-$J483)=SIGN($L483-$M483),1,0)))))</x:f>
      </x:c>
      <x:c r="P483" s="59" t="str">
        <x:f>IF(OR($H483&lt;&gt;"Sim",$I483="",$J483="",$L483="",$M483=""),"",IF(AND(IF($I483&gt;$J483,$F483,IF($I483&lt;$J483,$G483,$K483))&lt;&gt;"",IF($L483&gt;$M483,$F483,IF($L483&lt;$M483,$G483,$N483))&lt;&gt;"",IF($I483&gt;$J483,$F483,IF($I483&lt;$J483,$G483,$K483))=IF($L483&gt;$M483,$F483,IF($L483&lt;$M483,$G483,$N483))),1,0))</x:f>
      </x:c>
      <x:c r="Q483" s="59" t="str">
        <x:f>IF($O483="","",$O483+$P483)</x:f>
      </x:c>
      <x:c r="R483" s="59" t="str">
        <x:f>IF($Q483="","",IF($O483=3,"Cravada",IF(AND($H483="Sim",$L483=$M483,$I483=$J483,$O483=2),"Empate cravado",IF($O483=1,"Resultado certo",IF($O483=-2,"Invertida",IF($P483=1,"Acertou quem passa","Erro"))))))</x:f>
      </x:c>
      <x:c r="S483" s="59" t="str">
        <x:f>IF($O483="","",--(OR($O483=3,AND($H483="Sim",$L483=$M483,$I483=$J483,$O483=2))))</x:f>
      </x:c>
      <x:c r="T483" s="59" t="str">
        <x:f>IF($O483="","",--($O483=-2))</x:f>
      </x:c>
      <x:c r="U483" s="59" t="str">
        <x:f>IF($O483="","",--($O483=1))</x:f>
      </x:c>
      <x:c r="V483" s="59" t="n">
        <x:f>--(AND($I483&lt;&gt;"",$J483&lt;&gt;""))</x:f>
        <x:v>0</x:v>
      </x:c>
    </x:row>
    <x:row r="484">
      <x:c r="A484" s="21" t="str">
        <x:f>INDEX(Config!$B$10:$B$16,INT((ROW()-5)/104)+1)</x:f>
        <x:v>Otávio</x:v>
      </x:c>
      <x:c r="B484" s="21" t="str">
        <x:v>GK4</x:v>
      </x:c>
      <x:c r="C484" s="21" t="n">
        <x:v>64</x:v>
      </x:c>
      <x:c r="D484" s="21" t="str">
        <x:v>Grupo K</x:v>
      </x:c>
      <x:c r="E484" s="21" t="str">
        <x:v>2026-06-23</x:v>
      </x:c>
      <x:c r="F484" s="21" t="str">
        <x:f>IFERROR(INDEX('Resultados'!$G$5:$G$108,MATCH($B484,'Resultados'!$A$5:$A$108,0)),"")</x:f>
        <x:v>Rep. D. do Congo</x:v>
      </x:c>
      <x:c r="G484" s="21" t="str">
        <x:f>IFERROR(INDEX('Resultados'!$J$5:$J$108,MATCH($B484,'Resultados'!$A$5:$A$108,0)),"")</x:f>
        <x:v>Colômbia</x:v>
      </x:c>
      <x:c r="H484" s="21" t="str">
        <x:v>Não</x:v>
      </x:c>
      <x:c r="I484" s="22"/>
      <x:c r="J484" s="22"/>
      <x:c r="K484" s="23"/>
      <x:c r="L484" s="21" t="str">
        <x:f>IFERROR(INDEX('Resultados'!$H$5:$H$108,MATCH($B484,'Resultados'!$A$5:$A$108,0)),"")</x:f>
      </x:c>
      <x:c r="M484" s="21" t="str">
        <x:f>IFERROR(INDEX('Resultados'!$I$5:$I$108,MATCH($B484,'Resultados'!$A$5:$A$108,0)),"")</x:f>
      </x:c>
      <x:c r="N484" s="21" t="str">
        <x:f>IFERROR(INDEX('Resultados'!$L$5:$L$108,MATCH($B484,'Resultados'!$A$5:$A$108,0)),"")</x:f>
      </x:c>
      <x:c r="O484" s="59" t="str">
        <x:f>IF(OR($I484="",$J484="",$L484="",$M484=""),"",IF(AND($H484="Sim",$L484=$M484),IF($I484&lt;&gt;$J484,0,IF(AND($I484=$L484,$J484=$M484),2,1)),IF(AND($I484=$L484,$J484=$M484),3,IF(AND($I484&lt;&gt;$J484,$I484=$M484,$J484=$L484),-2,IF(SIGN($I484-$J484)=SIGN($L484-$M484),1,0)))))</x:f>
      </x:c>
      <x:c r="P484" s="59" t="str">
        <x:f>IF(OR($H484&lt;&gt;"Sim",$I484="",$J484="",$L484="",$M484=""),"",IF(AND(IF($I484&gt;$J484,$F484,IF($I484&lt;$J484,$G484,$K484))&lt;&gt;"",IF($L484&gt;$M484,$F484,IF($L484&lt;$M484,$G484,$N484))&lt;&gt;"",IF($I484&gt;$J484,$F484,IF($I484&lt;$J484,$G484,$K484))=IF($L484&gt;$M484,$F484,IF($L484&lt;$M484,$G484,$N484))),1,0))</x:f>
      </x:c>
      <x:c r="Q484" s="59" t="str">
        <x:f>IF($O484="","",$O484+$P484)</x:f>
      </x:c>
      <x:c r="R484" s="59" t="str">
        <x:f>IF($Q484="","",IF($O484=3,"Cravada",IF(AND($H484="Sim",$L484=$M484,$I484=$J484,$O484=2),"Empate cravado",IF($O484=1,"Resultado certo",IF($O484=-2,"Invertida",IF($P484=1,"Acertou quem passa","Erro"))))))</x:f>
      </x:c>
      <x:c r="S484" s="59" t="str">
        <x:f>IF($O484="","",--(OR($O484=3,AND($H484="Sim",$L484=$M484,$I484=$J484,$O484=2))))</x:f>
      </x:c>
      <x:c r="T484" s="59" t="str">
        <x:f>IF($O484="","",--($O484=-2))</x:f>
      </x:c>
      <x:c r="U484" s="59" t="str">
        <x:f>IF($O484="","",--($O484=1))</x:f>
      </x:c>
      <x:c r="V484" s="59" t="n">
        <x:f>--(AND($I484&lt;&gt;"",$J484&lt;&gt;""))</x:f>
        <x:v>0</x:v>
      </x:c>
    </x:row>
    <x:row r="485">
      <x:c r="A485" s="21" t="str">
        <x:f>INDEX(Config!$B$10:$B$16,INT((ROW()-5)/104)+1)</x:f>
        <x:v>Otávio</x:v>
      </x:c>
      <x:c r="B485" s="21" t="str">
        <x:v>GK5</x:v>
      </x:c>
      <x:c r="C485" s="21" t="n">
        <x:v>65</x:v>
      </x:c>
      <x:c r="D485" s="21" t="str">
        <x:v>Grupo K</x:v>
      </x:c>
      <x:c r="E485" s="21" t="str">
        <x:v>2026-06-27</x:v>
      </x:c>
      <x:c r="F485" s="21" t="str">
        <x:f>IFERROR(INDEX('Resultados'!$G$5:$G$108,MATCH($B485,'Resultados'!$A$5:$A$108,0)),"")</x:f>
        <x:v>Portugal</x:v>
      </x:c>
      <x:c r="G485" s="21" t="str">
        <x:f>IFERROR(INDEX('Resultados'!$J$5:$J$108,MATCH($B485,'Resultados'!$A$5:$A$108,0)),"")</x:f>
        <x:v>Colômbia</x:v>
      </x:c>
      <x:c r="H485" s="21" t="str">
        <x:v>Não</x:v>
      </x:c>
      <x:c r="I485" s="22"/>
      <x:c r="J485" s="22"/>
      <x:c r="K485" s="23"/>
      <x:c r="L485" s="21" t="str">
        <x:f>IFERROR(INDEX('Resultados'!$H$5:$H$108,MATCH($B485,'Resultados'!$A$5:$A$108,0)),"")</x:f>
      </x:c>
      <x:c r="M485" s="21" t="str">
        <x:f>IFERROR(INDEX('Resultados'!$I$5:$I$108,MATCH($B485,'Resultados'!$A$5:$A$108,0)),"")</x:f>
      </x:c>
      <x:c r="N485" s="21" t="str">
        <x:f>IFERROR(INDEX('Resultados'!$L$5:$L$108,MATCH($B485,'Resultados'!$A$5:$A$108,0)),"")</x:f>
      </x:c>
      <x:c r="O485" s="59" t="str">
        <x:f>IF(OR($I485="",$J485="",$L485="",$M485=""),"",IF(AND($H485="Sim",$L485=$M485),IF($I485&lt;&gt;$J485,0,IF(AND($I485=$L485,$J485=$M485),2,1)),IF(AND($I485=$L485,$J485=$M485),3,IF(AND($I485&lt;&gt;$J485,$I485=$M485,$J485=$L485),-2,IF(SIGN($I485-$J485)=SIGN($L485-$M485),1,0)))))</x:f>
      </x:c>
      <x:c r="P485" s="59" t="str">
        <x:f>IF(OR($H485&lt;&gt;"Sim",$I485="",$J485="",$L485="",$M485=""),"",IF(AND(IF($I485&gt;$J485,$F485,IF($I485&lt;$J485,$G485,$K485))&lt;&gt;"",IF($L485&gt;$M485,$F485,IF($L485&lt;$M485,$G485,$N485))&lt;&gt;"",IF($I485&gt;$J485,$F485,IF($I485&lt;$J485,$G485,$K485))=IF($L485&gt;$M485,$F485,IF($L485&lt;$M485,$G485,$N485))),1,0))</x:f>
      </x:c>
      <x:c r="Q485" s="59" t="str">
        <x:f>IF($O485="","",$O485+$P485)</x:f>
      </x:c>
      <x:c r="R485" s="59" t="str">
        <x:f>IF($Q485="","",IF($O485=3,"Cravada",IF(AND($H485="Sim",$L485=$M485,$I485=$J485,$O485=2),"Empate cravado",IF($O485=1,"Resultado certo",IF($O485=-2,"Invertida",IF($P485=1,"Acertou quem passa","Erro"))))))</x:f>
      </x:c>
      <x:c r="S485" s="59" t="str">
        <x:f>IF($O485="","",--(OR($O485=3,AND($H485="Sim",$L485=$M485,$I485=$J485,$O485=2))))</x:f>
      </x:c>
      <x:c r="T485" s="59" t="str">
        <x:f>IF($O485="","",--($O485=-2))</x:f>
      </x:c>
      <x:c r="U485" s="59" t="str">
        <x:f>IF($O485="","",--($O485=1))</x:f>
      </x:c>
      <x:c r="V485" s="59" t="n">
        <x:f>--(AND($I485&lt;&gt;"",$J485&lt;&gt;""))</x:f>
        <x:v>0</x:v>
      </x:c>
    </x:row>
    <x:row r="486">
      <x:c r="A486" s="21" t="str">
        <x:f>INDEX(Config!$B$10:$B$16,INT((ROW()-5)/104)+1)</x:f>
        <x:v>Otávio</x:v>
      </x:c>
      <x:c r="B486" s="21" t="str">
        <x:v>GK6</x:v>
      </x:c>
      <x:c r="C486" s="21" t="n">
        <x:v>66</x:v>
      </x:c>
      <x:c r="D486" s="21" t="str">
        <x:v>Grupo K</x:v>
      </x:c>
      <x:c r="E486" s="21" t="str">
        <x:v>2026-06-27</x:v>
      </x:c>
      <x:c r="F486" s="21" t="str">
        <x:f>IFERROR(INDEX('Resultados'!$G$5:$G$108,MATCH($B486,'Resultados'!$A$5:$A$108,0)),"")</x:f>
        <x:v>Rep. D. do Congo</x:v>
      </x:c>
      <x:c r="G486" s="21" t="str">
        <x:f>IFERROR(INDEX('Resultados'!$J$5:$J$108,MATCH($B486,'Resultados'!$A$5:$A$108,0)),"")</x:f>
        <x:v>Uzbequistão</x:v>
      </x:c>
      <x:c r="H486" s="21" t="str">
        <x:v>Não</x:v>
      </x:c>
      <x:c r="I486" s="22"/>
      <x:c r="J486" s="22"/>
      <x:c r="K486" s="23"/>
      <x:c r="L486" s="21" t="str">
        <x:f>IFERROR(INDEX('Resultados'!$H$5:$H$108,MATCH($B486,'Resultados'!$A$5:$A$108,0)),"")</x:f>
      </x:c>
      <x:c r="M486" s="21" t="str">
        <x:f>IFERROR(INDEX('Resultados'!$I$5:$I$108,MATCH($B486,'Resultados'!$A$5:$A$108,0)),"")</x:f>
      </x:c>
      <x:c r="N486" s="21" t="str">
        <x:f>IFERROR(INDEX('Resultados'!$L$5:$L$108,MATCH($B486,'Resultados'!$A$5:$A$108,0)),"")</x:f>
      </x:c>
      <x:c r="O486" s="59" t="str">
        <x:f>IF(OR($I486="",$J486="",$L486="",$M486=""),"",IF(AND($H486="Sim",$L486=$M486),IF($I486&lt;&gt;$J486,0,IF(AND($I486=$L486,$J486=$M486),2,1)),IF(AND($I486=$L486,$J486=$M486),3,IF(AND($I486&lt;&gt;$J486,$I486=$M486,$J486=$L486),-2,IF(SIGN($I486-$J486)=SIGN($L486-$M486),1,0)))))</x:f>
      </x:c>
      <x:c r="P486" s="59" t="str">
        <x:f>IF(OR($H486&lt;&gt;"Sim",$I486="",$J486="",$L486="",$M486=""),"",IF(AND(IF($I486&gt;$J486,$F486,IF($I486&lt;$J486,$G486,$K486))&lt;&gt;"",IF($L486&gt;$M486,$F486,IF($L486&lt;$M486,$G486,$N486))&lt;&gt;"",IF($I486&gt;$J486,$F486,IF($I486&lt;$J486,$G486,$K486))=IF($L486&gt;$M486,$F486,IF($L486&lt;$M486,$G486,$N486))),1,0))</x:f>
      </x:c>
      <x:c r="Q486" s="59" t="str">
        <x:f>IF($O486="","",$O486+$P486)</x:f>
      </x:c>
      <x:c r="R486" s="59" t="str">
        <x:f>IF($Q486="","",IF($O486=3,"Cravada",IF(AND($H486="Sim",$L486=$M486,$I486=$J486,$O486=2),"Empate cravado",IF($O486=1,"Resultado certo",IF($O486=-2,"Invertida",IF($P486=1,"Acertou quem passa","Erro"))))))</x:f>
      </x:c>
      <x:c r="S486" s="59" t="str">
        <x:f>IF($O486="","",--(OR($O486=3,AND($H486="Sim",$L486=$M486,$I486=$J486,$O486=2))))</x:f>
      </x:c>
      <x:c r="T486" s="59" t="str">
        <x:f>IF($O486="","",--($O486=-2))</x:f>
      </x:c>
      <x:c r="U486" s="59" t="str">
        <x:f>IF($O486="","",--($O486=1))</x:f>
      </x:c>
      <x:c r="V486" s="59" t="n">
        <x:f>--(AND($I486&lt;&gt;"",$J486&lt;&gt;""))</x:f>
        <x:v>0</x:v>
      </x:c>
    </x:row>
    <x:row r="487">
      <x:c r="A487" s="21" t="str">
        <x:f>INDEX(Config!$B$10:$B$16,INT((ROW()-5)/104)+1)</x:f>
        <x:v>Otávio</x:v>
      </x:c>
      <x:c r="B487" s="21" t="str">
        <x:v>GL1</x:v>
      </x:c>
      <x:c r="C487" s="21" t="n">
        <x:v>67</x:v>
      </x:c>
      <x:c r="D487" s="21" t="str">
        <x:v>Grupo L</x:v>
      </x:c>
      <x:c r="E487" s="21" t="str">
        <x:v>2026-06-17</x:v>
      </x:c>
      <x:c r="F487" s="21" t="str">
        <x:f>IFERROR(INDEX('Resultados'!$G$5:$G$108,MATCH($B487,'Resultados'!$A$5:$A$108,0)),"")</x:f>
        <x:v>Inglaterra</x:v>
      </x:c>
      <x:c r="G487" s="21" t="str">
        <x:f>IFERROR(INDEX('Resultados'!$J$5:$J$108,MATCH($B487,'Resultados'!$A$5:$A$108,0)),"")</x:f>
        <x:v>Croácia</x:v>
      </x:c>
      <x:c r="H487" s="21" t="str">
        <x:v>Não</x:v>
      </x:c>
      <x:c r="I487" s="22"/>
      <x:c r="J487" s="22"/>
      <x:c r="K487" s="23"/>
      <x:c r="L487" s="21" t="str">
        <x:f>IFERROR(INDEX('Resultados'!$H$5:$H$108,MATCH($B487,'Resultados'!$A$5:$A$108,0)),"")</x:f>
      </x:c>
      <x:c r="M487" s="21" t="str">
        <x:f>IFERROR(INDEX('Resultados'!$I$5:$I$108,MATCH($B487,'Resultados'!$A$5:$A$108,0)),"")</x:f>
      </x:c>
      <x:c r="N487" s="21" t="str">
        <x:f>IFERROR(INDEX('Resultados'!$L$5:$L$108,MATCH($B487,'Resultados'!$A$5:$A$108,0)),"")</x:f>
      </x:c>
      <x:c r="O487" s="59" t="str">
        <x:f>IF(OR($I487="",$J487="",$L487="",$M487=""),"",IF(AND($H487="Sim",$L487=$M487),IF($I487&lt;&gt;$J487,0,IF(AND($I487=$L487,$J487=$M487),2,1)),IF(AND($I487=$L487,$J487=$M487),3,IF(AND($I487&lt;&gt;$J487,$I487=$M487,$J487=$L487),-2,IF(SIGN($I487-$J487)=SIGN($L487-$M487),1,0)))))</x:f>
      </x:c>
      <x:c r="P487" s="59" t="str">
        <x:f>IF(OR($H487&lt;&gt;"Sim",$I487="",$J487="",$L487="",$M487=""),"",IF(AND(IF($I487&gt;$J487,$F487,IF($I487&lt;$J487,$G487,$K487))&lt;&gt;"",IF($L487&gt;$M487,$F487,IF($L487&lt;$M487,$G487,$N487))&lt;&gt;"",IF($I487&gt;$J487,$F487,IF($I487&lt;$J487,$G487,$K487))=IF($L487&gt;$M487,$F487,IF($L487&lt;$M487,$G487,$N487))),1,0))</x:f>
      </x:c>
      <x:c r="Q487" s="59" t="str">
        <x:f>IF($O487="","",$O487+$P487)</x:f>
      </x:c>
      <x:c r="R487" s="59" t="str">
        <x:f>IF($Q487="","",IF($O487=3,"Cravada",IF(AND($H487="Sim",$L487=$M487,$I487=$J487,$O487=2),"Empate cravado",IF($O487=1,"Resultado certo",IF($O487=-2,"Invertida",IF($P487=1,"Acertou quem passa","Erro"))))))</x:f>
      </x:c>
      <x:c r="S487" s="59" t="str">
        <x:f>IF($O487="","",--(OR($O487=3,AND($H487="Sim",$L487=$M487,$I487=$J487,$O487=2))))</x:f>
      </x:c>
      <x:c r="T487" s="59" t="str">
        <x:f>IF($O487="","",--($O487=-2))</x:f>
      </x:c>
      <x:c r="U487" s="59" t="str">
        <x:f>IF($O487="","",--($O487=1))</x:f>
      </x:c>
      <x:c r="V487" s="59" t="n">
        <x:f>--(AND($I487&lt;&gt;"",$J487&lt;&gt;""))</x:f>
        <x:v>0</x:v>
      </x:c>
    </x:row>
    <x:row r="488">
      <x:c r="A488" s="21" t="str">
        <x:f>INDEX(Config!$B$10:$B$16,INT((ROW()-5)/104)+1)</x:f>
        <x:v>Otávio</x:v>
      </x:c>
      <x:c r="B488" s="21" t="str">
        <x:v>GL2</x:v>
      </x:c>
      <x:c r="C488" s="21" t="n">
        <x:v>68</x:v>
      </x:c>
      <x:c r="D488" s="21" t="str">
        <x:v>Grupo L</x:v>
      </x:c>
      <x:c r="E488" s="21" t="str">
        <x:v>2026-06-17</x:v>
      </x:c>
      <x:c r="F488" s="21" t="str">
        <x:f>IFERROR(INDEX('Resultados'!$G$5:$G$108,MATCH($B488,'Resultados'!$A$5:$A$108,0)),"")</x:f>
        <x:v>Gana</x:v>
      </x:c>
      <x:c r="G488" s="21" t="str">
        <x:f>IFERROR(INDEX('Resultados'!$J$5:$J$108,MATCH($B488,'Resultados'!$A$5:$A$108,0)),"")</x:f>
        <x:v>Panamá</x:v>
      </x:c>
      <x:c r="H488" s="21" t="str">
        <x:v>Não</x:v>
      </x:c>
      <x:c r="I488" s="22"/>
      <x:c r="J488" s="22"/>
      <x:c r="K488" s="23"/>
      <x:c r="L488" s="21" t="str">
        <x:f>IFERROR(INDEX('Resultados'!$H$5:$H$108,MATCH($B488,'Resultados'!$A$5:$A$108,0)),"")</x:f>
      </x:c>
      <x:c r="M488" s="21" t="str">
        <x:f>IFERROR(INDEX('Resultados'!$I$5:$I$108,MATCH($B488,'Resultados'!$A$5:$A$108,0)),"")</x:f>
      </x:c>
      <x:c r="N488" s="21" t="str">
        <x:f>IFERROR(INDEX('Resultados'!$L$5:$L$108,MATCH($B488,'Resultados'!$A$5:$A$108,0)),"")</x:f>
      </x:c>
      <x:c r="O488" s="59" t="str">
        <x:f>IF(OR($I488="",$J488="",$L488="",$M488=""),"",IF(AND($H488="Sim",$L488=$M488),IF($I488&lt;&gt;$J488,0,IF(AND($I488=$L488,$J488=$M488),2,1)),IF(AND($I488=$L488,$J488=$M488),3,IF(AND($I488&lt;&gt;$J488,$I488=$M488,$J488=$L488),-2,IF(SIGN($I488-$J488)=SIGN($L488-$M488),1,0)))))</x:f>
      </x:c>
      <x:c r="P488" s="59" t="str">
        <x:f>IF(OR($H488&lt;&gt;"Sim",$I488="",$J488="",$L488="",$M488=""),"",IF(AND(IF($I488&gt;$J488,$F488,IF($I488&lt;$J488,$G488,$K488))&lt;&gt;"",IF($L488&gt;$M488,$F488,IF($L488&lt;$M488,$G488,$N488))&lt;&gt;"",IF($I488&gt;$J488,$F488,IF($I488&lt;$J488,$G488,$K488))=IF($L488&gt;$M488,$F488,IF($L488&lt;$M488,$G488,$N488))),1,0))</x:f>
      </x:c>
      <x:c r="Q488" s="59" t="str">
        <x:f>IF($O488="","",$O488+$P488)</x:f>
      </x:c>
      <x:c r="R488" s="59" t="str">
        <x:f>IF($Q488="","",IF($O488=3,"Cravada",IF(AND($H488="Sim",$L488=$M488,$I488=$J488,$O488=2),"Empate cravado",IF($O488=1,"Resultado certo",IF($O488=-2,"Invertida",IF($P488=1,"Acertou quem passa","Erro"))))))</x:f>
      </x:c>
      <x:c r="S488" s="59" t="str">
        <x:f>IF($O488="","",--(OR($O488=3,AND($H488="Sim",$L488=$M488,$I488=$J488,$O488=2))))</x:f>
      </x:c>
      <x:c r="T488" s="59" t="str">
        <x:f>IF($O488="","",--($O488=-2))</x:f>
      </x:c>
      <x:c r="U488" s="59" t="str">
        <x:f>IF($O488="","",--($O488=1))</x:f>
      </x:c>
      <x:c r="V488" s="59" t="n">
        <x:f>--(AND($I488&lt;&gt;"",$J488&lt;&gt;""))</x:f>
        <x:v>0</x:v>
      </x:c>
    </x:row>
    <x:row r="489">
      <x:c r="A489" s="21" t="str">
        <x:f>INDEX(Config!$B$10:$B$16,INT((ROW()-5)/104)+1)</x:f>
        <x:v>Otávio</x:v>
      </x:c>
      <x:c r="B489" s="21" t="str">
        <x:v>GL3</x:v>
      </x:c>
      <x:c r="C489" s="21" t="n">
        <x:v>69</x:v>
      </x:c>
      <x:c r="D489" s="21" t="str">
        <x:v>Grupo L</x:v>
      </x:c>
      <x:c r="E489" s="21" t="str">
        <x:v>2026-06-23</x:v>
      </x:c>
      <x:c r="F489" s="21" t="str">
        <x:f>IFERROR(INDEX('Resultados'!$G$5:$G$108,MATCH($B489,'Resultados'!$A$5:$A$108,0)),"")</x:f>
        <x:v>Inglaterra</x:v>
      </x:c>
      <x:c r="G489" s="21" t="str">
        <x:f>IFERROR(INDEX('Resultados'!$J$5:$J$108,MATCH($B489,'Resultados'!$A$5:$A$108,0)),"")</x:f>
        <x:v>Gana</x:v>
      </x:c>
      <x:c r="H489" s="21" t="str">
        <x:v>Não</x:v>
      </x:c>
      <x:c r="I489" s="22"/>
      <x:c r="J489" s="22"/>
      <x:c r="K489" s="23"/>
      <x:c r="L489" s="21" t="str">
        <x:f>IFERROR(INDEX('Resultados'!$H$5:$H$108,MATCH($B489,'Resultados'!$A$5:$A$108,0)),"")</x:f>
      </x:c>
      <x:c r="M489" s="21" t="str">
        <x:f>IFERROR(INDEX('Resultados'!$I$5:$I$108,MATCH($B489,'Resultados'!$A$5:$A$108,0)),"")</x:f>
      </x:c>
      <x:c r="N489" s="21" t="str">
        <x:f>IFERROR(INDEX('Resultados'!$L$5:$L$108,MATCH($B489,'Resultados'!$A$5:$A$108,0)),"")</x:f>
      </x:c>
      <x:c r="O489" s="59" t="str">
        <x:f>IF(OR($I489="",$J489="",$L489="",$M489=""),"",IF(AND($H489="Sim",$L489=$M489),IF($I489&lt;&gt;$J489,0,IF(AND($I489=$L489,$J489=$M489),2,1)),IF(AND($I489=$L489,$J489=$M489),3,IF(AND($I489&lt;&gt;$J489,$I489=$M489,$J489=$L489),-2,IF(SIGN($I489-$J489)=SIGN($L489-$M489),1,0)))))</x:f>
      </x:c>
      <x:c r="P489" s="59" t="str">
        <x:f>IF(OR($H489&lt;&gt;"Sim",$I489="",$J489="",$L489="",$M489=""),"",IF(AND(IF($I489&gt;$J489,$F489,IF($I489&lt;$J489,$G489,$K489))&lt;&gt;"",IF($L489&gt;$M489,$F489,IF($L489&lt;$M489,$G489,$N489))&lt;&gt;"",IF($I489&gt;$J489,$F489,IF($I489&lt;$J489,$G489,$K489))=IF($L489&gt;$M489,$F489,IF($L489&lt;$M489,$G489,$N489))),1,0))</x:f>
      </x:c>
      <x:c r="Q489" s="59" t="str">
        <x:f>IF($O489="","",$O489+$P489)</x:f>
      </x:c>
      <x:c r="R489" s="59" t="str">
        <x:f>IF($Q489="","",IF($O489=3,"Cravada",IF(AND($H489="Sim",$L489=$M489,$I489=$J489,$O489=2),"Empate cravado",IF($O489=1,"Resultado certo",IF($O489=-2,"Invertida",IF($P489=1,"Acertou quem passa","Erro"))))))</x:f>
      </x:c>
      <x:c r="S489" s="59" t="str">
        <x:f>IF($O489="","",--(OR($O489=3,AND($H489="Sim",$L489=$M489,$I489=$J489,$O489=2))))</x:f>
      </x:c>
      <x:c r="T489" s="59" t="str">
        <x:f>IF($O489="","",--($O489=-2))</x:f>
      </x:c>
      <x:c r="U489" s="59" t="str">
        <x:f>IF($O489="","",--($O489=1))</x:f>
      </x:c>
      <x:c r="V489" s="59" t="n">
        <x:f>--(AND($I489&lt;&gt;"",$J489&lt;&gt;""))</x:f>
        <x:v>0</x:v>
      </x:c>
    </x:row>
    <x:row r="490">
      <x:c r="A490" s="21" t="str">
        <x:f>INDEX(Config!$B$10:$B$16,INT((ROW()-5)/104)+1)</x:f>
        <x:v>Otávio</x:v>
      </x:c>
      <x:c r="B490" s="21" t="str">
        <x:v>GL4</x:v>
      </x:c>
      <x:c r="C490" s="21" t="n">
        <x:v>70</x:v>
      </x:c>
      <x:c r="D490" s="21" t="str">
        <x:v>Grupo L</x:v>
      </x:c>
      <x:c r="E490" s="21" t="str">
        <x:v>2026-06-23</x:v>
      </x:c>
      <x:c r="F490" s="21" t="str">
        <x:f>IFERROR(INDEX('Resultados'!$G$5:$G$108,MATCH($B490,'Resultados'!$A$5:$A$108,0)),"")</x:f>
        <x:v>Croácia</x:v>
      </x:c>
      <x:c r="G490" s="21" t="str">
        <x:f>IFERROR(INDEX('Resultados'!$J$5:$J$108,MATCH($B490,'Resultados'!$A$5:$A$108,0)),"")</x:f>
        <x:v>Panamá</x:v>
      </x:c>
      <x:c r="H490" s="21" t="str">
        <x:v>Não</x:v>
      </x:c>
      <x:c r="I490" s="22"/>
      <x:c r="J490" s="22"/>
      <x:c r="K490" s="23"/>
      <x:c r="L490" s="21" t="str">
        <x:f>IFERROR(INDEX('Resultados'!$H$5:$H$108,MATCH($B490,'Resultados'!$A$5:$A$108,0)),"")</x:f>
      </x:c>
      <x:c r="M490" s="21" t="str">
        <x:f>IFERROR(INDEX('Resultados'!$I$5:$I$108,MATCH($B490,'Resultados'!$A$5:$A$108,0)),"")</x:f>
      </x:c>
      <x:c r="N490" s="21" t="str">
        <x:f>IFERROR(INDEX('Resultados'!$L$5:$L$108,MATCH($B490,'Resultados'!$A$5:$A$108,0)),"")</x:f>
      </x:c>
      <x:c r="O490" s="59" t="str">
        <x:f>IF(OR($I490="",$J490="",$L490="",$M490=""),"",IF(AND($H490="Sim",$L490=$M490),IF($I490&lt;&gt;$J490,0,IF(AND($I490=$L490,$J490=$M490),2,1)),IF(AND($I490=$L490,$J490=$M490),3,IF(AND($I490&lt;&gt;$J490,$I490=$M490,$J490=$L490),-2,IF(SIGN($I490-$J490)=SIGN($L490-$M490),1,0)))))</x:f>
      </x:c>
      <x:c r="P490" s="59" t="str">
        <x:f>IF(OR($H490&lt;&gt;"Sim",$I490="",$J490="",$L490="",$M490=""),"",IF(AND(IF($I490&gt;$J490,$F490,IF($I490&lt;$J490,$G490,$K490))&lt;&gt;"",IF($L490&gt;$M490,$F490,IF($L490&lt;$M490,$G490,$N490))&lt;&gt;"",IF($I490&gt;$J490,$F490,IF($I490&lt;$J490,$G490,$K490))=IF($L490&gt;$M490,$F490,IF($L490&lt;$M490,$G490,$N490))),1,0))</x:f>
      </x:c>
      <x:c r="Q490" s="59" t="str">
        <x:f>IF($O490="","",$O490+$P490)</x:f>
      </x:c>
      <x:c r="R490" s="59" t="str">
        <x:f>IF($Q490="","",IF($O490=3,"Cravada",IF(AND($H490="Sim",$L490=$M490,$I490=$J490,$O490=2),"Empate cravado",IF($O490=1,"Resultado certo",IF($O490=-2,"Invertida",IF($P490=1,"Acertou quem passa","Erro"))))))</x:f>
      </x:c>
      <x:c r="S490" s="59" t="str">
        <x:f>IF($O490="","",--(OR($O490=3,AND($H490="Sim",$L490=$M490,$I490=$J490,$O490=2))))</x:f>
      </x:c>
      <x:c r="T490" s="59" t="str">
        <x:f>IF($O490="","",--($O490=-2))</x:f>
      </x:c>
      <x:c r="U490" s="59" t="str">
        <x:f>IF($O490="","",--($O490=1))</x:f>
      </x:c>
      <x:c r="V490" s="59" t="n">
        <x:f>--(AND($I490&lt;&gt;"",$J490&lt;&gt;""))</x:f>
        <x:v>0</x:v>
      </x:c>
    </x:row>
    <x:row r="491">
      <x:c r="A491" s="21" t="str">
        <x:f>INDEX(Config!$B$10:$B$16,INT((ROW()-5)/104)+1)</x:f>
        <x:v>Otávio</x:v>
      </x:c>
      <x:c r="B491" s="21" t="str">
        <x:v>GL5</x:v>
      </x:c>
      <x:c r="C491" s="21" t="n">
        <x:v>71</x:v>
      </x:c>
      <x:c r="D491" s="21" t="str">
        <x:v>Grupo L</x:v>
      </x:c>
      <x:c r="E491" s="21" t="str">
        <x:v>2026-06-27</x:v>
      </x:c>
      <x:c r="F491" s="21" t="str">
        <x:f>IFERROR(INDEX('Resultados'!$G$5:$G$108,MATCH($B491,'Resultados'!$A$5:$A$108,0)),"")</x:f>
        <x:v>Inglaterra</x:v>
      </x:c>
      <x:c r="G491" s="21" t="str">
        <x:f>IFERROR(INDEX('Resultados'!$J$5:$J$108,MATCH($B491,'Resultados'!$A$5:$A$108,0)),"")</x:f>
        <x:v>Panamá</x:v>
      </x:c>
      <x:c r="H491" s="21" t="str">
        <x:v>Não</x:v>
      </x:c>
      <x:c r="I491" s="22"/>
      <x:c r="J491" s="22"/>
      <x:c r="K491" s="23"/>
      <x:c r="L491" s="21" t="str">
        <x:f>IFERROR(INDEX('Resultados'!$H$5:$H$108,MATCH($B491,'Resultados'!$A$5:$A$108,0)),"")</x:f>
      </x:c>
      <x:c r="M491" s="21" t="str">
        <x:f>IFERROR(INDEX('Resultados'!$I$5:$I$108,MATCH($B491,'Resultados'!$A$5:$A$108,0)),"")</x:f>
      </x:c>
      <x:c r="N491" s="21" t="str">
        <x:f>IFERROR(INDEX('Resultados'!$L$5:$L$108,MATCH($B491,'Resultados'!$A$5:$A$108,0)),"")</x:f>
      </x:c>
      <x:c r="O491" s="59" t="str">
        <x:f>IF(OR($I491="",$J491="",$L491="",$M491=""),"",IF(AND($H491="Sim",$L491=$M491),IF($I491&lt;&gt;$J491,0,IF(AND($I491=$L491,$J491=$M491),2,1)),IF(AND($I491=$L491,$J491=$M491),3,IF(AND($I491&lt;&gt;$J491,$I491=$M491,$J491=$L491),-2,IF(SIGN($I491-$J491)=SIGN($L491-$M491),1,0)))))</x:f>
      </x:c>
      <x:c r="P491" s="59" t="str">
        <x:f>IF(OR($H491&lt;&gt;"Sim",$I491="",$J491="",$L491="",$M491=""),"",IF(AND(IF($I491&gt;$J491,$F491,IF($I491&lt;$J491,$G491,$K491))&lt;&gt;"",IF($L491&gt;$M491,$F491,IF($L491&lt;$M491,$G491,$N491))&lt;&gt;"",IF($I491&gt;$J491,$F491,IF($I491&lt;$J491,$G491,$K491))=IF($L491&gt;$M491,$F491,IF($L491&lt;$M491,$G491,$N491))),1,0))</x:f>
      </x:c>
      <x:c r="Q491" s="59" t="str">
        <x:f>IF($O491="","",$O491+$P491)</x:f>
      </x:c>
      <x:c r="R491" s="59" t="str">
        <x:f>IF($Q491="","",IF($O491=3,"Cravada",IF(AND($H491="Sim",$L491=$M491,$I491=$J491,$O491=2),"Empate cravado",IF($O491=1,"Resultado certo",IF($O491=-2,"Invertida",IF($P491=1,"Acertou quem passa","Erro"))))))</x:f>
      </x:c>
      <x:c r="S491" s="59" t="str">
        <x:f>IF($O491="","",--(OR($O491=3,AND($H491="Sim",$L491=$M491,$I491=$J491,$O491=2))))</x:f>
      </x:c>
      <x:c r="T491" s="59" t="str">
        <x:f>IF($O491="","",--($O491=-2))</x:f>
      </x:c>
      <x:c r="U491" s="59" t="str">
        <x:f>IF($O491="","",--($O491=1))</x:f>
      </x:c>
      <x:c r="V491" s="59" t="n">
        <x:f>--(AND($I491&lt;&gt;"",$J491&lt;&gt;""))</x:f>
        <x:v>0</x:v>
      </x:c>
    </x:row>
    <x:row r="492">
      <x:c r="A492" s="21" t="str">
        <x:f>INDEX(Config!$B$10:$B$16,INT((ROW()-5)/104)+1)</x:f>
        <x:v>Otávio</x:v>
      </x:c>
      <x:c r="B492" s="21" t="str">
        <x:v>GL6</x:v>
      </x:c>
      <x:c r="C492" s="21" t="n">
        <x:v>72</x:v>
      </x:c>
      <x:c r="D492" s="21" t="str">
        <x:v>Grupo L</x:v>
      </x:c>
      <x:c r="E492" s="21" t="str">
        <x:v>2026-06-27</x:v>
      </x:c>
      <x:c r="F492" s="21" t="str">
        <x:f>IFERROR(INDEX('Resultados'!$G$5:$G$108,MATCH($B492,'Resultados'!$A$5:$A$108,0)),"")</x:f>
        <x:v>Croácia</x:v>
      </x:c>
      <x:c r="G492" s="21" t="str">
        <x:f>IFERROR(INDEX('Resultados'!$J$5:$J$108,MATCH($B492,'Resultados'!$A$5:$A$108,0)),"")</x:f>
        <x:v>Gana</x:v>
      </x:c>
      <x:c r="H492" s="21" t="str">
        <x:v>Não</x:v>
      </x:c>
      <x:c r="I492" s="22"/>
      <x:c r="J492" s="22"/>
      <x:c r="K492" s="23"/>
      <x:c r="L492" s="21" t="str">
        <x:f>IFERROR(INDEX('Resultados'!$H$5:$H$108,MATCH($B492,'Resultados'!$A$5:$A$108,0)),"")</x:f>
      </x:c>
      <x:c r="M492" s="21" t="str">
        <x:f>IFERROR(INDEX('Resultados'!$I$5:$I$108,MATCH($B492,'Resultados'!$A$5:$A$108,0)),"")</x:f>
      </x:c>
      <x:c r="N492" s="21" t="str">
        <x:f>IFERROR(INDEX('Resultados'!$L$5:$L$108,MATCH($B492,'Resultados'!$A$5:$A$108,0)),"")</x:f>
      </x:c>
      <x:c r="O492" s="59" t="str">
        <x:f>IF(OR($I492="",$J492="",$L492="",$M492=""),"",IF(AND($H492="Sim",$L492=$M492),IF($I492&lt;&gt;$J492,0,IF(AND($I492=$L492,$J492=$M492),2,1)),IF(AND($I492=$L492,$J492=$M492),3,IF(AND($I492&lt;&gt;$J492,$I492=$M492,$J492=$L492),-2,IF(SIGN($I492-$J492)=SIGN($L492-$M492),1,0)))))</x:f>
      </x:c>
      <x:c r="P492" s="59" t="str">
        <x:f>IF(OR($H492&lt;&gt;"Sim",$I492="",$J492="",$L492="",$M492=""),"",IF(AND(IF($I492&gt;$J492,$F492,IF($I492&lt;$J492,$G492,$K492))&lt;&gt;"",IF($L492&gt;$M492,$F492,IF($L492&lt;$M492,$G492,$N492))&lt;&gt;"",IF($I492&gt;$J492,$F492,IF($I492&lt;$J492,$G492,$K492))=IF($L492&gt;$M492,$F492,IF($L492&lt;$M492,$G492,$N492))),1,0))</x:f>
      </x:c>
      <x:c r="Q492" s="59" t="str">
        <x:f>IF($O492="","",$O492+$P492)</x:f>
      </x:c>
      <x:c r="R492" s="59" t="str">
        <x:f>IF($Q492="","",IF($O492=3,"Cravada",IF(AND($H492="Sim",$L492=$M492,$I492=$J492,$O492=2),"Empate cravado",IF($O492=1,"Resultado certo",IF($O492=-2,"Invertida",IF($P492=1,"Acertou quem passa","Erro"))))))</x:f>
      </x:c>
      <x:c r="S492" s="59" t="str">
        <x:f>IF($O492="","",--(OR($O492=3,AND($H492="Sim",$L492=$M492,$I492=$J492,$O492=2))))</x:f>
      </x:c>
      <x:c r="T492" s="59" t="str">
        <x:f>IF($O492="","",--($O492=-2))</x:f>
      </x:c>
      <x:c r="U492" s="59" t="str">
        <x:f>IF($O492="","",--($O492=1))</x:f>
      </x:c>
      <x:c r="V492" s="59" t="n">
        <x:f>--(AND($I492&lt;&gt;"",$J492&lt;&gt;""))</x:f>
        <x:v>0</x:v>
      </x:c>
    </x:row>
    <x:row r="493">
      <x:c r="A493" s="21" t="str">
        <x:f>INDEX(Config!$B$10:$B$16,INT((ROW()-5)/104)+1)</x:f>
        <x:v>Otávio</x:v>
      </x:c>
      <x:c r="B493" s="21" t="str">
        <x:v>R32_01</x:v>
      </x:c>
      <x:c r="C493" s="21" t="n">
        <x:v>73</x:v>
      </x:c>
      <x:c r="D493" s="21" t="str">
        <x:v>16-avos de final</x:v>
      </x:c>
      <x:c r="E493" s="21" t="str">
        <x:v>2026-06-28</x:v>
      </x:c>
      <x:c r="F493" s="21" t="str">
        <x:f>IFERROR(INDEX('Resultados'!$G$5:$G$108,MATCH($B493,'Resultados'!$A$5:$A$108,0)),"")</x:f>
        <x:v>2º Grupo A</x:v>
      </x:c>
      <x:c r="G493" s="21" t="str">
        <x:f>IFERROR(INDEX('Resultados'!$J$5:$J$108,MATCH($B493,'Resultados'!$A$5:$A$108,0)),"")</x:f>
        <x:v>2º Grupo B</x:v>
      </x:c>
      <x:c r="H493" s="21" t="str">
        <x:v>Sim</x:v>
      </x:c>
      <x:c r="I493" s="22"/>
      <x:c r="J493" s="22"/>
      <x:c r="K493" s="23"/>
      <x:c r="L493" s="21" t="str">
        <x:f>IFERROR(INDEX('Resultados'!$H$5:$H$108,MATCH($B493,'Resultados'!$A$5:$A$108,0)),"")</x:f>
      </x:c>
      <x:c r="M493" s="21" t="str">
        <x:f>IFERROR(INDEX('Resultados'!$I$5:$I$108,MATCH($B493,'Resultados'!$A$5:$A$108,0)),"")</x:f>
      </x:c>
      <x:c r="N493" s="21" t="str">
        <x:f>IFERROR(INDEX('Resultados'!$L$5:$L$108,MATCH($B493,'Resultados'!$A$5:$A$108,0)),"")</x:f>
      </x:c>
      <x:c r="O493" s="59" t="str">
        <x:f>IF(OR($I493="",$J493="",$L493="",$M493=""),"",IF(AND($H493="Sim",$L493=$M493),IF($I493&lt;&gt;$J493,0,IF(AND($I493=$L493,$J493=$M493),2,1)),IF(AND($I493=$L493,$J493=$M493),3,IF(AND($I493&lt;&gt;$J493,$I493=$M493,$J493=$L493),-2,IF(SIGN($I493-$J493)=SIGN($L493-$M493),1,0)))))</x:f>
      </x:c>
      <x:c r="P493" s="59" t="str">
        <x:f>IF(OR($H493&lt;&gt;"Sim",$I493="",$J493="",$L493="",$M493=""),"",IF(AND(IF($I493&gt;$J493,$F493,IF($I493&lt;$J493,$G493,$K493))&lt;&gt;"",IF($L493&gt;$M493,$F493,IF($L493&lt;$M493,$G493,$N493))&lt;&gt;"",IF($I493&gt;$J493,$F493,IF($I493&lt;$J493,$G493,$K493))=IF($L493&gt;$M493,$F493,IF($L493&lt;$M493,$G493,$N493))),1,0))</x:f>
      </x:c>
      <x:c r="Q493" s="59" t="str">
        <x:f>IF($O493="","",$O493+$P493)</x:f>
      </x:c>
      <x:c r="R493" s="59" t="str">
        <x:f>IF($Q493="","",IF($O493=3,"Cravada",IF(AND($H493="Sim",$L493=$M493,$I493=$J493,$O493=2),"Empate cravado",IF($O493=1,"Resultado certo",IF($O493=-2,"Invertida",IF($P493=1,"Acertou quem passa","Erro"))))))</x:f>
      </x:c>
      <x:c r="S493" s="59" t="str">
        <x:f>IF($O493="","",--(OR($O493=3,AND($H493="Sim",$L493=$M493,$I493=$J493,$O493=2))))</x:f>
      </x:c>
      <x:c r="T493" s="59" t="str">
        <x:f>IF($O493="","",--($O493=-2))</x:f>
      </x:c>
      <x:c r="U493" s="59" t="str">
        <x:f>IF($O493="","",--($O493=1))</x:f>
      </x:c>
      <x:c r="V493" s="59" t="n">
        <x:f>--(AND($I493&lt;&gt;"",$J493&lt;&gt;""))</x:f>
        <x:v>0</x:v>
      </x:c>
    </x:row>
    <x:row r="494">
      <x:c r="A494" s="21" t="str">
        <x:f>INDEX(Config!$B$10:$B$16,INT((ROW()-5)/104)+1)</x:f>
        <x:v>Otávio</x:v>
      </x:c>
      <x:c r="B494" s="21" t="str">
        <x:v>R32_02</x:v>
      </x:c>
      <x:c r="C494" s="21" t="n">
        <x:v>74</x:v>
      </x:c>
      <x:c r="D494" s="21" t="str">
        <x:v>16-avos de final</x:v>
      </x:c>
      <x:c r="E494" s="21" t="str">
        <x:v>2026-06-29</x:v>
      </x:c>
      <x:c r="F494" s="21" t="str">
        <x:f>IFERROR(INDEX('Resultados'!$G$5:$G$108,MATCH($B494,'Resultados'!$A$5:$A$108,0)),"")</x:f>
        <x:v>1º Grupo E</x:v>
      </x:c>
      <x:c r="G494" s="21" t="str">
        <x:f>IFERROR(INDEX('Resultados'!$J$5:$J$108,MATCH($B494,'Resultados'!$A$5:$A$108,0)),"")</x:f>
        <x:v>3º A/B/C/D/F</x:v>
      </x:c>
      <x:c r="H494" s="21" t="str">
        <x:v>Sim</x:v>
      </x:c>
      <x:c r="I494" s="22"/>
      <x:c r="J494" s="22"/>
      <x:c r="K494" s="23"/>
      <x:c r="L494" s="21" t="str">
        <x:f>IFERROR(INDEX('Resultados'!$H$5:$H$108,MATCH($B494,'Resultados'!$A$5:$A$108,0)),"")</x:f>
      </x:c>
      <x:c r="M494" s="21" t="str">
        <x:f>IFERROR(INDEX('Resultados'!$I$5:$I$108,MATCH($B494,'Resultados'!$A$5:$A$108,0)),"")</x:f>
      </x:c>
      <x:c r="N494" s="21" t="str">
        <x:f>IFERROR(INDEX('Resultados'!$L$5:$L$108,MATCH($B494,'Resultados'!$A$5:$A$108,0)),"")</x:f>
      </x:c>
      <x:c r="O494" s="59" t="str">
        <x:f>IF(OR($I494="",$J494="",$L494="",$M494=""),"",IF(AND($H494="Sim",$L494=$M494),IF($I494&lt;&gt;$J494,0,IF(AND($I494=$L494,$J494=$M494),2,1)),IF(AND($I494=$L494,$J494=$M494),3,IF(AND($I494&lt;&gt;$J494,$I494=$M494,$J494=$L494),-2,IF(SIGN($I494-$J494)=SIGN($L494-$M494),1,0)))))</x:f>
      </x:c>
      <x:c r="P494" s="59" t="str">
        <x:f>IF(OR($H494&lt;&gt;"Sim",$I494="",$J494="",$L494="",$M494=""),"",IF(AND(IF($I494&gt;$J494,$F494,IF($I494&lt;$J494,$G494,$K494))&lt;&gt;"",IF($L494&gt;$M494,$F494,IF($L494&lt;$M494,$G494,$N494))&lt;&gt;"",IF($I494&gt;$J494,$F494,IF($I494&lt;$J494,$G494,$K494))=IF($L494&gt;$M494,$F494,IF($L494&lt;$M494,$G494,$N494))),1,0))</x:f>
      </x:c>
      <x:c r="Q494" s="59" t="str">
        <x:f>IF($O494="","",$O494+$P494)</x:f>
      </x:c>
      <x:c r="R494" s="59" t="str">
        <x:f>IF($Q494="","",IF($O494=3,"Cravada",IF(AND($H494="Sim",$L494=$M494,$I494=$J494,$O494=2),"Empate cravado",IF($O494=1,"Resultado certo",IF($O494=-2,"Invertida",IF($P494=1,"Acertou quem passa","Erro"))))))</x:f>
      </x:c>
      <x:c r="S494" s="59" t="str">
        <x:f>IF($O494="","",--(OR($O494=3,AND($H494="Sim",$L494=$M494,$I494=$J494,$O494=2))))</x:f>
      </x:c>
      <x:c r="T494" s="59" t="str">
        <x:f>IF($O494="","",--($O494=-2))</x:f>
      </x:c>
      <x:c r="U494" s="59" t="str">
        <x:f>IF($O494="","",--($O494=1))</x:f>
      </x:c>
      <x:c r="V494" s="59" t="n">
        <x:f>--(AND($I494&lt;&gt;"",$J494&lt;&gt;""))</x:f>
        <x:v>0</x:v>
      </x:c>
    </x:row>
    <x:row r="495">
      <x:c r="A495" s="21" t="str">
        <x:f>INDEX(Config!$B$10:$B$16,INT((ROW()-5)/104)+1)</x:f>
        <x:v>Otávio</x:v>
      </x:c>
      <x:c r="B495" s="21" t="str">
        <x:v>R32_03</x:v>
      </x:c>
      <x:c r="C495" s="21" t="n">
        <x:v>75</x:v>
      </x:c>
      <x:c r="D495" s="21" t="str">
        <x:v>16-avos de final</x:v>
      </x:c>
      <x:c r="E495" s="21" t="str">
        <x:v>2026-06-29</x:v>
      </x:c>
      <x:c r="F495" s="21" t="str">
        <x:f>IFERROR(INDEX('Resultados'!$G$5:$G$108,MATCH($B495,'Resultados'!$A$5:$A$108,0)),"")</x:f>
        <x:v>1º Grupo F</x:v>
      </x:c>
      <x:c r="G495" s="21" t="str">
        <x:f>IFERROR(INDEX('Resultados'!$J$5:$J$108,MATCH($B495,'Resultados'!$A$5:$A$108,0)),"")</x:f>
        <x:v>2º Grupo C</x:v>
      </x:c>
      <x:c r="H495" s="21" t="str">
        <x:v>Sim</x:v>
      </x:c>
      <x:c r="I495" s="22"/>
      <x:c r="J495" s="22"/>
      <x:c r="K495" s="23"/>
      <x:c r="L495" s="21" t="str">
        <x:f>IFERROR(INDEX('Resultados'!$H$5:$H$108,MATCH($B495,'Resultados'!$A$5:$A$108,0)),"")</x:f>
      </x:c>
      <x:c r="M495" s="21" t="str">
        <x:f>IFERROR(INDEX('Resultados'!$I$5:$I$108,MATCH($B495,'Resultados'!$A$5:$A$108,0)),"")</x:f>
      </x:c>
      <x:c r="N495" s="21" t="str">
        <x:f>IFERROR(INDEX('Resultados'!$L$5:$L$108,MATCH($B495,'Resultados'!$A$5:$A$108,0)),"")</x:f>
      </x:c>
      <x:c r="O495" s="59" t="str">
        <x:f>IF(OR($I495="",$J495="",$L495="",$M495=""),"",IF(AND($H495="Sim",$L495=$M495),IF($I495&lt;&gt;$J495,0,IF(AND($I495=$L495,$J495=$M495),2,1)),IF(AND($I495=$L495,$J495=$M495),3,IF(AND($I495&lt;&gt;$J495,$I495=$M495,$J495=$L495),-2,IF(SIGN($I495-$J495)=SIGN($L495-$M495),1,0)))))</x:f>
      </x:c>
      <x:c r="P495" s="59" t="str">
        <x:f>IF(OR($H495&lt;&gt;"Sim",$I495="",$J495="",$L495="",$M495=""),"",IF(AND(IF($I495&gt;$J495,$F495,IF($I495&lt;$J495,$G495,$K495))&lt;&gt;"",IF($L495&gt;$M495,$F495,IF($L495&lt;$M495,$G495,$N495))&lt;&gt;"",IF($I495&gt;$J495,$F495,IF($I495&lt;$J495,$G495,$K495))=IF($L495&gt;$M495,$F495,IF($L495&lt;$M495,$G495,$N495))),1,0))</x:f>
      </x:c>
      <x:c r="Q495" s="59" t="str">
        <x:f>IF($O495="","",$O495+$P495)</x:f>
      </x:c>
      <x:c r="R495" s="59" t="str">
        <x:f>IF($Q495="","",IF($O495=3,"Cravada",IF(AND($H495="Sim",$L495=$M495,$I495=$J495,$O495=2),"Empate cravado",IF($O495=1,"Resultado certo",IF($O495=-2,"Invertida",IF($P495=1,"Acertou quem passa","Erro"))))))</x:f>
      </x:c>
      <x:c r="S495" s="59" t="str">
        <x:f>IF($O495="","",--(OR($O495=3,AND($H495="Sim",$L495=$M495,$I495=$J495,$O495=2))))</x:f>
      </x:c>
      <x:c r="T495" s="59" t="str">
        <x:f>IF($O495="","",--($O495=-2))</x:f>
      </x:c>
      <x:c r="U495" s="59" t="str">
        <x:f>IF($O495="","",--($O495=1))</x:f>
      </x:c>
      <x:c r="V495" s="59" t="n">
        <x:f>--(AND($I495&lt;&gt;"",$J495&lt;&gt;""))</x:f>
        <x:v>0</x:v>
      </x:c>
    </x:row>
    <x:row r="496">
      <x:c r="A496" s="21" t="str">
        <x:f>INDEX(Config!$B$10:$B$16,INT((ROW()-5)/104)+1)</x:f>
        <x:v>Otávio</x:v>
      </x:c>
      <x:c r="B496" s="21" t="str">
        <x:v>R32_04</x:v>
      </x:c>
      <x:c r="C496" s="21" t="n">
        <x:v>76</x:v>
      </x:c>
      <x:c r="D496" s="21" t="str">
        <x:v>16-avos de final</x:v>
      </x:c>
      <x:c r="E496" s="21" t="str">
        <x:v>2026-06-29</x:v>
      </x:c>
      <x:c r="F496" s="21" t="str">
        <x:f>IFERROR(INDEX('Resultados'!$G$5:$G$108,MATCH($B496,'Resultados'!$A$5:$A$108,0)),"")</x:f>
        <x:v>1º Grupo C</x:v>
      </x:c>
      <x:c r="G496" s="21" t="str">
        <x:f>IFERROR(INDEX('Resultados'!$J$5:$J$108,MATCH($B496,'Resultados'!$A$5:$A$108,0)),"")</x:f>
        <x:v>2º Grupo F</x:v>
      </x:c>
      <x:c r="H496" s="21" t="str">
        <x:v>Sim</x:v>
      </x:c>
      <x:c r="I496" s="22"/>
      <x:c r="J496" s="22"/>
      <x:c r="K496" s="23"/>
      <x:c r="L496" s="21" t="str">
        <x:f>IFERROR(INDEX('Resultados'!$H$5:$H$108,MATCH($B496,'Resultados'!$A$5:$A$108,0)),"")</x:f>
      </x:c>
      <x:c r="M496" s="21" t="str">
        <x:f>IFERROR(INDEX('Resultados'!$I$5:$I$108,MATCH($B496,'Resultados'!$A$5:$A$108,0)),"")</x:f>
      </x:c>
      <x:c r="N496" s="21" t="str">
        <x:f>IFERROR(INDEX('Resultados'!$L$5:$L$108,MATCH($B496,'Resultados'!$A$5:$A$108,0)),"")</x:f>
      </x:c>
      <x:c r="O496" s="59" t="str">
        <x:f>IF(OR($I496="",$J496="",$L496="",$M496=""),"",IF(AND($H496="Sim",$L496=$M496),IF($I496&lt;&gt;$J496,0,IF(AND($I496=$L496,$J496=$M496),2,1)),IF(AND($I496=$L496,$J496=$M496),3,IF(AND($I496&lt;&gt;$J496,$I496=$M496,$J496=$L496),-2,IF(SIGN($I496-$J496)=SIGN($L496-$M496),1,0)))))</x:f>
      </x:c>
      <x:c r="P496" s="59" t="str">
        <x:f>IF(OR($H496&lt;&gt;"Sim",$I496="",$J496="",$L496="",$M496=""),"",IF(AND(IF($I496&gt;$J496,$F496,IF($I496&lt;$J496,$G496,$K496))&lt;&gt;"",IF($L496&gt;$M496,$F496,IF($L496&lt;$M496,$G496,$N496))&lt;&gt;"",IF($I496&gt;$J496,$F496,IF($I496&lt;$J496,$G496,$K496))=IF($L496&gt;$M496,$F496,IF($L496&lt;$M496,$G496,$N496))),1,0))</x:f>
      </x:c>
      <x:c r="Q496" s="59" t="str">
        <x:f>IF($O496="","",$O496+$P496)</x:f>
      </x:c>
      <x:c r="R496" s="59" t="str">
        <x:f>IF($Q496="","",IF($O496=3,"Cravada",IF(AND($H496="Sim",$L496=$M496,$I496=$J496,$O496=2),"Empate cravado",IF($O496=1,"Resultado certo",IF($O496=-2,"Invertida",IF($P496=1,"Acertou quem passa","Erro"))))))</x:f>
      </x:c>
      <x:c r="S496" s="59" t="str">
        <x:f>IF($O496="","",--(OR($O496=3,AND($H496="Sim",$L496=$M496,$I496=$J496,$O496=2))))</x:f>
      </x:c>
      <x:c r="T496" s="59" t="str">
        <x:f>IF($O496="","",--($O496=-2))</x:f>
      </x:c>
      <x:c r="U496" s="59" t="str">
        <x:f>IF($O496="","",--($O496=1))</x:f>
      </x:c>
      <x:c r="V496" s="59" t="n">
        <x:f>--(AND($I496&lt;&gt;"",$J496&lt;&gt;""))</x:f>
        <x:v>0</x:v>
      </x:c>
    </x:row>
    <x:row r="497">
      <x:c r="A497" s="21" t="str">
        <x:f>INDEX(Config!$B$10:$B$16,INT((ROW()-5)/104)+1)</x:f>
        <x:v>Otávio</x:v>
      </x:c>
      <x:c r="B497" s="21" t="str">
        <x:v>R32_05</x:v>
      </x:c>
      <x:c r="C497" s="21" t="n">
        <x:v>77</x:v>
      </x:c>
      <x:c r="D497" s="21" t="str">
        <x:v>16-avos de final</x:v>
      </x:c>
      <x:c r="E497" s="21" t="str">
        <x:v>2026-06-30</x:v>
      </x:c>
      <x:c r="F497" s="21" t="str">
        <x:f>IFERROR(INDEX('Resultados'!$G$5:$G$108,MATCH($B497,'Resultados'!$A$5:$A$108,0)),"")</x:f>
        <x:v>1º Grupo I</x:v>
      </x:c>
      <x:c r="G497" s="21" t="str">
        <x:f>IFERROR(INDEX('Resultados'!$J$5:$J$108,MATCH($B497,'Resultados'!$A$5:$A$108,0)),"")</x:f>
        <x:v>3º C/D/F/G/H</x:v>
      </x:c>
      <x:c r="H497" s="21" t="str">
        <x:v>Sim</x:v>
      </x:c>
      <x:c r="I497" s="22"/>
      <x:c r="J497" s="22"/>
      <x:c r="K497" s="23"/>
      <x:c r="L497" s="21" t="str">
        <x:f>IFERROR(INDEX('Resultados'!$H$5:$H$108,MATCH($B497,'Resultados'!$A$5:$A$108,0)),"")</x:f>
      </x:c>
      <x:c r="M497" s="21" t="str">
        <x:f>IFERROR(INDEX('Resultados'!$I$5:$I$108,MATCH($B497,'Resultados'!$A$5:$A$108,0)),"")</x:f>
      </x:c>
      <x:c r="N497" s="21" t="str">
        <x:f>IFERROR(INDEX('Resultados'!$L$5:$L$108,MATCH($B497,'Resultados'!$A$5:$A$108,0)),"")</x:f>
      </x:c>
      <x:c r="O497" s="59" t="str">
        <x:f>IF(OR($I497="",$J497="",$L497="",$M497=""),"",IF(AND($H497="Sim",$L497=$M497),IF($I497&lt;&gt;$J497,0,IF(AND($I497=$L497,$J497=$M497),2,1)),IF(AND($I497=$L497,$J497=$M497),3,IF(AND($I497&lt;&gt;$J497,$I497=$M497,$J497=$L497),-2,IF(SIGN($I497-$J497)=SIGN($L497-$M497),1,0)))))</x:f>
      </x:c>
      <x:c r="P497" s="59" t="str">
        <x:f>IF(OR($H497&lt;&gt;"Sim",$I497="",$J497="",$L497="",$M497=""),"",IF(AND(IF($I497&gt;$J497,$F497,IF($I497&lt;$J497,$G497,$K497))&lt;&gt;"",IF($L497&gt;$M497,$F497,IF($L497&lt;$M497,$G497,$N497))&lt;&gt;"",IF($I497&gt;$J497,$F497,IF($I497&lt;$J497,$G497,$K497))=IF($L497&gt;$M497,$F497,IF($L497&lt;$M497,$G497,$N497))),1,0))</x:f>
      </x:c>
      <x:c r="Q497" s="59" t="str">
        <x:f>IF($O497="","",$O497+$P497)</x:f>
      </x:c>
      <x:c r="R497" s="59" t="str">
        <x:f>IF($Q497="","",IF($O497=3,"Cravada",IF(AND($H497="Sim",$L497=$M497,$I497=$J497,$O497=2),"Empate cravado",IF($O497=1,"Resultado certo",IF($O497=-2,"Invertida",IF($P497=1,"Acertou quem passa","Erro"))))))</x:f>
      </x:c>
      <x:c r="S497" s="59" t="str">
        <x:f>IF($O497="","",--(OR($O497=3,AND($H497="Sim",$L497=$M497,$I497=$J497,$O497=2))))</x:f>
      </x:c>
      <x:c r="T497" s="59" t="str">
        <x:f>IF($O497="","",--($O497=-2))</x:f>
      </x:c>
      <x:c r="U497" s="59" t="str">
        <x:f>IF($O497="","",--($O497=1))</x:f>
      </x:c>
      <x:c r="V497" s="59" t="n">
        <x:f>--(AND($I497&lt;&gt;"",$J497&lt;&gt;""))</x:f>
        <x:v>0</x:v>
      </x:c>
    </x:row>
    <x:row r="498">
      <x:c r="A498" s="21" t="str">
        <x:f>INDEX(Config!$B$10:$B$16,INT((ROW()-5)/104)+1)</x:f>
        <x:v>Otávio</x:v>
      </x:c>
      <x:c r="B498" s="21" t="str">
        <x:v>R32_06</x:v>
      </x:c>
      <x:c r="C498" s="21" t="n">
        <x:v>78</x:v>
      </x:c>
      <x:c r="D498" s="21" t="str">
        <x:v>16-avos de final</x:v>
      </x:c>
      <x:c r="E498" s="21" t="str">
        <x:v>2026-06-30</x:v>
      </x:c>
      <x:c r="F498" s="21" t="str">
        <x:f>IFERROR(INDEX('Resultados'!$G$5:$G$108,MATCH($B498,'Resultados'!$A$5:$A$108,0)),"")</x:f>
        <x:v>2º Grupo E</x:v>
      </x:c>
      <x:c r="G498" s="21" t="str">
        <x:f>IFERROR(INDEX('Resultados'!$J$5:$J$108,MATCH($B498,'Resultados'!$A$5:$A$108,0)),"")</x:f>
        <x:v>2º Grupo I</x:v>
      </x:c>
      <x:c r="H498" s="21" t="str">
        <x:v>Sim</x:v>
      </x:c>
      <x:c r="I498" s="22"/>
      <x:c r="J498" s="22"/>
      <x:c r="K498" s="23"/>
      <x:c r="L498" s="21" t="str">
        <x:f>IFERROR(INDEX('Resultados'!$H$5:$H$108,MATCH($B498,'Resultados'!$A$5:$A$108,0)),"")</x:f>
      </x:c>
      <x:c r="M498" s="21" t="str">
        <x:f>IFERROR(INDEX('Resultados'!$I$5:$I$108,MATCH($B498,'Resultados'!$A$5:$A$108,0)),"")</x:f>
      </x:c>
      <x:c r="N498" s="21" t="str">
        <x:f>IFERROR(INDEX('Resultados'!$L$5:$L$108,MATCH($B498,'Resultados'!$A$5:$A$108,0)),"")</x:f>
      </x:c>
      <x:c r="O498" s="59" t="str">
        <x:f>IF(OR($I498="",$J498="",$L498="",$M498=""),"",IF(AND($H498="Sim",$L498=$M498),IF($I498&lt;&gt;$J498,0,IF(AND($I498=$L498,$J498=$M498),2,1)),IF(AND($I498=$L498,$J498=$M498),3,IF(AND($I498&lt;&gt;$J498,$I498=$M498,$J498=$L498),-2,IF(SIGN($I498-$J498)=SIGN($L498-$M498),1,0)))))</x:f>
      </x:c>
      <x:c r="P498" s="59" t="str">
        <x:f>IF(OR($H498&lt;&gt;"Sim",$I498="",$J498="",$L498="",$M498=""),"",IF(AND(IF($I498&gt;$J498,$F498,IF($I498&lt;$J498,$G498,$K498))&lt;&gt;"",IF($L498&gt;$M498,$F498,IF($L498&lt;$M498,$G498,$N498))&lt;&gt;"",IF($I498&gt;$J498,$F498,IF($I498&lt;$J498,$G498,$K498))=IF($L498&gt;$M498,$F498,IF($L498&lt;$M498,$G498,$N498))),1,0))</x:f>
      </x:c>
      <x:c r="Q498" s="59" t="str">
        <x:f>IF($O498="","",$O498+$P498)</x:f>
      </x:c>
      <x:c r="R498" s="59" t="str">
        <x:f>IF($Q498="","",IF($O498=3,"Cravada",IF(AND($H498="Sim",$L498=$M498,$I498=$J498,$O498=2),"Empate cravado",IF($O498=1,"Resultado certo",IF($O498=-2,"Invertida",IF($P498=1,"Acertou quem passa","Erro"))))))</x:f>
      </x:c>
      <x:c r="S498" s="59" t="str">
        <x:f>IF($O498="","",--(OR($O498=3,AND($H498="Sim",$L498=$M498,$I498=$J498,$O498=2))))</x:f>
      </x:c>
      <x:c r="T498" s="59" t="str">
        <x:f>IF($O498="","",--($O498=-2))</x:f>
      </x:c>
      <x:c r="U498" s="59" t="str">
        <x:f>IF($O498="","",--($O498=1))</x:f>
      </x:c>
      <x:c r="V498" s="59" t="n">
        <x:f>--(AND($I498&lt;&gt;"",$J498&lt;&gt;""))</x:f>
        <x:v>0</x:v>
      </x:c>
    </x:row>
    <x:row r="499">
      <x:c r="A499" s="21" t="str">
        <x:f>INDEX(Config!$B$10:$B$16,INT((ROW()-5)/104)+1)</x:f>
        <x:v>Otávio</x:v>
      </x:c>
      <x:c r="B499" s="21" t="str">
        <x:v>R32_07</x:v>
      </x:c>
      <x:c r="C499" s="21" t="n">
        <x:v>79</x:v>
      </x:c>
      <x:c r="D499" s="21" t="str">
        <x:v>16-avos de final</x:v>
      </x:c>
      <x:c r="E499" s="21" t="str">
        <x:v>2026-06-30</x:v>
      </x:c>
      <x:c r="F499" s="21" t="str">
        <x:f>IFERROR(INDEX('Resultados'!$G$5:$G$108,MATCH($B499,'Resultados'!$A$5:$A$108,0)),"")</x:f>
        <x:v>1º Grupo A</x:v>
      </x:c>
      <x:c r="G499" s="21" t="str">
        <x:f>IFERROR(INDEX('Resultados'!$J$5:$J$108,MATCH($B499,'Resultados'!$A$5:$A$108,0)),"")</x:f>
        <x:v>3º C/E/F/H/I</x:v>
      </x:c>
      <x:c r="H499" s="21" t="str">
        <x:v>Sim</x:v>
      </x:c>
      <x:c r="I499" s="22"/>
      <x:c r="J499" s="22"/>
      <x:c r="K499" s="23"/>
      <x:c r="L499" s="21" t="str">
        <x:f>IFERROR(INDEX('Resultados'!$H$5:$H$108,MATCH($B499,'Resultados'!$A$5:$A$108,0)),"")</x:f>
      </x:c>
      <x:c r="M499" s="21" t="str">
        <x:f>IFERROR(INDEX('Resultados'!$I$5:$I$108,MATCH($B499,'Resultados'!$A$5:$A$108,0)),"")</x:f>
      </x:c>
      <x:c r="N499" s="21" t="str">
        <x:f>IFERROR(INDEX('Resultados'!$L$5:$L$108,MATCH($B499,'Resultados'!$A$5:$A$108,0)),"")</x:f>
      </x:c>
      <x:c r="O499" s="59" t="str">
        <x:f>IF(OR($I499="",$J499="",$L499="",$M499=""),"",IF(AND($H499="Sim",$L499=$M499),IF($I499&lt;&gt;$J499,0,IF(AND($I499=$L499,$J499=$M499),2,1)),IF(AND($I499=$L499,$J499=$M499),3,IF(AND($I499&lt;&gt;$J499,$I499=$M499,$J499=$L499),-2,IF(SIGN($I499-$J499)=SIGN($L499-$M499),1,0)))))</x:f>
      </x:c>
      <x:c r="P499" s="59" t="str">
        <x:f>IF(OR($H499&lt;&gt;"Sim",$I499="",$J499="",$L499="",$M499=""),"",IF(AND(IF($I499&gt;$J499,$F499,IF($I499&lt;$J499,$G499,$K499))&lt;&gt;"",IF($L499&gt;$M499,$F499,IF($L499&lt;$M499,$G499,$N499))&lt;&gt;"",IF($I499&gt;$J499,$F499,IF($I499&lt;$J499,$G499,$K499))=IF($L499&gt;$M499,$F499,IF($L499&lt;$M499,$G499,$N499))),1,0))</x:f>
      </x:c>
      <x:c r="Q499" s="59" t="str">
        <x:f>IF($O499="","",$O499+$P499)</x:f>
      </x:c>
      <x:c r="R499" s="59" t="str">
        <x:f>IF($Q499="","",IF($O499=3,"Cravada",IF(AND($H499="Sim",$L499=$M499,$I499=$J499,$O499=2),"Empate cravado",IF($O499=1,"Resultado certo",IF($O499=-2,"Invertida",IF($P499=1,"Acertou quem passa","Erro"))))))</x:f>
      </x:c>
      <x:c r="S499" s="59" t="str">
        <x:f>IF($O499="","",--(OR($O499=3,AND($H499="Sim",$L499=$M499,$I499=$J499,$O499=2))))</x:f>
      </x:c>
      <x:c r="T499" s="59" t="str">
        <x:f>IF($O499="","",--($O499=-2))</x:f>
      </x:c>
      <x:c r="U499" s="59" t="str">
        <x:f>IF($O499="","",--($O499=1))</x:f>
      </x:c>
      <x:c r="V499" s="59" t="n">
        <x:f>--(AND($I499&lt;&gt;"",$J499&lt;&gt;""))</x:f>
        <x:v>0</x:v>
      </x:c>
    </x:row>
    <x:row r="500">
      <x:c r="A500" s="21" t="str">
        <x:f>INDEX(Config!$B$10:$B$16,INT((ROW()-5)/104)+1)</x:f>
        <x:v>Otávio</x:v>
      </x:c>
      <x:c r="B500" s="21" t="str">
        <x:v>R32_08</x:v>
      </x:c>
      <x:c r="C500" s="21" t="n">
        <x:v>80</x:v>
      </x:c>
      <x:c r="D500" s="21" t="str">
        <x:v>16-avos de final</x:v>
      </x:c>
      <x:c r="E500" s="21" t="str">
        <x:v>2026-07-01</x:v>
      </x:c>
      <x:c r="F500" s="21" t="str">
        <x:f>IFERROR(INDEX('Resultados'!$G$5:$G$108,MATCH($B500,'Resultados'!$A$5:$A$108,0)),"")</x:f>
        <x:v>1º Grupo L</x:v>
      </x:c>
      <x:c r="G500" s="21" t="str">
        <x:f>IFERROR(INDEX('Resultados'!$J$5:$J$108,MATCH($B500,'Resultados'!$A$5:$A$108,0)),"")</x:f>
        <x:v>3º E/H/I/J/K</x:v>
      </x:c>
      <x:c r="H500" s="21" t="str">
        <x:v>Sim</x:v>
      </x:c>
      <x:c r="I500" s="22"/>
      <x:c r="J500" s="22"/>
      <x:c r="K500" s="23"/>
      <x:c r="L500" s="21" t="str">
        <x:f>IFERROR(INDEX('Resultados'!$H$5:$H$108,MATCH($B500,'Resultados'!$A$5:$A$108,0)),"")</x:f>
      </x:c>
      <x:c r="M500" s="21" t="str">
        <x:f>IFERROR(INDEX('Resultados'!$I$5:$I$108,MATCH($B500,'Resultados'!$A$5:$A$108,0)),"")</x:f>
      </x:c>
      <x:c r="N500" s="21" t="str">
        <x:f>IFERROR(INDEX('Resultados'!$L$5:$L$108,MATCH($B500,'Resultados'!$A$5:$A$108,0)),"")</x:f>
      </x:c>
      <x:c r="O500" s="59" t="str">
        <x:f>IF(OR($I500="",$J500="",$L500="",$M500=""),"",IF(AND($H500="Sim",$L500=$M500),IF($I500&lt;&gt;$J500,0,IF(AND($I500=$L500,$J500=$M500),2,1)),IF(AND($I500=$L500,$J500=$M500),3,IF(AND($I500&lt;&gt;$J500,$I500=$M500,$J500=$L500),-2,IF(SIGN($I500-$J500)=SIGN($L500-$M500),1,0)))))</x:f>
      </x:c>
      <x:c r="P500" s="59" t="str">
        <x:f>IF(OR($H500&lt;&gt;"Sim",$I500="",$J500="",$L500="",$M500=""),"",IF(AND(IF($I500&gt;$J500,$F500,IF($I500&lt;$J500,$G500,$K500))&lt;&gt;"",IF($L500&gt;$M500,$F500,IF($L500&lt;$M500,$G500,$N500))&lt;&gt;"",IF($I500&gt;$J500,$F500,IF($I500&lt;$J500,$G500,$K500))=IF($L500&gt;$M500,$F500,IF($L500&lt;$M500,$G500,$N500))),1,0))</x:f>
      </x:c>
      <x:c r="Q500" s="59" t="str">
        <x:f>IF($O500="","",$O500+$P500)</x:f>
      </x:c>
      <x:c r="R500" s="59" t="str">
        <x:f>IF($Q500="","",IF($O500=3,"Cravada",IF(AND($H500="Sim",$L500=$M500,$I500=$J500,$O500=2),"Empate cravado",IF($O500=1,"Resultado certo",IF($O500=-2,"Invertida",IF($P500=1,"Acertou quem passa","Erro"))))))</x:f>
      </x:c>
      <x:c r="S500" s="59" t="str">
        <x:f>IF($O500="","",--(OR($O500=3,AND($H500="Sim",$L500=$M500,$I500=$J500,$O500=2))))</x:f>
      </x:c>
      <x:c r="T500" s="59" t="str">
        <x:f>IF($O500="","",--($O500=-2))</x:f>
      </x:c>
      <x:c r="U500" s="59" t="str">
        <x:f>IF($O500="","",--($O500=1))</x:f>
      </x:c>
      <x:c r="V500" s="59" t="n">
        <x:f>--(AND($I500&lt;&gt;"",$J500&lt;&gt;""))</x:f>
        <x:v>0</x:v>
      </x:c>
    </x:row>
    <x:row r="501">
      <x:c r="A501" s="21" t="str">
        <x:f>INDEX(Config!$B$10:$B$16,INT((ROW()-5)/104)+1)</x:f>
        <x:v>Otávio</x:v>
      </x:c>
      <x:c r="B501" s="21" t="str">
        <x:v>R32_09</x:v>
      </x:c>
      <x:c r="C501" s="21" t="n">
        <x:v>81</x:v>
      </x:c>
      <x:c r="D501" s="21" t="str">
        <x:v>16-avos de final</x:v>
      </x:c>
      <x:c r="E501" s="21" t="str">
        <x:v>2026-07-01</x:v>
      </x:c>
      <x:c r="F501" s="21" t="str">
        <x:f>IFERROR(INDEX('Resultados'!$G$5:$G$108,MATCH($B501,'Resultados'!$A$5:$A$108,0)),"")</x:f>
        <x:v>1º Grupo D</x:v>
      </x:c>
      <x:c r="G501" s="21" t="str">
        <x:f>IFERROR(INDEX('Resultados'!$J$5:$J$108,MATCH($B501,'Resultados'!$A$5:$A$108,0)),"")</x:f>
        <x:v>3º B/E/F/I/J</x:v>
      </x:c>
      <x:c r="H501" s="21" t="str">
        <x:v>Sim</x:v>
      </x:c>
      <x:c r="I501" s="22"/>
      <x:c r="J501" s="22"/>
      <x:c r="K501" s="23"/>
      <x:c r="L501" s="21" t="str">
        <x:f>IFERROR(INDEX('Resultados'!$H$5:$H$108,MATCH($B501,'Resultados'!$A$5:$A$108,0)),"")</x:f>
      </x:c>
      <x:c r="M501" s="21" t="str">
        <x:f>IFERROR(INDEX('Resultados'!$I$5:$I$108,MATCH($B501,'Resultados'!$A$5:$A$108,0)),"")</x:f>
      </x:c>
      <x:c r="N501" s="21" t="str">
        <x:f>IFERROR(INDEX('Resultados'!$L$5:$L$108,MATCH($B501,'Resultados'!$A$5:$A$108,0)),"")</x:f>
      </x:c>
      <x:c r="O501" s="59" t="str">
        <x:f>IF(OR($I501="",$J501="",$L501="",$M501=""),"",IF(AND($H501="Sim",$L501=$M501),IF($I501&lt;&gt;$J501,0,IF(AND($I501=$L501,$J501=$M501),2,1)),IF(AND($I501=$L501,$J501=$M501),3,IF(AND($I501&lt;&gt;$J501,$I501=$M501,$J501=$L501),-2,IF(SIGN($I501-$J501)=SIGN($L501-$M501),1,0)))))</x:f>
      </x:c>
      <x:c r="P501" s="59" t="str">
        <x:f>IF(OR($H501&lt;&gt;"Sim",$I501="",$J501="",$L501="",$M501=""),"",IF(AND(IF($I501&gt;$J501,$F501,IF($I501&lt;$J501,$G501,$K501))&lt;&gt;"",IF($L501&gt;$M501,$F501,IF($L501&lt;$M501,$G501,$N501))&lt;&gt;"",IF($I501&gt;$J501,$F501,IF($I501&lt;$J501,$G501,$K501))=IF($L501&gt;$M501,$F501,IF($L501&lt;$M501,$G501,$N501))),1,0))</x:f>
      </x:c>
      <x:c r="Q501" s="59" t="str">
        <x:f>IF($O501="","",$O501+$P501)</x:f>
      </x:c>
      <x:c r="R501" s="59" t="str">
        <x:f>IF($Q501="","",IF($O501=3,"Cravada",IF(AND($H501="Sim",$L501=$M501,$I501=$J501,$O501=2),"Empate cravado",IF($O501=1,"Resultado certo",IF($O501=-2,"Invertida",IF($P501=1,"Acertou quem passa","Erro"))))))</x:f>
      </x:c>
      <x:c r="S501" s="59" t="str">
        <x:f>IF($O501="","",--(OR($O501=3,AND($H501="Sim",$L501=$M501,$I501=$J501,$O501=2))))</x:f>
      </x:c>
      <x:c r="T501" s="59" t="str">
        <x:f>IF($O501="","",--($O501=-2))</x:f>
      </x:c>
      <x:c r="U501" s="59" t="str">
        <x:f>IF($O501="","",--($O501=1))</x:f>
      </x:c>
      <x:c r="V501" s="59" t="n">
        <x:f>--(AND($I501&lt;&gt;"",$J501&lt;&gt;""))</x:f>
        <x:v>0</x:v>
      </x:c>
    </x:row>
    <x:row r="502">
      <x:c r="A502" s="21" t="str">
        <x:f>INDEX(Config!$B$10:$B$16,INT((ROW()-5)/104)+1)</x:f>
        <x:v>Otávio</x:v>
      </x:c>
      <x:c r="B502" s="21" t="str">
        <x:v>R32_10</x:v>
      </x:c>
      <x:c r="C502" s="21" t="n">
        <x:v>82</x:v>
      </x:c>
      <x:c r="D502" s="21" t="str">
        <x:v>16-avos de final</x:v>
      </x:c>
      <x:c r="E502" s="21" t="str">
        <x:v>2026-07-01</x:v>
      </x:c>
      <x:c r="F502" s="21" t="str">
        <x:f>IFERROR(INDEX('Resultados'!$G$5:$G$108,MATCH($B502,'Resultados'!$A$5:$A$108,0)),"")</x:f>
        <x:v>1º Grupo G</x:v>
      </x:c>
      <x:c r="G502" s="21" t="str">
        <x:f>IFERROR(INDEX('Resultados'!$J$5:$J$108,MATCH($B502,'Resultados'!$A$5:$A$108,0)),"")</x:f>
        <x:v>3º A/E/H/I/J</x:v>
      </x:c>
      <x:c r="H502" s="21" t="str">
        <x:v>Sim</x:v>
      </x:c>
      <x:c r="I502" s="22"/>
      <x:c r="J502" s="22"/>
      <x:c r="K502" s="23"/>
      <x:c r="L502" s="21" t="str">
        <x:f>IFERROR(INDEX('Resultados'!$H$5:$H$108,MATCH($B502,'Resultados'!$A$5:$A$108,0)),"")</x:f>
      </x:c>
      <x:c r="M502" s="21" t="str">
        <x:f>IFERROR(INDEX('Resultados'!$I$5:$I$108,MATCH($B502,'Resultados'!$A$5:$A$108,0)),"")</x:f>
      </x:c>
      <x:c r="N502" s="21" t="str">
        <x:f>IFERROR(INDEX('Resultados'!$L$5:$L$108,MATCH($B502,'Resultados'!$A$5:$A$108,0)),"")</x:f>
      </x:c>
      <x:c r="O502" s="59" t="str">
        <x:f>IF(OR($I502="",$J502="",$L502="",$M502=""),"",IF(AND($H502="Sim",$L502=$M502),IF($I502&lt;&gt;$J502,0,IF(AND($I502=$L502,$J502=$M502),2,1)),IF(AND($I502=$L502,$J502=$M502),3,IF(AND($I502&lt;&gt;$J502,$I502=$M502,$J502=$L502),-2,IF(SIGN($I502-$J502)=SIGN($L502-$M502),1,0)))))</x:f>
      </x:c>
      <x:c r="P502" s="59" t="str">
        <x:f>IF(OR($H502&lt;&gt;"Sim",$I502="",$J502="",$L502="",$M502=""),"",IF(AND(IF($I502&gt;$J502,$F502,IF($I502&lt;$J502,$G502,$K502))&lt;&gt;"",IF($L502&gt;$M502,$F502,IF($L502&lt;$M502,$G502,$N502))&lt;&gt;"",IF($I502&gt;$J502,$F502,IF($I502&lt;$J502,$G502,$K502))=IF($L502&gt;$M502,$F502,IF($L502&lt;$M502,$G502,$N502))),1,0))</x:f>
      </x:c>
      <x:c r="Q502" s="59" t="str">
        <x:f>IF($O502="","",$O502+$P502)</x:f>
      </x:c>
      <x:c r="R502" s="59" t="str">
        <x:f>IF($Q502="","",IF($O502=3,"Cravada",IF(AND($H502="Sim",$L502=$M502,$I502=$J502,$O502=2),"Empate cravado",IF($O502=1,"Resultado certo",IF($O502=-2,"Invertida",IF($P502=1,"Acertou quem passa","Erro"))))))</x:f>
      </x:c>
      <x:c r="S502" s="59" t="str">
        <x:f>IF($O502="","",--(OR($O502=3,AND($H502="Sim",$L502=$M502,$I502=$J502,$O502=2))))</x:f>
      </x:c>
      <x:c r="T502" s="59" t="str">
        <x:f>IF($O502="","",--($O502=-2))</x:f>
      </x:c>
      <x:c r="U502" s="59" t="str">
        <x:f>IF($O502="","",--($O502=1))</x:f>
      </x:c>
      <x:c r="V502" s="59" t="n">
        <x:f>--(AND($I502&lt;&gt;"",$J502&lt;&gt;""))</x:f>
        <x:v>0</x:v>
      </x:c>
    </x:row>
    <x:row r="503">
      <x:c r="A503" s="21" t="str">
        <x:f>INDEX(Config!$B$10:$B$16,INT((ROW()-5)/104)+1)</x:f>
        <x:v>Otávio</x:v>
      </x:c>
      <x:c r="B503" s="21" t="str">
        <x:v>R32_11</x:v>
      </x:c>
      <x:c r="C503" s="21" t="n">
        <x:v>83</x:v>
      </x:c>
      <x:c r="D503" s="21" t="str">
        <x:v>16-avos de final</x:v>
      </x:c>
      <x:c r="E503" s="21" t="str">
        <x:v>2026-07-02</x:v>
      </x:c>
      <x:c r="F503" s="21" t="str">
        <x:f>IFERROR(INDEX('Resultados'!$G$5:$G$108,MATCH($B503,'Resultados'!$A$5:$A$108,0)),"")</x:f>
        <x:v>2º Grupo K</x:v>
      </x:c>
      <x:c r="G503" s="21" t="str">
        <x:f>IFERROR(INDEX('Resultados'!$J$5:$J$108,MATCH($B503,'Resultados'!$A$5:$A$108,0)),"")</x:f>
        <x:v>2º Grupo L</x:v>
      </x:c>
      <x:c r="H503" s="21" t="str">
        <x:v>Sim</x:v>
      </x:c>
      <x:c r="I503" s="22"/>
      <x:c r="J503" s="22"/>
      <x:c r="K503" s="23"/>
      <x:c r="L503" s="21" t="str">
        <x:f>IFERROR(INDEX('Resultados'!$H$5:$H$108,MATCH($B503,'Resultados'!$A$5:$A$108,0)),"")</x:f>
      </x:c>
      <x:c r="M503" s="21" t="str">
        <x:f>IFERROR(INDEX('Resultados'!$I$5:$I$108,MATCH($B503,'Resultados'!$A$5:$A$108,0)),"")</x:f>
      </x:c>
      <x:c r="N503" s="21" t="str">
        <x:f>IFERROR(INDEX('Resultados'!$L$5:$L$108,MATCH($B503,'Resultados'!$A$5:$A$108,0)),"")</x:f>
      </x:c>
      <x:c r="O503" s="59" t="str">
        <x:f>IF(OR($I503="",$J503="",$L503="",$M503=""),"",IF(AND($H503="Sim",$L503=$M503),IF($I503&lt;&gt;$J503,0,IF(AND($I503=$L503,$J503=$M503),2,1)),IF(AND($I503=$L503,$J503=$M503),3,IF(AND($I503&lt;&gt;$J503,$I503=$M503,$J503=$L503),-2,IF(SIGN($I503-$J503)=SIGN($L503-$M503),1,0)))))</x:f>
      </x:c>
      <x:c r="P503" s="59" t="str">
        <x:f>IF(OR($H503&lt;&gt;"Sim",$I503="",$J503="",$L503="",$M503=""),"",IF(AND(IF($I503&gt;$J503,$F503,IF($I503&lt;$J503,$G503,$K503))&lt;&gt;"",IF($L503&gt;$M503,$F503,IF($L503&lt;$M503,$G503,$N503))&lt;&gt;"",IF($I503&gt;$J503,$F503,IF($I503&lt;$J503,$G503,$K503))=IF($L503&gt;$M503,$F503,IF($L503&lt;$M503,$G503,$N503))),1,0))</x:f>
      </x:c>
      <x:c r="Q503" s="59" t="str">
        <x:f>IF($O503="","",$O503+$P503)</x:f>
      </x:c>
      <x:c r="R503" s="59" t="str">
        <x:f>IF($Q503="","",IF($O503=3,"Cravada",IF(AND($H503="Sim",$L503=$M503,$I503=$J503,$O503=2),"Empate cravado",IF($O503=1,"Resultado certo",IF($O503=-2,"Invertida",IF($P503=1,"Acertou quem passa","Erro"))))))</x:f>
      </x:c>
      <x:c r="S503" s="59" t="str">
        <x:f>IF($O503="","",--(OR($O503=3,AND($H503="Sim",$L503=$M503,$I503=$J503,$O503=2))))</x:f>
      </x:c>
      <x:c r="T503" s="59" t="str">
        <x:f>IF($O503="","",--($O503=-2))</x:f>
      </x:c>
      <x:c r="U503" s="59" t="str">
        <x:f>IF($O503="","",--($O503=1))</x:f>
      </x:c>
      <x:c r="V503" s="59" t="n">
        <x:f>--(AND($I503&lt;&gt;"",$J503&lt;&gt;""))</x:f>
        <x:v>0</x:v>
      </x:c>
    </x:row>
    <x:row r="504">
      <x:c r="A504" s="21" t="str">
        <x:f>INDEX(Config!$B$10:$B$16,INT((ROW()-5)/104)+1)</x:f>
        <x:v>Otávio</x:v>
      </x:c>
      <x:c r="B504" s="21" t="str">
        <x:v>R32_12</x:v>
      </x:c>
      <x:c r="C504" s="21" t="n">
        <x:v>84</x:v>
      </x:c>
      <x:c r="D504" s="21" t="str">
        <x:v>16-avos de final</x:v>
      </x:c>
      <x:c r="E504" s="21" t="str">
        <x:v>2026-07-02</x:v>
      </x:c>
      <x:c r="F504" s="21" t="str">
        <x:f>IFERROR(INDEX('Resultados'!$G$5:$G$108,MATCH($B504,'Resultados'!$A$5:$A$108,0)),"")</x:f>
        <x:v>1º Grupo H</x:v>
      </x:c>
      <x:c r="G504" s="21" t="str">
        <x:f>IFERROR(INDEX('Resultados'!$J$5:$J$108,MATCH($B504,'Resultados'!$A$5:$A$108,0)),"")</x:f>
        <x:v>2º Grupo J</x:v>
      </x:c>
      <x:c r="H504" s="21" t="str">
        <x:v>Sim</x:v>
      </x:c>
      <x:c r="I504" s="22"/>
      <x:c r="J504" s="22"/>
      <x:c r="K504" s="23"/>
      <x:c r="L504" s="21" t="str">
        <x:f>IFERROR(INDEX('Resultados'!$H$5:$H$108,MATCH($B504,'Resultados'!$A$5:$A$108,0)),"")</x:f>
      </x:c>
      <x:c r="M504" s="21" t="str">
        <x:f>IFERROR(INDEX('Resultados'!$I$5:$I$108,MATCH($B504,'Resultados'!$A$5:$A$108,0)),"")</x:f>
      </x:c>
      <x:c r="N504" s="21" t="str">
        <x:f>IFERROR(INDEX('Resultados'!$L$5:$L$108,MATCH($B504,'Resultados'!$A$5:$A$108,0)),"")</x:f>
      </x:c>
      <x:c r="O504" s="59" t="str">
        <x:f>IF(OR($I504="",$J504="",$L504="",$M504=""),"",IF(AND($H504="Sim",$L504=$M504),IF($I504&lt;&gt;$J504,0,IF(AND($I504=$L504,$J504=$M504),2,1)),IF(AND($I504=$L504,$J504=$M504),3,IF(AND($I504&lt;&gt;$J504,$I504=$M504,$J504=$L504),-2,IF(SIGN($I504-$J504)=SIGN($L504-$M504),1,0)))))</x:f>
      </x:c>
      <x:c r="P504" s="59" t="str">
        <x:f>IF(OR($H504&lt;&gt;"Sim",$I504="",$J504="",$L504="",$M504=""),"",IF(AND(IF($I504&gt;$J504,$F504,IF($I504&lt;$J504,$G504,$K504))&lt;&gt;"",IF($L504&gt;$M504,$F504,IF($L504&lt;$M504,$G504,$N504))&lt;&gt;"",IF($I504&gt;$J504,$F504,IF($I504&lt;$J504,$G504,$K504))=IF($L504&gt;$M504,$F504,IF($L504&lt;$M504,$G504,$N504))),1,0))</x:f>
      </x:c>
      <x:c r="Q504" s="59" t="str">
        <x:f>IF($O504="","",$O504+$P504)</x:f>
      </x:c>
      <x:c r="R504" s="59" t="str">
        <x:f>IF($Q504="","",IF($O504=3,"Cravada",IF(AND($H504="Sim",$L504=$M504,$I504=$J504,$O504=2),"Empate cravado",IF($O504=1,"Resultado certo",IF($O504=-2,"Invertida",IF($P504=1,"Acertou quem passa","Erro"))))))</x:f>
      </x:c>
      <x:c r="S504" s="59" t="str">
        <x:f>IF($O504="","",--(OR($O504=3,AND($H504="Sim",$L504=$M504,$I504=$J504,$O504=2))))</x:f>
      </x:c>
      <x:c r="T504" s="59" t="str">
        <x:f>IF($O504="","",--($O504=-2))</x:f>
      </x:c>
      <x:c r="U504" s="59" t="str">
        <x:f>IF($O504="","",--($O504=1))</x:f>
      </x:c>
      <x:c r="V504" s="59" t="n">
        <x:f>--(AND($I504&lt;&gt;"",$J504&lt;&gt;""))</x:f>
        <x:v>0</x:v>
      </x:c>
    </x:row>
    <x:row r="505">
      <x:c r="A505" s="21" t="str">
        <x:f>INDEX(Config!$B$10:$B$16,INT((ROW()-5)/104)+1)</x:f>
        <x:v>Otávio</x:v>
      </x:c>
      <x:c r="B505" s="21" t="str">
        <x:v>R32_13</x:v>
      </x:c>
      <x:c r="C505" s="21" t="n">
        <x:v>85</x:v>
      </x:c>
      <x:c r="D505" s="21" t="str">
        <x:v>16-avos de final</x:v>
      </x:c>
      <x:c r="E505" s="21" t="str">
        <x:v>2026-07-03</x:v>
      </x:c>
      <x:c r="F505" s="21" t="str">
        <x:f>IFERROR(INDEX('Resultados'!$G$5:$G$108,MATCH($B505,'Resultados'!$A$5:$A$108,0)),"")</x:f>
        <x:v>1º Grupo B</x:v>
      </x:c>
      <x:c r="G505" s="21" t="str">
        <x:f>IFERROR(INDEX('Resultados'!$J$5:$J$108,MATCH($B505,'Resultados'!$A$5:$A$108,0)),"")</x:f>
        <x:v>3º E/F/G/I/J</x:v>
      </x:c>
      <x:c r="H505" s="21" t="str">
        <x:v>Sim</x:v>
      </x:c>
      <x:c r="I505" s="22"/>
      <x:c r="J505" s="22"/>
      <x:c r="K505" s="23"/>
      <x:c r="L505" s="21" t="str">
        <x:f>IFERROR(INDEX('Resultados'!$H$5:$H$108,MATCH($B505,'Resultados'!$A$5:$A$108,0)),"")</x:f>
      </x:c>
      <x:c r="M505" s="21" t="str">
        <x:f>IFERROR(INDEX('Resultados'!$I$5:$I$108,MATCH($B505,'Resultados'!$A$5:$A$108,0)),"")</x:f>
      </x:c>
      <x:c r="N505" s="21" t="str">
        <x:f>IFERROR(INDEX('Resultados'!$L$5:$L$108,MATCH($B505,'Resultados'!$A$5:$A$108,0)),"")</x:f>
      </x:c>
      <x:c r="O505" s="59" t="str">
        <x:f>IF(OR($I505="",$J505="",$L505="",$M505=""),"",IF(AND($H505="Sim",$L505=$M505),IF($I505&lt;&gt;$J505,0,IF(AND($I505=$L505,$J505=$M505),2,1)),IF(AND($I505=$L505,$J505=$M505),3,IF(AND($I505&lt;&gt;$J505,$I505=$M505,$J505=$L505),-2,IF(SIGN($I505-$J505)=SIGN($L505-$M505),1,0)))))</x:f>
      </x:c>
      <x:c r="P505" s="59" t="str">
        <x:f>IF(OR($H505&lt;&gt;"Sim",$I505="",$J505="",$L505="",$M505=""),"",IF(AND(IF($I505&gt;$J505,$F505,IF($I505&lt;$J505,$G505,$K505))&lt;&gt;"",IF($L505&gt;$M505,$F505,IF($L505&lt;$M505,$G505,$N505))&lt;&gt;"",IF($I505&gt;$J505,$F505,IF($I505&lt;$J505,$G505,$K505))=IF($L505&gt;$M505,$F505,IF($L505&lt;$M505,$G505,$N505))),1,0))</x:f>
      </x:c>
      <x:c r="Q505" s="59" t="str">
        <x:f>IF($O505="","",$O505+$P505)</x:f>
      </x:c>
      <x:c r="R505" s="59" t="str">
        <x:f>IF($Q505="","",IF($O505=3,"Cravada",IF(AND($H505="Sim",$L505=$M505,$I505=$J505,$O505=2),"Empate cravado",IF($O505=1,"Resultado certo",IF($O505=-2,"Invertida",IF($P505=1,"Acertou quem passa","Erro"))))))</x:f>
      </x:c>
      <x:c r="S505" s="59" t="str">
        <x:f>IF($O505="","",--(OR($O505=3,AND($H505="Sim",$L505=$M505,$I505=$J505,$O505=2))))</x:f>
      </x:c>
      <x:c r="T505" s="59" t="str">
        <x:f>IF($O505="","",--($O505=-2))</x:f>
      </x:c>
      <x:c r="U505" s="59" t="str">
        <x:f>IF($O505="","",--($O505=1))</x:f>
      </x:c>
      <x:c r="V505" s="59" t="n">
        <x:f>--(AND($I505&lt;&gt;"",$J505&lt;&gt;""))</x:f>
        <x:v>0</x:v>
      </x:c>
    </x:row>
    <x:row r="506">
      <x:c r="A506" s="21" t="str">
        <x:f>INDEX(Config!$B$10:$B$16,INT((ROW()-5)/104)+1)</x:f>
        <x:v>Otávio</x:v>
      </x:c>
      <x:c r="B506" s="21" t="str">
        <x:v>R32_14</x:v>
      </x:c>
      <x:c r="C506" s="21" t="n">
        <x:v>86</x:v>
      </x:c>
      <x:c r="D506" s="21" t="str">
        <x:v>16-avos de final</x:v>
      </x:c>
      <x:c r="E506" s="21" t="str">
        <x:v>2026-07-03</x:v>
      </x:c>
      <x:c r="F506" s="21" t="str">
        <x:f>IFERROR(INDEX('Resultados'!$G$5:$G$108,MATCH($B506,'Resultados'!$A$5:$A$108,0)),"")</x:f>
        <x:v>1º Grupo J</x:v>
      </x:c>
      <x:c r="G506" s="21" t="str">
        <x:f>IFERROR(INDEX('Resultados'!$J$5:$J$108,MATCH($B506,'Resultados'!$A$5:$A$108,0)),"")</x:f>
        <x:v>2º Grupo H</x:v>
      </x:c>
      <x:c r="H506" s="21" t="str">
        <x:v>Sim</x:v>
      </x:c>
      <x:c r="I506" s="22"/>
      <x:c r="J506" s="22"/>
      <x:c r="K506" s="23"/>
      <x:c r="L506" s="21" t="str">
        <x:f>IFERROR(INDEX('Resultados'!$H$5:$H$108,MATCH($B506,'Resultados'!$A$5:$A$108,0)),"")</x:f>
      </x:c>
      <x:c r="M506" s="21" t="str">
        <x:f>IFERROR(INDEX('Resultados'!$I$5:$I$108,MATCH($B506,'Resultados'!$A$5:$A$108,0)),"")</x:f>
      </x:c>
      <x:c r="N506" s="21" t="str">
        <x:f>IFERROR(INDEX('Resultados'!$L$5:$L$108,MATCH($B506,'Resultados'!$A$5:$A$108,0)),"")</x:f>
      </x:c>
      <x:c r="O506" s="59" t="str">
        <x:f>IF(OR($I506="",$J506="",$L506="",$M506=""),"",IF(AND($H506="Sim",$L506=$M506),IF($I506&lt;&gt;$J506,0,IF(AND($I506=$L506,$J506=$M506),2,1)),IF(AND($I506=$L506,$J506=$M506),3,IF(AND($I506&lt;&gt;$J506,$I506=$M506,$J506=$L506),-2,IF(SIGN($I506-$J506)=SIGN($L506-$M506),1,0)))))</x:f>
      </x:c>
      <x:c r="P506" s="59" t="str">
        <x:f>IF(OR($H506&lt;&gt;"Sim",$I506="",$J506="",$L506="",$M506=""),"",IF(AND(IF($I506&gt;$J506,$F506,IF($I506&lt;$J506,$G506,$K506))&lt;&gt;"",IF($L506&gt;$M506,$F506,IF($L506&lt;$M506,$G506,$N506))&lt;&gt;"",IF($I506&gt;$J506,$F506,IF($I506&lt;$J506,$G506,$K506))=IF($L506&gt;$M506,$F506,IF($L506&lt;$M506,$G506,$N506))),1,0))</x:f>
      </x:c>
      <x:c r="Q506" s="59" t="str">
        <x:f>IF($O506="","",$O506+$P506)</x:f>
      </x:c>
      <x:c r="R506" s="59" t="str">
        <x:f>IF($Q506="","",IF($O506=3,"Cravada",IF(AND($H506="Sim",$L506=$M506,$I506=$J506,$O506=2),"Empate cravado",IF($O506=1,"Resultado certo",IF($O506=-2,"Invertida",IF($P506=1,"Acertou quem passa","Erro"))))))</x:f>
      </x:c>
      <x:c r="S506" s="59" t="str">
        <x:f>IF($O506="","",--(OR($O506=3,AND($H506="Sim",$L506=$M506,$I506=$J506,$O506=2))))</x:f>
      </x:c>
      <x:c r="T506" s="59" t="str">
        <x:f>IF($O506="","",--($O506=-2))</x:f>
      </x:c>
      <x:c r="U506" s="59" t="str">
        <x:f>IF($O506="","",--($O506=1))</x:f>
      </x:c>
      <x:c r="V506" s="59" t="n">
        <x:f>--(AND($I506&lt;&gt;"",$J506&lt;&gt;""))</x:f>
        <x:v>0</x:v>
      </x:c>
    </x:row>
    <x:row r="507">
      <x:c r="A507" s="21" t="str">
        <x:f>INDEX(Config!$B$10:$B$16,INT((ROW()-5)/104)+1)</x:f>
        <x:v>Otávio</x:v>
      </x:c>
      <x:c r="B507" s="21" t="str">
        <x:v>R32_15</x:v>
      </x:c>
      <x:c r="C507" s="21" t="n">
        <x:v>87</x:v>
      </x:c>
      <x:c r="D507" s="21" t="str">
        <x:v>16-avos de final</x:v>
      </x:c>
      <x:c r="E507" s="21" t="str">
        <x:v>2026-07-03</x:v>
      </x:c>
      <x:c r="F507" s="21" t="str">
        <x:f>IFERROR(INDEX('Resultados'!$G$5:$G$108,MATCH($B507,'Resultados'!$A$5:$A$108,0)),"")</x:f>
        <x:v>1º Grupo K</x:v>
      </x:c>
      <x:c r="G507" s="21" t="str">
        <x:f>IFERROR(INDEX('Resultados'!$J$5:$J$108,MATCH($B507,'Resultados'!$A$5:$A$108,0)),"")</x:f>
        <x:v>3º D/E/I/J/L</x:v>
      </x:c>
      <x:c r="H507" s="21" t="str">
        <x:v>Sim</x:v>
      </x:c>
      <x:c r="I507" s="22"/>
      <x:c r="J507" s="22"/>
      <x:c r="K507" s="23"/>
      <x:c r="L507" s="21" t="str">
        <x:f>IFERROR(INDEX('Resultados'!$H$5:$H$108,MATCH($B507,'Resultados'!$A$5:$A$108,0)),"")</x:f>
      </x:c>
      <x:c r="M507" s="21" t="str">
        <x:f>IFERROR(INDEX('Resultados'!$I$5:$I$108,MATCH($B507,'Resultados'!$A$5:$A$108,0)),"")</x:f>
      </x:c>
      <x:c r="N507" s="21" t="str">
        <x:f>IFERROR(INDEX('Resultados'!$L$5:$L$108,MATCH($B507,'Resultados'!$A$5:$A$108,0)),"")</x:f>
      </x:c>
      <x:c r="O507" s="59" t="str">
        <x:f>IF(OR($I507="",$J507="",$L507="",$M507=""),"",IF(AND($H507="Sim",$L507=$M507),IF($I507&lt;&gt;$J507,0,IF(AND($I507=$L507,$J507=$M507),2,1)),IF(AND($I507=$L507,$J507=$M507),3,IF(AND($I507&lt;&gt;$J507,$I507=$M507,$J507=$L507),-2,IF(SIGN($I507-$J507)=SIGN($L507-$M507),1,0)))))</x:f>
      </x:c>
      <x:c r="P507" s="59" t="str">
        <x:f>IF(OR($H507&lt;&gt;"Sim",$I507="",$J507="",$L507="",$M507=""),"",IF(AND(IF($I507&gt;$J507,$F507,IF($I507&lt;$J507,$G507,$K507))&lt;&gt;"",IF($L507&gt;$M507,$F507,IF($L507&lt;$M507,$G507,$N507))&lt;&gt;"",IF($I507&gt;$J507,$F507,IF($I507&lt;$J507,$G507,$K507))=IF($L507&gt;$M507,$F507,IF($L507&lt;$M507,$G507,$N507))),1,0))</x:f>
      </x:c>
      <x:c r="Q507" s="59" t="str">
        <x:f>IF($O507="","",$O507+$P507)</x:f>
      </x:c>
      <x:c r="R507" s="59" t="str">
        <x:f>IF($Q507="","",IF($O507=3,"Cravada",IF(AND($H507="Sim",$L507=$M507,$I507=$J507,$O507=2),"Empate cravado",IF($O507=1,"Resultado certo",IF($O507=-2,"Invertida",IF($P507=1,"Acertou quem passa","Erro"))))))</x:f>
      </x:c>
      <x:c r="S507" s="59" t="str">
        <x:f>IF($O507="","",--(OR($O507=3,AND($H507="Sim",$L507=$M507,$I507=$J507,$O507=2))))</x:f>
      </x:c>
      <x:c r="T507" s="59" t="str">
        <x:f>IF($O507="","",--($O507=-2))</x:f>
      </x:c>
      <x:c r="U507" s="59" t="str">
        <x:f>IF($O507="","",--($O507=1))</x:f>
      </x:c>
      <x:c r="V507" s="59" t="n">
        <x:f>--(AND($I507&lt;&gt;"",$J507&lt;&gt;""))</x:f>
        <x:v>0</x:v>
      </x:c>
    </x:row>
    <x:row r="508">
      <x:c r="A508" s="21" t="str">
        <x:f>INDEX(Config!$B$10:$B$16,INT((ROW()-5)/104)+1)</x:f>
        <x:v>Otávio</x:v>
      </x:c>
      <x:c r="B508" s="21" t="str">
        <x:v>R32_16</x:v>
      </x:c>
      <x:c r="C508" s="21" t="n">
        <x:v>88</x:v>
      </x:c>
      <x:c r="D508" s="21" t="str">
        <x:v>16-avos de final</x:v>
      </x:c>
      <x:c r="E508" s="21" t="str">
        <x:v>2026-07-03</x:v>
      </x:c>
      <x:c r="F508" s="21" t="str">
        <x:f>IFERROR(INDEX('Resultados'!$G$5:$G$108,MATCH($B508,'Resultados'!$A$5:$A$108,0)),"")</x:f>
        <x:v>2º Grupo D</x:v>
      </x:c>
      <x:c r="G508" s="21" t="str">
        <x:f>IFERROR(INDEX('Resultados'!$J$5:$J$108,MATCH($B508,'Resultados'!$A$5:$A$108,0)),"")</x:f>
        <x:v>2º Grupo G</x:v>
      </x:c>
      <x:c r="H508" s="21" t="str">
        <x:v>Sim</x:v>
      </x:c>
      <x:c r="I508" s="22"/>
      <x:c r="J508" s="22"/>
      <x:c r="K508" s="23"/>
      <x:c r="L508" s="21" t="str">
        <x:f>IFERROR(INDEX('Resultados'!$H$5:$H$108,MATCH($B508,'Resultados'!$A$5:$A$108,0)),"")</x:f>
      </x:c>
      <x:c r="M508" s="21" t="str">
        <x:f>IFERROR(INDEX('Resultados'!$I$5:$I$108,MATCH($B508,'Resultados'!$A$5:$A$108,0)),"")</x:f>
      </x:c>
      <x:c r="N508" s="21" t="str">
        <x:f>IFERROR(INDEX('Resultados'!$L$5:$L$108,MATCH($B508,'Resultados'!$A$5:$A$108,0)),"")</x:f>
      </x:c>
      <x:c r="O508" s="59" t="str">
        <x:f>IF(OR($I508="",$J508="",$L508="",$M508=""),"",IF(AND($H508="Sim",$L508=$M508),IF($I508&lt;&gt;$J508,0,IF(AND($I508=$L508,$J508=$M508),2,1)),IF(AND($I508=$L508,$J508=$M508),3,IF(AND($I508&lt;&gt;$J508,$I508=$M508,$J508=$L508),-2,IF(SIGN($I508-$J508)=SIGN($L508-$M508),1,0)))))</x:f>
      </x:c>
      <x:c r="P508" s="59" t="str">
        <x:f>IF(OR($H508&lt;&gt;"Sim",$I508="",$J508="",$L508="",$M508=""),"",IF(AND(IF($I508&gt;$J508,$F508,IF($I508&lt;$J508,$G508,$K508))&lt;&gt;"",IF($L508&gt;$M508,$F508,IF($L508&lt;$M508,$G508,$N508))&lt;&gt;"",IF($I508&gt;$J508,$F508,IF($I508&lt;$J508,$G508,$K508))=IF($L508&gt;$M508,$F508,IF($L508&lt;$M508,$G508,$N508))),1,0))</x:f>
      </x:c>
      <x:c r="Q508" s="59" t="str">
        <x:f>IF($O508="","",$O508+$P508)</x:f>
      </x:c>
      <x:c r="R508" s="59" t="str">
        <x:f>IF($Q508="","",IF($O508=3,"Cravada",IF(AND($H508="Sim",$L508=$M508,$I508=$J508,$O508=2),"Empate cravado",IF($O508=1,"Resultado certo",IF($O508=-2,"Invertida",IF($P508=1,"Acertou quem passa","Erro"))))))</x:f>
      </x:c>
      <x:c r="S508" s="59" t="str">
        <x:f>IF($O508="","",--(OR($O508=3,AND($H508="Sim",$L508=$M508,$I508=$J508,$O508=2))))</x:f>
      </x:c>
      <x:c r="T508" s="59" t="str">
        <x:f>IF($O508="","",--($O508=-2))</x:f>
      </x:c>
      <x:c r="U508" s="59" t="str">
        <x:f>IF($O508="","",--($O508=1))</x:f>
      </x:c>
      <x:c r="V508" s="59" t="n">
        <x:f>--(AND($I508&lt;&gt;"",$J508&lt;&gt;""))</x:f>
        <x:v>0</x:v>
      </x:c>
    </x:row>
    <x:row r="509">
      <x:c r="A509" s="21" t="str">
        <x:f>INDEX(Config!$B$10:$B$16,INT((ROW()-5)/104)+1)</x:f>
        <x:v>Otávio</x:v>
      </x:c>
      <x:c r="B509" s="21" t="str">
        <x:v>R16_01</x:v>
      </x:c>
      <x:c r="C509" s="21" t="n">
        <x:v>89</x:v>
      </x:c>
      <x:c r="D509" s="21" t="str">
        <x:v>Oitavas de final</x:v>
      </x:c>
      <x:c r="E509" s="21" t="str">
        <x:v>2026-07-04</x:v>
      </x:c>
      <x:c r="F509" s="21" t="str">
        <x:f>IFERROR(INDEX('Resultados'!$G$5:$G$108,MATCH($B509,'Resultados'!$A$5:$A$108,0)),"")</x:f>
        <x:v>Vencedor M74</x:v>
      </x:c>
      <x:c r="G509" s="21" t="str">
        <x:f>IFERROR(INDEX('Resultados'!$J$5:$J$108,MATCH($B509,'Resultados'!$A$5:$A$108,0)),"")</x:f>
        <x:v>Vencedor M77</x:v>
      </x:c>
      <x:c r="H509" s="21" t="str">
        <x:v>Sim</x:v>
      </x:c>
      <x:c r="I509" s="22"/>
      <x:c r="J509" s="22"/>
      <x:c r="K509" s="23"/>
      <x:c r="L509" s="21" t="str">
        <x:f>IFERROR(INDEX('Resultados'!$H$5:$H$108,MATCH($B509,'Resultados'!$A$5:$A$108,0)),"")</x:f>
      </x:c>
      <x:c r="M509" s="21" t="str">
        <x:f>IFERROR(INDEX('Resultados'!$I$5:$I$108,MATCH($B509,'Resultados'!$A$5:$A$108,0)),"")</x:f>
      </x:c>
      <x:c r="N509" s="21" t="str">
        <x:f>IFERROR(INDEX('Resultados'!$L$5:$L$108,MATCH($B509,'Resultados'!$A$5:$A$108,0)),"")</x:f>
      </x:c>
      <x:c r="O509" s="59" t="str">
        <x:f>IF(OR($I509="",$J509="",$L509="",$M509=""),"",IF(AND($H509="Sim",$L509=$M509),IF($I509&lt;&gt;$J509,0,IF(AND($I509=$L509,$J509=$M509),2,1)),IF(AND($I509=$L509,$J509=$M509),3,IF(AND($I509&lt;&gt;$J509,$I509=$M509,$J509=$L509),-2,IF(SIGN($I509-$J509)=SIGN($L509-$M509),1,0)))))</x:f>
      </x:c>
      <x:c r="P509" s="59" t="str">
        <x:f>IF(OR($H509&lt;&gt;"Sim",$I509="",$J509="",$L509="",$M509=""),"",IF(AND(IF($I509&gt;$J509,$F509,IF($I509&lt;$J509,$G509,$K509))&lt;&gt;"",IF($L509&gt;$M509,$F509,IF($L509&lt;$M509,$G509,$N509))&lt;&gt;"",IF($I509&gt;$J509,$F509,IF($I509&lt;$J509,$G509,$K509))=IF($L509&gt;$M509,$F509,IF($L509&lt;$M509,$G509,$N509))),1,0))</x:f>
      </x:c>
      <x:c r="Q509" s="59" t="str">
        <x:f>IF($O509="","",$O509+$P509)</x:f>
      </x:c>
      <x:c r="R509" s="59" t="str">
        <x:f>IF($Q509="","",IF($O509=3,"Cravada",IF(AND($H509="Sim",$L509=$M509,$I509=$J509,$O509=2),"Empate cravado",IF($O509=1,"Resultado certo",IF($O509=-2,"Invertida",IF($P509=1,"Acertou quem passa","Erro"))))))</x:f>
      </x:c>
      <x:c r="S509" s="59" t="str">
        <x:f>IF($O509="","",--(OR($O509=3,AND($H509="Sim",$L509=$M509,$I509=$J509,$O509=2))))</x:f>
      </x:c>
      <x:c r="T509" s="59" t="str">
        <x:f>IF($O509="","",--($O509=-2))</x:f>
      </x:c>
      <x:c r="U509" s="59" t="str">
        <x:f>IF($O509="","",--($O509=1))</x:f>
      </x:c>
      <x:c r="V509" s="59" t="n">
        <x:f>--(AND($I509&lt;&gt;"",$J509&lt;&gt;""))</x:f>
        <x:v>0</x:v>
      </x:c>
    </x:row>
    <x:row r="510">
      <x:c r="A510" s="21" t="str">
        <x:f>INDEX(Config!$B$10:$B$16,INT((ROW()-5)/104)+1)</x:f>
        <x:v>Otávio</x:v>
      </x:c>
      <x:c r="B510" s="21" t="str">
        <x:v>R16_02</x:v>
      </x:c>
      <x:c r="C510" s="21" t="n">
        <x:v>90</x:v>
      </x:c>
      <x:c r="D510" s="21" t="str">
        <x:v>Oitavas de final</x:v>
      </x:c>
      <x:c r="E510" s="21" t="str">
        <x:v>2026-07-04</x:v>
      </x:c>
      <x:c r="F510" s="21" t="str">
        <x:f>IFERROR(INDEX('Resultados'!$G$5:$G$108,MATCH($B510,'Resultados'!$A$5:$A$108,0)),"")</x:f>
        <x:v>Vencedor M73</x:v>
      </x:c>
      <x:c r="G510" s="21" t="str">
        <x:f>IFERROR(INDEX('Resultados'!$J$5:$J$108,MATCH($B510,'Resultados'!$A$5:$A$108,0)),"")</x:f>
        <x:v>Vencedor M75</x:v>
      </x:c>
      <x:c r="H510" s="21" t="str">
        <x:v>Sim</x:v>
      </x:c>
      <x:c r="I510" s="22"/>
      <x:c r="J510" s="22"/>
      <x:c r="K510" s="23"/>
      <x:c r="L510" s="21" t="str">
        <x:f>IFERROR(INDEX('Resultados'!$H$5:$H$108,MATCH($B510,'Resultados'!$A$5:$A$108,0)),"")</x:f>
      </x:c>
      <x:c r="M510" s="21" t="str">
        <x:f>IFERROR(INDEX('Resultados'!$I$5:$I$108,MATCH($B510,'Resultados'!$A$5:$A$108,0)),"")</x:f>
      </x:c>
      <x:c r="N510" s="21" t="str">
        <x:f>IFERROR(INDEX('Resultados'!$L$5:$L$108,MATCH($B510,'Resultados'!$A$5:$A$108,0)),"")</x:f>
      </x:c>
      <x:c r="O510" s="59" t="str">
        <x:f>IF(OR($I510="",$J510="",$L510="",$M510=""),"",IF(AND($H510="Sim",$L510=$M510),IF($I510&lt;&gt;$J510,0,IF(AND($I510=$L510,$J510=$M510),2,1)),IF(AND($I510=$L510,$J510=$M510),3,IF(AND($I510&lt;&gt;$J510,$I510=$M510,$J510=$L510),-2,IF(SIGN($I510-$J510)=SIGN($L510-$M510),1,0)))))</x:f>
      </x:c>
      <x:c r="P510" s="59" t="str">
        <x:f>IF(OR($H510&lt;&gt;"Sim",$I510="",$J510="",$L510="",$M510=""),"",IF(AND(IF($I510&gt;$J510,$F510,IF($I510&lt;$J510,$G510,$K510))&lt;&gt;"",IF($L510&gt;$M510,$F510,IF($L510&lt;$M510,$G510,$N510))&lt;&gt;"",IF($I510&gt;$J510,$F510,IF($I510&lt;$J510,$G510,$K510))=IF($L510&gt;$M510,$F510,IF($L510&lt;$M510,$G510,$N510))),1,0))</x:f>
      </x:c>
      <x:c r="Q510" s="59" t="str">
        <x:f>IF($O510="","",$O510+$P510)</x:f>
      </x:c>
      <x:c r="R510" s="59" t="str">
        <x:f>IF($Q510="","",IF($O510=3,"Cravada",IF(AND($H510="Sim",$L510=$M510,$I510=$J510,$O510=2),"Empate cravado",IF($O510=1,"Resultado certo",IF($O510=-2,"Invertida",IF($P510=1,"Acertou quem passa","Erro"))))))</x:f>
      </x:c>
      <x:c r="S510" s="59" t="str">
        <x:f>IF($O510="","",--(OR($O510=3,AND($H510="Sim",$L510=$M510,$I510=$J510,$O510=2))))</x:f>
      </x:c>
      <x:c r="T510" s="59" t="str">
        <x:f>IF($O510="","",--($O510=-2))</x:f>
      </x:c>
      <x:c r="U510" s="59" t="str">
        <x:f>IF($O510="","",--($O510=1))</x:f>
      </x:c>
      <x:c r="V510" s="59" t="n">
        <x:f>--(AND($I510&lt;&gt;"",$J510&lt;&gt;""))</x:f>
        <x:v>0</x:v>
      </x:c>
    </x:row>
    <x:row r="511">
      <x:c r="A511" s="21" t="str">
        <x:f>INDEX(Config!$B$10:$B$16,INT((ROW()-5)/104)+1)</x:f>
        <x:v>Otávio</x:v>
      </x:c>
      <x:c r="B511" s="21" t="str">
        <x:v>R16_03</x:v>
      </x:c>
      <x:c r="C511" s="21" t="n">
        <x:v>91</x:v>
      </x:c>
      <x:c r="D511" s="21" t="str">
        <x:v>Oitavas de final</x:v>
      </x:c>
      <x:c r="E511" s="21" t="str">
        <x:v>2026-07-05</x:v>
      </x:c>
      <x:c r="F511" s="21" t="str">
        <x:f>IFERROR(INDEX('Resultados'!$G$5:$G$108,MATCH($B511,'Resultados'!$A$5:$A$108,0)),"")</x:f>
        <x:v>Vencedor M76</x:v>
      </x:c>
      <x:c r="G511" s="21" t="str">
        <x:f>IFERROR(INDEX('Resultados'!$J$5:$J$108,MATCH($B511,'Resultados'!$A$5:$A$108,0)),"")</x:f>
        <x:v>Vencedor M78</x:v>
      </x:c>
      <x:c r="H511" s="21" t="str">
        <x:v>Sim</x:v>
      </x:c>
      <x:c r="I511" s="22"/>
      <x:c r="J511" s="22"/>
      <x:c r="K511" s="23"/>
      <x:c r="L511" s="21" t="str">
        <x:f>IFERROR(INDEX('Resultados'!$H$5:$H$108,MATCH($B511,'Resultados'!$A$5:$A$108,0)),"")</x:f>
      </x:c>
      <x:c r="M511" s="21" t="str">
        <x:f>IFERROR(INDEX('Resultados'!$I$5:$I$108,MATCH($B511,'Resultados'!$A$5:$A$108,0)),"")</x:f>
      </x:c>
      <x:c r="N511" s="21" t="str">
        <x:f>IFERROR(INDEX('Resultados'!$L$5:$L$108,MATCH($B511,'Resultados'!$A$5:$A$108,0)),"")</x:f>
      </x:c>
      <x:c r="O511" s="59" t="str">
        <x:f>IF(OR($I511="",$J511="",$L511="",$M511=""),"",IF(AND($H511="Sim",$L511=$M511),IF($I511&lt;&gt;$J511,0,IF(AND($I511=$L511,$J511=$M511),2,1)),IF(AND($I511=$L511,$J511=$M511),3,IF(AND($I511&lt;&gt;$J511,$I511=$M511,$J511=$L511),-2,IF(SIGN($I511-$J511)=SIGN($L511-$M511),1,0)))))</x:f>
      </x:c>
      <x:c r="P511" s="59" t="str">
        <x:f>IF(OR($H511&lt;&gt;"Sim",$I511="",$J511="",$L511="",$M511=""),"",IF(AND(IF($I511&gt;$J511,$F511,IF($I511&lt;$J511,$G511,$K511))&lt;&gt;"",IF($L511&gt;$M511,$F511,IF($L511&lt;$M511,$G511,$N511))&lt;&gt;"",IF($I511&gt;$J511,$F511,IF($I511&lt;$J511,$G511,$K511))=IF($L511&gt;$M511,$F511,IF($L511&lt;$M511,$G511,$N511))),1,0))</x:f>
      </x:c>
      <x:c r="Q511" s="59" t="str">
        <x:f>IF($O511="","",$O511+$P511)</x:f>
      </x:c>
      <x:c r="R511" s="59" t="str">
        <x:f>IF($Q511="","",IF($O511=3,"Cravada",IF(AND($H511="Sim",$L511=$M511,$I511=$J511,$O511=2),"Empate cravado",IF($O511=1,"Resultado certo",IF($O511=-2,"Invertida",IF($P511=1,"Acertou quem passa","Erro"))))))</x:f>
      </x:c>
      <x:c r="S511" s="59" t="str">
        <x:f>IF($O511="","",--(OR($O511=3,AND($H511="Sim",$L511=$M511,$I511=$J511,$O511=2))))</x:f>
      </x:c>
      <x:c r="T511" s="59" t="str">
        <x:f>IF($O511="","",--($O511=-2))</x:f>
      </x:c>
      <x:c r="U511" s="59" t="str">
        <x:f>IF($O511="","",--($O511=1))</x:f>
      </x:c>
      <x:c r="V511" s="59" t="n">
        <x:f>--(AND($I511&lt;&gt;"",$J511&lt;&gt;""))</x:f>
        <x:v>0</x:v>
      </x:c>
    </x:row>
    <x:row r="512">
      <x:c r="A512" s="21" t="str">
        <x:f>INDEX(Config!$B$10:$B$16,INT((ROW()-5)/104)+1)</x:f>
        <x:v>Otávio</x:v>
      </x:c>
      <x:c r="B512" s="21" t="str">
        <x:v>R16_04</x:v>
      </x:c>
      <x:c r="C512" s="21" t="n">
        <x:v>92</x:v>
      </x:c>
      <x:c r="D512" s="21" t="str">
        <x:v>Oitavas de final</x:v>
      </x:c>
      <x:c r="E512" s="21" t="str">
        <x:v>2026-07-05</x:v>
      </x:c>
      <x:c r="F512" s="21" t="str">
        <x:f>IFERROR(INDEX('Resultados'!$G$5:$G$108,MATCH($B512,'Resultados'!$A$5:$A$108,0)),"")</x:f>
        <x:v>Vencedor M79</x:v>
      </x:c>
      <x:c r="G512" s="21" t="str">
        <x:f>IFERROR(INDEX('Resultados'!$J$5:$J$108,MATCH($B512,'Resultados'!$A$5:$A$108,0)),"")</x:f>
        <x:v>Vencedor M80</x:v>
      </x:c>
      <x:c r="H512" s="21" t="str">
        <x:v>Sim</x:v>
      </x:c>
      <x:c r="I512" s="22"/>
      <x:c r="J512" s="22"/>
      <x:c r="K512" s="23"/>
      <x:c r="L512" s="21" t="str">
        <x:f>IFERROR(INDEX('Resultados'!$H$5:$H$108,MATCH($B512,'Resultados'!$A$5:$A$108,0)),"")</x:f>
      </x:c>
      <x:c r="M512" s="21" t="str">
        <x:f>IFERROR(INDEX('Resultados'!$I$5:$I$108,MATCH($B512,'Resultados'!$A$5:$A$108,0)),"")</x:f>
      </x:c>
      <x:c r="N512" s="21" t="str">
        <x:f>IFERROR(INDEX('Resultados'!$L$5:$L$108,MATCH($B512,'Resultados'!$A$5:$A$108,0)),"")</x:f>
      </x:c>
      <x:c r="O512" s="59" t="str">
        <x:f>IF(OR($I512="",$J512="",$L512="",$M512=""),"",IF(AND($H512="Sim",$L512=$M512),IF($I512&lt;&gt;$J512,0,IF(AND($I512=$L512,$J512=$M512),2,1)),IF(AND($I512=$L512,$J512=$M512),3,IF(AND($I512&lt;&gt;$J512,$I512=$M512,$J512=$L512),-2,IF(SIGN($I512-$J512)=SIGN($L512-$M512),1,0)))))</x:f>
      </x:c>
      <x:c r="P512" s="59" t="str">
        <x:f>IF(OR($H512&lt;&gt;"Sim",$I512="",$J512="",$L512="",$M512=""),"",IF(AND(IF($I512&gt;$J512,$F512,IF($I512&lt;$J512,$G512,$K512))&lt;&gt;"",IF($L512&gt;$M512,$F512,IF($L512&lt;$M512,$G512,$N512))&lt;&gt;"",IF($I512&gt;$J512,$F512,IF($I512&lt;$J512,$G512,$K512))=IF($L512&gt;$M512,$F512,IF($L512&lt;$M512,$G512,$N512))),1,0))</x:f>
      </x:c>
      <x:c r="Q512" s="59" t="str">
        <x:f>IF($O512="","",$O512+$P512)</x:f>
      </x:c>
      <x:c r="R512" s="59" t="str">
        <x:f>IF($Q512="","",IF($O512=3,"Cravada",IF(AND($H512="Sim",$L512=$M512,$I512=$J512,$O512=2),"Empate cravado",IF($O512=1,"Resultado certo",IF($O512=-2,"Invertida",IF($P512=1,"Acertou quem passa","Erro"))))))</x:f>
      </x:c>
      <x:c r="S512" s="59" t="str">
        <x:f>IF($O512="","",--(OR($O512=3,AND($H512="Sim",$L512=$M512,$I512=$J512,$O512=2))))</x:f>
      </x:c>
      <x:c r="T512" s="59" t="str">
        <x:f>IF($O512="","",--($O512=-2))</x:f>
      </x:c>
      <x:c r="U512" s="59" t="str">
        <x:f>IF($O512="","",--($O512=1))</x:f>
      </x:c>
      <x:c r="V512" s="59" t="n">
        <x:f>--(AND($I512&lt;&gt;"",$J512&lt;&gt;""))</x:f>
        <x:v>0</x:v>
      </x:c>
    </x:row>
    <x:row r="513">
      <x:c r="A513" s="21" t="str">
        <x:f>INDEX(Config!$B$10:$B$16,INT((ROW()-5)/104)+1)</x:f>
        <x:v>Otávio</x:v>
      </x:c>
      <x:c r="B513" s="21" t="str">
        <x:v>R16_05</x:v>
      </x:c>
      <x:c r="C513" s="21" t="n">
        <x:v>93</x:v>
      </x:c>
      <x:c r="D513" s="21" t="str">
        <x:v>Oitavas de final</x:v>
      </x:c>
      <x:c r="E513" s="21" t="str">
        <x:v>2026-07-06</x:v>
      </x:c>
      <x:c r="F513" s="21" t="str">
        <x:f>IFERROR(INDEX('Resultados'!$G$5:$G$108,MATCH($B513,'Resultados'!$A$5:$A$108,0)),"")</x:f>
        <x:v>Vencedor M83</x:v>
      </x:c>
      <x:c r="G513" s="21" t="str">
        <x:f>IFERROR(INDEX('Resultados'!$J$5:$J$108,MATCH($B513,'Resultados'!$A$5:$A$108,0)),"")</x:f>
        <x:v>Vencedor M84</x:v>
      </x:c>
      <x:c r="H513" s="21" t="str">
        <x:v>Sim</x:v>
      </x:c>
      <x:c r="I513" s="22"/>
      <x:c r="J513" s="22"/>
      <x:c r="K513" s="23"/>
      <x:c r="L513" s="21" t="str">
        <x:f>IFERROR(INDEX('Resultados'!$H$5:$H$108,MATCH($B513,'Resultados'!$A$5:$A$108,0)),"")</x:f>
      </x:c>
      <x:c r="M513" s="21" t="str">
        <x:f>IFERROR(INDEX('Resultados'!$I$5:$I$108,MATCH($B513,'Resultados'!$A$5:$A$108,0)),"")</x:f>
      </x:c>
      <x:c r="N513" s="21" t="str">
        <x:f>IFERROR(INDEX('Resultados'!$L$5:$L$108,MATCH($B513,'Resultados'!$A$5:$A$108,0)),"")</x:f>
      </x:c>
      <x:c r="O513" s="59" t="str">
        <x:f>IF(OR($I513="",$J513="",$L513="",$M513=""),"",IF(AND($H513="Sim",$L513=$M513),IF($I513&lt;&gt;$J513,0,IF(AND($I513=$L513,$J513=$M513),2,1)),IF(AND($I513=$L513,$J513=$M513),3,IF(AND($I513&lt;&gt;$J513,$I513=$M513,$J513=$L513),-2,IF(SIGN($I513-$J513)=SIGN($L513-$M513),1,0)))))</x:f>
      </x:c>
      <x:c r="P513" s="59" t="str">
        <x:f>IF(OR($H513&lt;&gt;"Sim",$I513="",$J513="",$L513="",$M513=""),"",IF(AND(IF($I513&gt;$J513,$F513,IF($I513&lt;$J513,$G513,$K513))&lt;&gt;"",IF($L513&gt;$M513,$F513,IF($L513&lt;$M513,$G513,$N513))&lt;&gt;"",IF($I513&gt;$J513,$F513,IF($I513&lt;$J513,$G513,$K513))=IF($L513&gt;$M513,$F513,IF($L513&lt;$M513,$G513,$N513))),1,0))</x:f>
      </x:c>
      <x:c r="Q513" s="59" t="str">
        <x:f>IF($O513="","",$O513+$P513)</x:f>
      </x:c>
      <x:c r="R513" s="59" t="str">
        <x:f>IF($Q513="","",IF($O513=3,"Cravada",IF(AND($H513="Sim",$L513=$M513,$I513=$J513,$O513=2),"Empate cravado",IF($O513=1,"Resultado certo",IF($O513=-2,"Invertida",IF($P513=1,"Acertou quem passa","Erro"))))))</x:f>
      </x:c>
      <x:c r="S513" s="59" t="str">
        <x:f>IF($O513="","",--(OR($O513=3,AND($H513="Sim",$L513=$M513,$I513=$J513,$O513=2))))</x:f>
      </x:c>
      <x:c r="T513" s="59" t="str">
        <x:f>IF($O513="","",--($O513=-2))</x:f>
      </x:c>
      <x:c r="U513" s="59" t="str">
        <x:f>IF($O513="","",--($O513=1))</x:f>
      </x:c>
      <x:c r="V513" s="59" t="n">
        <x:f>--(AND($I513&lt;&gt;"",$J513&lt;&gt;""))</x:f>
        <x:v>0</x:v>
      </x:c>
    </x:row>
    <x:row r="514">
      <x:c r="A514" s="21" t="str">
        <x:f>INDEX(Config!$B$10:$B$16,INT((ROW()-5)/104)+1)</x:f>
        <x:v>Otávio</x:v>
      </x:c>
      <x:c r="B514" s="21" t="str">
        <x:v>R16_06</x:v>
      </x:c>
      <x:c r="C514" s="21" t="n">
        <x:v>94</x:v>
      </x:c>
      <x:c r="D514" s="21" t="str">
        <x:v>Oitavas de final</x:v>
      </x:c>
      <x:c r="E514" s="21" t="str">
        <x:v>2026-07-06</x:v>
      </x:c>
      <x:c r="F514" s="21" t="str">
        <x:f>IFERROR(INDEX('Resultados'!$G$5:$G$108,MATCH($B514,'Resultados'!$A$5:$A$108,0)),"")</x:f>
        <x:v>Vencedor M81</x:v>
      </x:c>
      <x:c r="G514" s="21" t="str">
        <x:f>IFERROR(INDEX('Resultados'!$J$5:$J$108,MATCH($B514,'Resultados'!$A$5:$A$108,0)),"")</x:f>
        <x:v>Vencedor M82</x:v>
      </x:c>
      <x:c r="H514" s="21" t="str">
        <x:v>Sim</x:v>
      </x:c>
      <x:c r="I514" s="22"/>
      <x:c r="J514" s="22"/>
      <x:c r="K514" s="23"/>
      <x:c r="L514" s="21" t="str">
        <x:f>IFERROR(INDEX('Resultados'!$H$5:$H$108,MATCH($B514,'Resultados'!$A$5:$A$108,0)),"")</x:f>
      </x:c>
      <x:c r="M514" s="21" t="str">
        <x:f>IFERROR(INDEX('Resultados'!$I$5:$I$108,MATCH($B514,'Resultados'!$A$5:$A$108,0)),"")</x:f>
      </x:c>
      <x:c r="N514" s="21" t="str">
        <x:f>IFERROR(INDEX('Resultados'!$L$5:$L$108,MATCH($B514,'Resultados'!$A$5:$A$108,0)),"")</x:f>
      </x:c>
      <x:c r="O514" s="59" t="str">
        <x:f>IF(OR($I514="",$J514="",$L514="",$M514=""),"",IF(AND($H514="Sim",$L514=$M514),IF($I514&lt;&gt;$J514,0,IF(AND($I514=$L514,$J514=$M514),2,1)),IF(AND($I514=$L514,$J514=$M514),3,IF(AND($I514&lt;&gt;$J514,$I514=$M514,$J514=$L514),-2,IF(SIGN($I514-$J514)=SIGN($L514-$M514),1,0)))))</x:f>
      </x:c>
      <x:c r="P514" s="59" t="str">
        <x:f>IF(OR($H514&lt;&gt;"Sim",$I514="",$J514="",$L514="",$M514=""),"",IF(AND(IF($I514&gt;$J514,$F514,IF($I514&lt;$J514,$G514,$K514))&lt;&gt;"",IF($L514&gt;$M514,$F514,IF($L514&lt;$M514,$G514,$N514))&lt;&gt;"",IF($I514&gt;$J514,$F514,IF($I514&lt;$J514,$G514,$K514))=IF($L514&gt;$M514,$F514,IF($L514&lt;$M514,$G514,$N514))),1,0))</x:f>
      </x:c>
      <x:c r="Q514" s="59" t="str">
        <x:f>IF($O514="","",$O514+$P514)</x:f>
      </x:c>
      <x:c r="R514" s="59" t="str">
        <x:f>IF($Q514="","",IF($O514=3,"Cravada",IF(AND($H514="Sim",$L514=$M514,$I514=$J514,$O514=2),"Empate cravado",IF($O514=1,"Resultado certo",IF($O514=-2,"Invertida",IF($P514=1,"Acertou quem passa","Erro"))))))</x:f>
      </x:c>
      <x:c r="S514" s="59" t="str">
        <x:f>IF($O514="","",--(OR($O514=3,AND($H514="Sim",$L514=$M514,$I514=$J514,$O514=2))))</x:f>
      </x:c>
      <x:c r="T514" s="59" t="str">
        <x:f>IF($O514="","",--($O514=-2))</x:f>
      </x:c>
      <x:c r="U514" s="59" t="str">
        <x:f>IF($O514="","",--($O514=1))</x:f>
      </x:c>
      <x:c r="V514" s="59" t="n">
        <x:f>--(AND($I514&lt;&gt;"",$J514&lt;&gt;""))</x:f>
        <x:v>0</x:v>
      </x:c>
    </x:row>
    <x:row r="515">
      <x:c r="A515" s="21" t="str">
        <x:f>INDEX(Config!$B$10:$B$16,INT((ROW()-5)/104)+1)</x:f>
        <x:v>Otávio</x:v>
      </x:c>
      <x:c r="B515" s="21" t="str">
        <x:v>R16_07</x:v>
      </x:c>
      <x:c r="C515" s="21" t="n">
        <x:v>95</x:v>
      </x:c>
      <x:c r="D515" s="21" t="str">
        <x:v>Oitavas de final</x:v>
      </x:c>
      <x:c r="E515" s="21" t="str">
        <x:v>2026-07-07</x:v>
      </x:c>
      <x:c r="F515" s="21" t="str">
        <x:f>IFERROR(INDEX('Resultados'!$G$5:$G$108,MATCH($B515,'Resultados'!$A$5:$A$108,0)),"")</x:f>
        <x:v>Vencedor M86</x:v>
      </x:c>
      <x:c r="G515" s="21" t="str">
        <x:f>IFERROR(INDEX('Resultados'!$J$5:$J$108,MATCH($B515,'Resultados'!$A$5:$A$108,0)),"")</x:f>
        <x:v>Vencedor M88</x:v>
      </x:c>
      <x:c r="H515" s="21" t="str">
        <x:v>Sim</x:v>
      </x:c>
      <x:c r="I515" s="22"/>
      <x:c r="J515" s="22"/>
      <x:c r="K515" s="23"/>
      <x:c r="L515" s="21" t="str">
        <x:f>IFERROR(INDEX('Resultados'!$H$5:$H$108,MATCH($B515,'Resultados'!$A$5:$A$108,0)),"")</x:f>
      </x:c>
      <x:c r="M515" s="21" t="str">
        <x:f>IFERROR(INDEX('Resultados'!$I$5:$I$108,MATCH($B515,'Resultados'!$A$5:$A$108,0)),"")</x:f>
      </x:c>
      <x:c r="N515" s="21" t="str">
        <x:f>IFERROR(INDEX('Resultados'!$L$5:$L$108,MATCH($B515,'Resultados'!$A$5:$A$108,0)),"")</x:f>
      </x:c>
      <x:c r="O515" s="59" t="str">
        <x:f>IF(OR($I515="",$J515="",$L515="",$M515=""),"",IF(AND($H515="Sim",$L515=$M515),IF($I515&lt;&gt;$J515,0,IF(AND($I515=$L515,$J515=$M515),2,1)),IF(AND($I515=$L515,$J515=$M515),3,IF(AND($I515&lt;&gt;$J515,$I515=$M515,$J515=$L515),-2,IF(SIGN($I515-$J515)=SIGN($L515-$M515),1,0)))))</x:f>
      </x:c>
      <x:c r="P515" s="59" t="str">
        <x:f>IF(OR($H515&lt;&gt;"Sim",$I515="",$J515="",$L515="",$M515=""),"",IF(AND(IF($I515&gt;$J515,$F515,IF($I515&lt;$J515,$G515,$K515))&lt;&gt;"",IF($L515&gt;$M515,$F515,IF($L515&lt;$M515,$G515,$N515))&lt;&gt;"",IF($I515&gt;$J515,$F515,IF($I515&lt;$J515,$G515,$K515))=IF($L515&gt;$M515,$F515,IF($L515&lt;$M515,$G515,$N515))),1,0))</x:f>
      </x:c>
      <x:c r="Q515" s="59" t="str">
        <x:f>IF($O515="","",$O515+$P515)</x:f>
      </x:c>
      <x:c r="R515" s="59" t="str">
        <x:f>IF($Q515="","",IF($O515=3,"Cravada",IF(AND($H515="Sim",$L515=$M515,$I515=$J515,$O515=2),"Empate cravado",IF($O515=1,"Resultado certo",IF($O515=-2,"Invertida",IF($P515=1,"Acertou quem passa","Erro"))))))</x:f>
      </x:c>
      <x:c r="S515" s="59" t="str">
        <x:f>IF($O515="","",--(OR($O515=3,AND($H515="Sim",$L515=$M515,$I515=$J515,$O515=2))))</x:f>
      </x:c>
      <x:c r="T515" s="59" t="str">
        <x:f>IF($O515="","",--($O515=-2))</x:f>
      </x:c>
      <x:c r="U515" s="59" t="str">
        <x:f>IF($O515="","",--($O515=1))</x:f>
      </x:c>
      <x:c r="V515" s="59" t="n">
        <x:f>--(AND($I515&lt;&gt;"",$J515&lt;&gt;""))</x:f>
        <x:v>0</x:v>
      </x:c>
    </x:row>
    <x:row r="516">
      <x:c r="A516" s="21" t="str">
        <x:f>INDEX(Config!$B$10:$B$16,INT((ROW()-5)/104)+1)</x:f>
        <x:v>Otávio</x:v>
      </x:c>
      <x:c r="B516" s="21" t="str">
        <x:v>R16_08</x:v>
      </x:c>
      <x:c r="C516" s="21" t="n">
        <x:v>96</x:v>
      </x:c>
      <x:c r="D516" s="21" t="str">
        <x:v>Oitavas de final</x:v>
      </x:c>
      <x:c r="E516" s="21" t="str">
        <x:v>2026-07-07</x:v>
      </x:c>
      <x:c r="F516" s="21" t="str">
        <x:f>IFERROR(INDEX('Resultados'!$G$5:$G$108,MATCH($B516,'Resultados'!$A$5:$A$108,0)),"")</x:f>
        <x:v>Vencedor M85</x:v>
      </x:c>
      <x:c r="G516" s="21" t="str">
        <x:f>IFERROR(INDEX('Resultados'!$J$5:$J$108,MATCH($B516,'Resultados'!$A$5:$A$108,0)),"")</x:f>
        <x:v>Vencedor M87</x:v>
      </x:c>
      <x:c r="H516" s="21" t="str">
        <x:v>Sim</x:v>
      </x:c>
      <x:c r="I516" s="22"/>
      <x:c r="J516" s="22"/>
      <x:c r="K516" s="23"/>
      <x:c r="L516" s="21" t="str">
        <x:f>IFERROR(INDEX('Resultados'!$H$5:$H$108,MATCH($B516,'Resultados'!$A$5:$A$108,0)),"")</x:f>
      </x:c>
      <x:c r="M516" s="21" t="str">
        <x:f>IFERROR(INDEX('Resultados'!$I$5:$I$108,MATCH($B516,'Resultados'!$A$5:$A$108,0)),"")</x:f>
      </x:c>
      <x:c r="N516" s="21" t="str">
        <x:f>IFERROR(INDEX('Resultados'!$L$5:$L$108,MATCH($B516,'Resultados'!$A$5:$A$108,0)),"")</x:f>
      </x:c>
      <x:c r="O516" s="59" t="str">
        <x:f>IF(OR($I516="",$J516="",$L516="",$M516=""),"",IF(AND($H516="Sim",$L516=$M516),IF($I516&lt;&gt;$J516,0,IF(AND($I516=$L516,$J516=$M516),2,1)),IF(AND($I516=$L516,$J516=$M516),3,IF(AND($I516&lt;&gt;$J516,$I516=$M516,$J516=$L516),-2,IF(SIGN($I516-$J516)=SIGN($L516-$M516),1,0)))))</x:f>
      </x:c>
      <x:c r="P516" s="59" t="str">
        <x:f>IF(OR($H516&lt;&gt;"Sim",$I516="",$J516="",$L516="",$M516=""),"",IF(AND(IF($I516&gt;$J516,$F516,IF($I516&lt;$J516,$G516,$K516))&lt;&gt;"",IF($L516&gt;$M516,$F516,IF($L516&lt;$M516,$G516,$N516))&lt;&gt;"",IF($I516&gt;$J516,$F516,IF($I516&lt;$J516,$G516,$K516))=IF($L516&gt;$M516,$F516,IF($L516&lt;$M516,$G516,$N516))),1,0))</x:f>
      </x:c>
      <x:c r="Q516" s="59" t="str">
        <x:f>IF($O516="","",$O516+$P516)</x:f>
      </x:c>
      <x:c r="R516" s="59" t="str">
        <x:f>IF($Q516="","",IF($O516=3,"Cravada",IF(AND($H516="Sim",$L516=$M516,$I516=$J516,$O516=2),"Empate cravado",IF($O516=1,"Resultado certo",IF($O516=-2,"Invertida",IF($P516=1,"Acertou quem passa","Erro"))))))</x:f>
      </x:c>
      <x:c r="S516" s="59" t="str">
        <x:f>IF($O516="","",--(OR($O516=3,AND($H516="Sim",$L516=$M516,$I516=$J516,$O516=2))))</x:f>
      </x:c>
      <x:c r="T516" s="59" t="str">
        <x:f>IF($O516="","",--($O516=-2))</x:f>
      </x:c>
      <x:c r="U516" s="59" t="str">
        <x:f>IF($O516="","",--($O516=1))</x:f>
      </x:c>
      <x:c r="V516" s="59" t="n">
        <x:f>--(AND($I516&lt;&gt;"",$J516&lt;&gt;""))</x:f>
        <x:v>0</x:v>
      </x:c>
    </x:row>
    <x:row r="517">
      <x:c r="A517" s="21" t="str">
        <x:f>INDEX(Config!$B$10:$B$16,INT((ROW()-5)/104)+1)</x:f>
        <x:v>Otávio</x:v>
      </x:c>
      <x:c r="B517" s="21" t="str">
        <x:v>QF_01</x:v>
      </x:c>
      <x:c r="C517" s="21" t="n">
        <x:v>97</x:v>
      </x:c>
      <x:c r="D517" s="21" t="str">
        <x:v>Quartas de final</x:v>
      </x:c>
      <x:c r="E517" s="21" t="str">
        <x:v>2026-07-09</x:v>
      </x:c>
      <x:c r="F517" s="21" t="str">
        <x:f>IFERROR(INDEX('Resultados'!$G$5:$G$108,MATCH($B517,'Resultados'!$A$5:$A$108,0)),"")</x:f>
        <x:v>Vencedor M89</x:v>
      </x:c>
      <x:c r="G517" s="21" t="str">
        <x:f>IFERROR(INDEX('Resultados'!$J$5:$J$108,MATCH($B517,'Resultados'!$A$5:$A$108,0)),"")</x:f>
        <x:v>Vencedor M90</x:v>
      </x:c>
      <x:c r="H517" s="21" t="str">
        <x:v>Sim</x:v>
      </x:c>
      <x:c r="I517" s="22"/>
      <x:c r="J517" s="22"/>
      <x:c r="K517" s="23"/>
      <x:c r="L517" s="21" t="str">
        <x:f>IFERROR(INDEX('Resultados'!$H$5:$H$108,MATCH($B517,'Resultados'!$A$5:$A$108,0)),"")</x:f>
      </x:c>
      <x:c r="M517" s="21" t="str">
        <x:f>IFERROR(INDEX('Resultados'!$I$5:$I$108,MATCH($B517,'Resultados'!$A$5:$A$108,0)),"")</x:f>
      </x:c>
      <x:c r="N517" s="21" t="str">
        <x:f>IFERROR(INDEX('Resultados'!$L$5:$L$108,MATCH($B517,'Resultados'!$A$5:$A$108,0)),"")</x:f>
      </x:c>
      <x:c r="O517" s="59" t="str">
        <x:f>IF(OR($I517="",$J517="",$L517="",$M517=""),"",IF(AND($H517="Sim",$L517=$M517),IF($I517&lt;&gt;$J517,0,IF(AND($I517=$L517,$J517=$M517),2,1)),IF(AND($I517=$L517,$J517=$M517),3,IF(AND($I517&lt;&gt;$J517,$I517=$M517,$J517=$L517),-2,IF(SIGN($I517-$J517)=SIGN($L517-$M517),1,0)))))</x:f>
      </x:c>
      <x:c r="P517" s="59" t="str">
        <x:f>IF(OR($H517&lt;&gt;"Sim",$I517="",$J517="",$L517="",$M517=""),"",IF(AND(IF($I517&gt;$J517,$F517,IF($I517&lt;$J517,$G517,$K517))&lt;&gt;"",IF($L517&gt;$M517,$F517,IF($L517&lt;$M517,$G517,$N517))&lt;&gt;"",IF($I517&gt;$J517,$F517,IF($I517&lt;$J517,$G517,$K517))=IF($L517&gt;$M517,$F517,IF($L517&lt;$M517,$G517,$N517))),1,0))</x:f>
      </x:c>
      <x:c r="Q517" s="59" t="str">
        <x:f>IF($O517="","",$O517+$P517)</x:f>
      </x:c>
      <x:c r="R517" s="59" t="str">
        <x:f>IF($Q517="","",IF($O517=3,"Cravada",IF(AND($H517="Sim",$L517=$M517,$I517=$J517,$O517=2),"Empate cravado",IF($O517=1,"Resultado certo",IF($O517=-2,"Invertida",IF($P517=1,"Acertou quem passa","Erro"))))))</x:f>
      </x:c>
      <x:c r="S517" s="59" t="str">
        <x:f>IF($O517="","",--(OR($O517=3,AND($H517="Sim",$L517=$M517,$I517=$J517,$O517=2))))</x:f>
      </x:c>
      <x:c r="T517" s="59" t="str">
        <x:f>IF($O517="","",--($O517=-2))</x:f>
      </x:c>
      <x:c r="U517" s="59" t="str">
        <x:f>IF($O517="","",--($O517=1))</x:f>
      </x:c>
      <x:c r="V517" s="59" t="n">
        <x:f>--(AND($I517&lt;&gt;"",$J517&lt;&gt;""))</x:f>
        <x:v>0</x:v>
      </x:c>
    </x:row>
    <x:row r="518">
      <x:c r="A518" s="21" t="str">
        <x:f>INDEX(Config!$B$10:$B$16,INT((ROW()-5)/104)+1)</x:f>
        <x:v>Otávio</x:v>
      </x:c>
      <x:c r="B518" s="21" t="str">
        <x:v>QF_02</x:v>
      </x:c>
      <x:c r="C518" s="21" t="n">
        <x:v>98</x:v>
      </x:c>
      <x:c r="D518" s="21" t="str">
        <x:v>Quartas de final</x:v>
      </x:c>
      <x:c r="E518" s="21" t="str">
        <x:v>2026-07-10</x:v>
      </x:c>
      <x:c r="F518" s="21" t="str">
        <x:f>IFERROR(INDEX('Resultados'!$G$5:$G$108,MATCH($B518,'Resultados'!$A$5:$A$108,0)),"")</x:f>
        <x:v>Vencedor M93</x:v>
      </x:c>
      <x:c r="G518" s="21" t="str">
        <x:f>IFERROR(INDEX('Resultados'!$J$5:$J$108,MATCH($B518,'Resultados'!$A$5:$A$108,0)),"")</x:f>
        <x:v>Vencedor M94</x:v>
      </x:c>
      <x:c r="H518" s="21" t="str">
        <x:v>Sim</x:v>
      </x:c>
      <x:c r="I518" s="22"/>
      <x:c r="J518" s="22"/>
      <x:c r="K518" s="23"/>
      <x:c r="L518" s="21" t="str">
        <x:f>IFERROR(INDEX('Resultados'!$H$5:$H$108,MATCH($B518,'Resultados'!$A$5:$A$108,0)),"")</x:f>
      </x:c>
      <x:c r="M518" s="21" t="str">
        <x:f>IFERROR(INDEX('Resultados'!$I$5:$I$108,MATCH($B518,'Resultados'!$A$5:$A$108,0)),"")</x:f>
      </x:c>
      <x:c r="N518" s="21" t="str">
        <x:f>IFERROR(INDEX('Resultados'!$L$5:$L$108,MATCH($B518,'Resultados'!$A$5:$A$108,0)),"")</x:f>
      </x:c>
      <x:c r="O518" s="59" t="str">
        <x:f>IF(OR($I518="",$J518="",$L518="",$M518=""),"",IF(AND($H518="Sim",$L518=$M518),IF($I518&lt;&gt;$J518,0,IF(AND($I518=$L518,$J518=$M518),2,1)),IF(AND($I518=$L518,$J518=$M518),3,IF(AND($I518&lt;&gt;$J518,$I518=$M518,$J518=$L518),-2,IF(SIGN($I518-$J518)=SIGN($L518-$M518),1,0)))))</x:f>
      </x:c>
      <x:c r="P518" s="59" t="str">
        <x:f>IF(OR($H518&lt;&gt;"Sim",$I518="",$J518="",$L518="",$M518=""),"",IF(AND(IF($I518&gt;$J518,$F518,IF($I518&lt;$J518,$G518,$K518))&lt;&gt;"",IF($L518&gt;$M518,$F518,IF($L518&lt;$M518,$G518,$N518))&lt;&gt;"",IF($I518&gt;$J518,$F518,IF($I518&lt;$J518,$G518,$K518))=IF($L518&gt;$M518,$F518,IF($L518&lt;$M518,$G518,$N518))),1,0))</x:f>
      </x:c>
      <x:c r="Q518" s="59" t="str">
        <x:f>IF($O518="","",$O518+$P518)</x:f>
      </x:c>
      <x:c r="R518" s="59" t="str">
        <x:f>IF($Q518="","",IF($O518=3,"Cravada",IF(AND($H518="Sim",$L518=$M518,$I518=$J518,$O518=2),"Empate cravado",IF($O518=1,"Resultado certo",IF($O518=-2,"Invertida",IF($P518=1,"Acertou quem passa","Erro"))))))</x:f>
      </x:c>
      <x:c r="S518" s="59" t="str">
        <x:f>IF($O518="","",--(OR($O518=3,AND($H518="Sim",$L518=$M518,$I518=$J518,$O518=2))))</x:f>
      </x:c>
      <x:c r="T518" s="59" t="str">
        <x:f>IF($O518="","",--($O518=-2))</x:f>
      </x:c>
      <x:c r="U518" s="59" t="str">
        <x:f>IF($O518="","",--($O518=1))</x:f>
      </x:c>
      <x:c r="V518" s="59" t="n">
        <x:f>--(AND($I518&lt;&gt;"",$J518&lt;&gt;""))</x:f>
        <x:v>0</x:v>
      </x:c>
    </x:row>
    <x:row r="519">
      <x:c r="A519" s="21" t="str">
        <x:f>INDEX(Config!$B$10:$B$16,INT((ROW()-5)/104)+1)</x:f>
        <x:v>Otávio</x:v>
      </x:c>
      <x:c r="B519" s="21" t="str">
        <x:v>QF_03</x:v>
      </x:c>
      <x:c r="C519" s="21" t="n">
        <x:v>99</x:v>
      </x:c>
      <x:c r="D519" s="21" t="str">
        <x:v>Quartas de final</x:v>
      </x:c>
      <x:c r="E519" s="21" t="str">
        <x:v>2026-07-11</x:v>
      </x:c>
      <x:c r="F519" s="21" t="str">
        <x:f>IFERROR(INDEX('Resultados'!$G$5:$G$108,MATCH($B519,'Resultados'!$A$5:$A$108,0)),"")</x:f>
        <x:v>Vencedor M91</x:v>
      </x:c>
      <x:c r="G519" s="21" t="str">
        <x:f>IFERROR(INDEX('Resultados'!$J$5:$J$108,MATCH($B519,'Resultados'!$A$5:$A$108,0)),"")</x:f>
        <x:v>Vencedor M92</x:v>
      </x:c>
      <x:c r="H519" s="21" t="str">
        <x:v>Sim</x:v>
      </x:c>
      <x:c r="I519" s="22"/>
      <x:c r="J519" s="22"/>
      <x:c r="K519" s="23"/>
      <x:c r="L519" s="21" t="str">
        <x:f>IFERROR(INDEX('Resultados'!$H$5:$H$108,MATCH($B519,'Resultados'!$A$5:$A$108,0)),"")</x:f>
      </x:c>
      <x:c r="M519" s="21" t="str">
        <x:f>IFERROR(INDEX('Resultados'!$I$5:$I$108,MATCH($B519,'Resultados'!$A$5:$A$108,0)),"")</x:f>
      </x:c>
      <x:c r="N519" s="21" t="str">
        <x:f>IFERROR(INDEX('Resultados'!$L$5:$L$108,MATCH($B519,'Resultados'!$A$5:$A$108,0)),"")</x:f>
      </x:c>
      <x:c r="O519" s="59" t="str">
        <x:f>IF(OR($I519="",$J519="",$L519="",$M519=""),"",IF(AND($H519="Sim",$L519=$M519),IF($I519&lt;&gt;$J519,0,IF(AND($I519=$L519,$J519=$M519),2,1)),IF(AND($I519=$L519,$J519=$M519),3,IF(AND($I519&lt;&gt;$J519,$I519=$M519,$J519=$L519),-2,IF(SIGN($I519-$J519)=SIGN($L519-$M519),1,0)))))</x:f>
      </x:c>
      <x:c r="P519" s="59" t="str">
        <x:f>IF(OR($H519&lt;&gt;"Sim",$I519="",$J519="",$L519="",$M519=""),"",IF(AND(IF($I519&gt;$J519,$F519,IF($I519&lt;$J519,$G519,$K519))&lt;&gt;"",IF($L519&gt;$M519,$F519,IF($L519&lt;$M519,$G519,$N519))&lt;&gt;"",IF($I519&gt;$J519,$F519,IF($I519&lt;$J519,$G519,$K519))=IF($L519&gt;$M519,$F519,IF($L519&lt;$M519,$G519,$N519))),1,0))</x:f>
      </x:c>
      <x:c r="Q519" s="59" t="str">
        <x:f>IF($O519="","",$O519+$P519)</x:f>
      </x:c>
      <x:c r="R519" s="59" t="str">
        <x:f>IF($Q519="","",IF($O519=3,"Cravada",IF(AND($H519="Sim",$L519=$M519,$I519=$J519,$O519=2),"Empate cravado",IF($O519=1,"Resultado certo",IF($O519=-2,"Invertida",IF($P519=1,"Acertou quem passa","Erro"))))))</x:f>
      </x:c>
      <x:c r="S519" s="59" t="str">
        <x:f>IF($O519="","",--(OR($O519=3,AND($H519="Sim",$L519=$M519,$I519=$J519,$O519=2))))</x:f>
      </x:c>
      <x:c r="T519" s="59" t="str">
        <x:f>IF($O519="","",--($O519=-2))</x:f>
      </x:c>
      <x:c r="U519" s="59" t="str">
        <x:f>IF($O519="","",--($O519=1))</x:f>
      </x:c>
      <x:c r="V519" s="59" t="n">
        <x:f>--(AND($I519&lt;&gt;"",$J519&lt;&gt;""))</x:f>
        <x:v>0</x:v>
      </x:c>
    </x:row>
    <x:row r="520">
      <x:c r="A520" s="21" t="str">
        <x:f>INDEX(Config!$B$10:$B$16,INT((ROW()-5)/104)+1)</x:f>
        <x:v>Otávio</x:v>
      </x:c>
      <x:c r="B520" s="21" t="str">
        <x:v>QF_04</x:v>
      </x:c>
      <x:c r="C520" s="21" t="n">
        <x:v>100</x:v>
      </x:c>
      <x:c r="D520" s="21" t="str">
        <x:v>Quartas de final</x:v>
      </x:c>
      <x:c r="E520" s="21" t="str">
        <x:v>2026-07-11</x:v>
      </x:c>
      <x:c r="F520" s="21" t="str">
        <x:f>IFERROR(INDEX('Resultados'!$G$5:$G$108,MATCH($B520,'Resultados'!$A$5:$A$108,0)),"")</x:f>
        <x:v>Vencedor M95</x:v>
      </x:c>
      <x:c r="G520" s="21" t="str">
        <x:f>IFERROR(INDEX('Resultados'!$J$5:$J$108,MATCH($B520,'Resultados'!$A$5:$A$108,0)),"")</x:f>
        <x:v>Vencedor M96</x:v>
      </x:c>
      <x:c r="H520" s="21" t="str">
        <x:v>Sim</x:v>
      </x:c>
      <x:c r="I520" s="22"/>
      <x:c r="J520" s="22"/>
      <x:c r="K520" s="23"/>
      <x:c r="L520" s="21" t="str">
        <x:f>IFERROR(INDEX('Resultados'!$H$5:$H$108,MATCH($B520,'Resultados'!$A$5:$A$108,0)),"")</x:f>
      </x:c>
      <x:c r="M520" s="21" t="str">
        <x:f>IFERROR(INDEX('Resultados'!$I$5:$I$108,MATCH($B520,'Resultados'!$A$5:$A$108,0)),"")</x:f>
      </x:c>
      <x:c r="N520" s="21" t="str">
        <x:f>IFERROR(INDEX('Resultados'!$L$5:$L$108,MATCH($B520,'Resultados'!$A$5:$A$108,0)),"")</x:f>
      </x:c>
      <x:c r="O520" s="59" t="str">
        <x:f>IF(OR($I520="",$J520="",$L520="",$M520=""),"",IF(AND($H520="Sim",$L520=$M520),IF($I520&lt;&gt;$J520,0,IF(AND($I520=$L520,$J520=$M520),2,1)),IF(AND($I520=$L520,$J520=$M520),3,IF(AND($I520&lt;&gt;$J520,$I520=$M520,$J520=$L520),-2,IF(SIGN($I520-$J520)=SIGN($L520-$M520),1,0)))))</x:f>
      </x:c>
      <x:c r="P520" s="59" t="str">
        <x:f>IF(OR($H520&lt;&gt;"Sim",$I520="",$J520="",$L520="",$M520=""),"",IF(AND(IF($I520&gt;$J520,$F520,IF($I520&lt;$J520,$G520,$K520))&lt;&gt;"",IF($L520&gt;$M520,$F520,IF($L520&lt;$M520,$G520,$N520))&lt;&gt;"",IF($I520&gt;$J520,$F520,IF($I520&lt;$J520,$G520,$K520))=IF($L520&gt;$M520,$F520,IF($L520&lt;$M520,$G520,$N520))),1,0))</x:f>
      </x:c>
      <x:c r="Q520" s="59" t="str">
        <x:f>IF($O520="","",$O520+$P520)</x:f>
      </x:c>
      <x:c r="R520" s="59" t="str">
        <x:f>IF($Q520="","",IF($O520=3,"Cravada",IF(AND($H520="Sim",$L520=$M520,$I520=$J520,$O520=2),"Empate cravado",IF($O520=1,"Resultado certo",IF($O520=-2,"Invertida",IF($P520=1,"Acertou quem passa","Erro"))))))</x:f>
      </x:c>
      <x:c r="S520" s="59" t="str">
        <x:f>IF($O520="","",--(OR($O520=3,AND($H520="Sim",$L520=$M520,$I520=$J520,$O520=2))))</x:f>
      </x:c>
      <x:c r="T520" s="59" t="str">
        <x:f>IF($O520="","",--($O520=-2))</x:f>
      </x:c>
      <x:c r="U520" s="59" t="str">
        <x:f>IF($O520="","",--($O520=1))</x:f>
      </x:c>
      <x:c r="V520" s="59" t="n">
        <x:f>--(AND($I520&lt;&gt;"",$J520&lt;&gt;""))</x:f>
        <x:v>0</x:v>
      </x:c>
    </x:row>
    <x:row r="521">
      <x:c r="A521" s="21" t="str">
        <x:f>INDEX(Config!$B$10:$B$16,INT((ROW()-5)/104)+1)</x:f>
        <x:v>Otávio</x:v>
      </x:c>
      <x:c r="B521" s="21" t="str">
        <x:v>SF_01</x:v>
      </x:c>
      <x:c r="C521" s="21" t="n">
        <x:v>101</x:v>
      </x:c>
      <x:c r="D521" s="21" t="str">
        <x:v>Semifinais</x:v>
      </x:c>
      <x:c r="E521" s="21" t="str">
        <x:v>2026-07-14</x:v>
      </x:c>
      <x:c r="F521" s="21" t="str">
        <x:f>IFERROR(INDEX('Resultados'!$G$5:$G$108,MATCH($B521,'Resultados'!$A$5:$A$108,0)),"")</x:f>
        <x:v>Vencedor M97</x:v>
      </x:c>
      <x:c r="G521" s="21" t="str">
        <x:f>IFERROR(INDEX('Resultados'!$J$5:$J$108,MATCH($B521,'Resultados'!$A$5:$A$108,0)),"")</x:f>
        <x:v>Vencedor M98</x:v>
      </x:c>
      <x:c r="H521" s="21" t="str">
        <x:v>Sim</x:v>
      </x:c>
      <x:c r="I521" s="22"/>
      <x:c r="J521" s="22"/>
      <x:c r="K521" s="23"/>
      <x:c r="L521" s="21" t="str">
        <x:f>IFERROR(INDEX('Resultados'!$H$5:$H$108,MATCH($B521,'Resultados'!$A$5:$A$108,0)),"")</x:f>
      </x:c>
      <x:c r="M521" s="21" t="str">
        <x:f>IFERROR(INDEX('Resultados'!$I$5:$I$108,MATCH($B521,'Resultados'!$A$5:$A$108,0)),"")</x:f>
      </x:c>
      <x:c r="N521" s="21" t="str">
        <x:f>IFERROR(INDEX('Resultados'!$L$5:$L$108,MATCH($B521,'Resultados'!$A$5:$A$108,0)),"")</x:f>
      </x:c>
      <x:c r="O521" s="59" t="str">
        <x:f>IF(OR($I521="",$J521="",$L521="",$M521=""),"",IF(AND($H521="Sim",$L521=$M521),IF($I521&lt;&gt;$J521,0,IF(AND($I521=$L521,$J521=$M521),2,1)),IF(AND($I521=$L521,$J521=$M521),3,IF(AND($I521&lt;&gt;$J521,$I521=$M521,$J521=$L521),-2,IF(SIGN($I521-$J521)=SIGN($L521-$M521),1,0)))))</x:f>
      </x:c>
      <x:c r="P521" s="59" t="str">
        <x:f>IF(OR($H521&lt;&gt;"Sim",$I521="",$J521="",$L521="",$M521=""),"",IF(AND(IF($I521&gt;$J521,$F521,IF($I521&lt;$J521,$G521,$K521))&lt;&gt;"",IF($L521&gt;$M521,$F521,IF($L521&lt;$M521,$G521,$N521))&lt;&gt;"",IF($I521&gt;$J521,$F521,IF($I521&lt;$J521,$G521,$K521))=IF($L521&gt;$M521,$F521,IF($L521&lt;$M521,$G521,$N521))),1,0))</x:f>
      </x:c>
      <x:c r="Q521" s="59" t="str">
        <x:f>IF($O521="","",$O521+$P521)</x:f>
      </x:c>
      <x:c r="R521" s="59" t="str">
        <x:f>IF($Q521="","",IF($O521=3,"Cravada",IF(AND($H521="Sim",$L521=$M521,$I521=$J521,$O521=2),"Empate cravado",IF($O521=1,"Resultado certo",IF($O521=-2,"Invertida",IF($P521=1,"Acertou quem passa","Erro"))))))</x:f>
      </x:c>
      <x:c r="S521" s="59" t="str">
        <x:f>IF($O521="","",--(OR($O521=3,AND($H521="Sim",$L521=$M521,$I521=$J521,$O521=2))))</x:f>
      </x:c>
      <x:c r="T521" s="59" t="str">
        <x:f>IF($O521="","",--($O521=-2))</x:f>
      </x:c>
      <x:c r="U521" s="59" t="str">
        <x:f>IF($O521="","",--($O521=1))</x:f>
      </x:c>
      <x:c r="V521" s="59" t="n">
        <x:f>--(AND($I521&lt;&gt;"",$J521&lt;&gt;""))</x:f>
        <x:v>0</x:v>
      </x:c>
    </x:row>
    <x:row r="522">
      <x:c r="A522" s="21" t="str">
        <x:f>INDEX(Config!$B$10:$B$16,INT((ROW()-5)/104)+1)</x:f>
        <x:v>Otávio</x:v>
      </x:c>
      <x:c r="B522" s="21" t="str">
        <x:v>SF_02</x:v>
      </x:c>
      <x:c r="C522" s="21" t="n">
        <x:v>102</x:v>
      </x:c>
      <x:c r="D522" s="21" t="str">
        <x:v>Semifinais</x:v>
      </x:c>
      <x:c r="E522" s="21" t="str">
        <x:v>2026-07-15</x:v>
      </x:c>
      <x:c r="F522" s="21" t="str">
        <x:f>IFERROR(INDEX('Resultados'!$G$5:$G$108,MATCH($B522,'Resultados'!$A$5:$A$108,0)),"")</x:f>
        <x:v>Vencedor M99</x:v>
      </x:c>
      <x:c r="G522" s="21" t="str">
        <x:f>IFERROR(INDEX('Resultados'!$J$5:$J$108,MATCH($B522,'Resultados'!$A$5:$A$108,0)),"")</x:f>
        <x:v>Vencedor M100</x:v>
      </x:c>
      <x:c r="H522" s="21" t="str">
        <x:v>Sim</x:v>
      </x:c>
      <x:c r="I522" s="22"/>
      <x:c r="J522" s="22"/>
      <x:c r="K522" s="23"/>
      <x:c r="L522" s="21" t="str">
        <x:f>IFERROR(INDEX('Resultados'!$H$5:$H$108,MATCH($B522,'Resultados'!$A$5:$A$108,0)),"")</x:f>
      </x:c>
      <x:c r="M522" s="21" t="str">
        <x:f>IFERROR(INDEX('Resultados'!$I$5:$I$108,MATCH($B522,'Resultados'!$A$5:$A$108,0)),"")</x:f>
      </x:c>
      <x:c r="N522" s="21" t="str">
        <x:f>IFERROR(INDEX('Resultados'!$L$5:$L$108,MATCH($B522,'Resultados'!$A$5:$A$108,0)),"")</x:f>
      </x:c>
      <x:c r="O522" s="59" t="str">
        <x:f>IF(OR($I522="",$J522="",$L522="",$M522=""),"",IF(AND($H522="Sim",$L522=$M522),IF($I522&lt;&gt;$J522,0,IF(AND($I522=$L522,$J522=$M522),2,1)),IF(AND($I522=$L522,$J522=$M522),3,IF(AND($I522&lt;&gt;$J522,$I522=$M522,$J522=$L522),-2,IF(SIGN($I522-$J522)=SIGN($L522-$M522),1,0)))))</x:f>
      </x:c>
      <x:c r="P522" s="59" t="str">
        <x:f>IF(OR($H522&lt;&gt;"Sim",$I522="",$J522="",$L522="",$M522=""),"",IF(AND(IF($I522&gt;$J522,$F522,IF($I522&lt;$J522,$G522,$K522))&lt;&gt;"",IF($L522&gt;$M522,$F522,IF($L522&lt;$M522,$G522,$N522))&lt;&gt;"",IF($I522&gt;$J522,$F522,IF($I522&lt;$J522,$G522,$K522))=IF($L522&gt;$M522,$F522,IF($L522&lt;$M522,$G522,$N522))),1,0))</x:f>
      </x:c>
      <x:c r="Q522" s="59" t="str">
        <x:f>IF($O522="","",$O522+$P522)</x:f>
      </x:c>
      <x:c r="R522" s="59" t="str">
        <x:f>IF($Q522="","",IF($O522=3,"Cravada",IF(AND($H522="Sim",$L522=$M522,$I522=$J522,$O522=2),"Empate cravado",IF($O522=1,"Resultado certo",IF($O522=-2,"Invertida",IF($P522=1,"Acertou quem passa","Erro"))))))</x:f>
      </x:c>
      <x:c r="S522" s="59" t="str">
        <x:f>IF($O522="","",--(OR($O522=3,AND($H522="Sim",$L522=$M522,$I522=$J522,$O522=2))))</x:f>
      </x:c>
      <x:c r="T522" s="59" t="str">
        <x:f>IF($O522="","",--($O522=-2))</x:f>
      </x:c>
      <x:c r="U522" s="59" t="str">
        <x:f>IF($O522="","",--($O522=1))</x:f>
      </x:c>
      <x:c r="V522" s="59" t="n">
        <x:f>--(AND($I522&lt;&gt;"",$J522&lt;&gt;""))</x:f>
        <x:v>0</x:v>
      </x:c>
    </x:row>
    <x:row r="523">
      <x:c r="A523" s="21" t="str">
        <x:f>INDEX(Config!$B$10:$B$16,INT((ROW()-5)/104)+1)</x:f>
        <x:v>Otávio</x:v>
      </x:c>
      <x:c r="B523" s="21" t="str">
        <x:v>P3</x:v>
      </x:c>
      <x:c r="C523" s="21" t="n">
        <x:v>103</x:v>
      </x:c>
      <x:c r="D523" s="21" t="str">
        <x:v>Disputa de 3º lugar</x:v>
      </x:c>
      <x:c r="E523" s="21" t="str">
        <x:v>2026-07-18</x:v>
      </x:c>
      <x:c r="F523" s="21" t="str">
        <x:f>IFERROR(INDEX('Resultados'!$G$5:$G$108,MATCH($B523,'Resultados'!$A$5:$A$108,0)),"")</x:f>
        <x:v>Perdedor M101</x:v>
      </x:c>
      <x:c r="G523" s="21" t="str">
        <x:f>IFERROR(INDEX('Resultados'!$J$5:$J$108,MATCH($B523,'Resultados'!$A$5:$A$108,0)),"")</x:f>
        <x:v>Perdedor M102</x:v>
      </x:c>
      <x:c r="H523" s="21" t="str">
        <x:v>Sim</x:v>
      </x:c>
      <x:c r="I523" s="22"/>
      <x:c r="J523" s="22"/>
      <x:c r="K523" s="23"/>
      <x:c r="L523" s="21" t="str">
        <x:f>IFERROR(INDEX('Resultados'!$H$5:$H$108,MATCH($B523,'Resultados'!$A$5:$A$108,0)),"")</x:f>
      </x:c>
      <x:c r="M523" s="21" t="str">
        <x:f>IFERROR(INDEX('Resultados'!$I$5:$I$108,MATCH($B523,'Resultados'!$A$5:$A$108,0)),"")</x:f>
      </x:c>
      <x:c r="N523" s="21" t="str">
        <x:f>IFERROR(INDEX('Resultados'!$L$5:$L$108,MATCH($B523,'Resultados'!$A$5:$A$108,0)),"")</x:f>
      </x:c>
      <x:c r="O523" s="59" t="str">
        <x:f>IF(OR($I523="",$J523="",$L523="",$M523=""),"",IF(AND($H523="Sim",$L523=$M523),IF($I523&lt;&gt;$J523,0,IF(AND($I523=$L523,$J523=$M523),2,1)),IF(AND($I523=$L523,$J523=$M523),3,IF(AND($I523&lt;&gt;$J523,$I523=$M523,$J523=$L523),-2,IF(SIGN($I523-$J523)=SIGN($L523-$M523),1,0)))))</x:f>
      </x:c>
      <x:c r="P523" s="59" t="str">
        <x:f>IF(OR($H523&lt;&gt;"Sim",$I523="",$J523="",$L523="",$M523=""),"",IF(AND(IF($I523&gt;$J523,$F523,IF($I523&lt;$J523,$G523,$K523))&lt;&gt;"",IF($L523&gt;$M523,$F523,IF($L523&lt;$M523,$G523,$N523))&lt;&gt;"",IF($I523&gt;$J523,$F523,IF($I523&lt;$J523,$G523,$K523))=IF($L523&gt;$M523,$F523,IF($L523&lt;$M523,$G523,$N523))),1,0))</x:f>
      </x:c>
      <x:c r="Q523" s="59" t="str">
        <x:f>IF($O523="","",$O523+$P523)</x:f>
      </x:c>
      <x:c r="R523" s="59" t="str">
        <x:f>IF($Q523="","",IF($O523=3,"Cravada",IF(AND($H523="Sim",$L523=$M523,$I523=$J523,$O523=2),"Empate cravado",IF($O523=1,"Resultado certo",IF($O523=-2,"Invertida",IF($P523=1,"Acertou quem passa","Erro"))))))</x:f>
      </x:c>
      <x:c r="S523" s="59" t="str">
        <x:f>IF($O523="","",--(OR($O523=3,AND($H523="Sim",$L523=$M523,$I523=$J523,$O523=2))))</x:f>
      </x:c>
      <x:c r="T523" s="59" t="str">
        <x:f>IF($O523="","",--($O523=-2))</x:f>
      </x:c>
      <x:c r="U523" s="59" t="str">
        <x:f>IF($O523="","",--($O523=1))</x:f>
      </x:c>
      <x:c r="V523" s="59" t="n">
        <x:f>--(AND($I523&lt;&gt;"",$J523&lt;&gt;""))</x:f>
        <x:v>0</x:v>
      </x:c>
    </x:row>
    <x:row r="524">
      <x:c r="A524" s="21" t="str">
        <x:f>INDEX(Config!$B$10:$B$16,INT((ROW()-5)/104)+1)</x:f>
        <x:v>Otávio</x:v>
      </x:c>
      <x:c r="B524" s="21" t="str">
        <x:v>FINAL</x:v>
      </x:c>
      <x:c r="C524" s="21" t="n">
        <x:v>104</x:v>
      </x:c>
      <x:c r="D524" s="21" t="str">
        <x:v>Final</x:v>
      </x:c>
      <x:c r="E524" s="21" t="str">
        <x:v>2026-07-19</x:v>
      </x:c>
      <x:c r="F524" s="21" t="str">
        <x:f>IFERROR(INDEX('Resultados'!$G$5:$G$108,MATCH($B524,'Resultados'!$A$5:$A$108,0)),"")</x:f>
        <x:v>Vencedor M101</x:v>
      </x:c>
      <x:c r="G524" s="21" t="str">
        <x:f>IFERROR(INDEX('Resultados'!$J$5:$J$108,MATCH($B524,'Resultados'!$A$5:$A$108,0)),"")</x:f>
        <x:v>Vencedor M102</x:v>
      </x:c>
      <x:c r="H524" s="21" t="str">
        <x:v>Sim</x:v>
      </x:c>
      <x:c r="I524" s="22"/>
      <x:c r="J524" s="22"/>
      <x:c r="K524" s="23"/>
      <x:c r="L524" s="21" t="str">
        <x:f>IFERROR(INDEX('Resultados'!$H$5:$H$108,MATCH($B524,'Resultados'!$A$5:$A$108,0)),"")</x:f>
      </x:c>
      <x:c r="M524" s="21" t="str">
        <x:f>IFERROR(INDEX('Resultados'!$I$5:$I$108,MATCH($B524,'Resultados'!$A$5:$A$108,0)),"")</x:f>
      </x:c>
      <x:c r="N524" s="21" t="str">
        <x:f>IFERROR(INDEX('Resultados'!$L$5:$L$108,MATCH($B524,'Resultados'!$A$5:$A$108,0)),"")</x:f>
      </x:c>
      <x:c r="O524" s="59" t="str">
        <x:f>IF(OR($I524="",$J524="",$L524="",$M524=""),"",IF(AND($H524="Sim",$L524=$M524),IF($I524&lt;&gt;$J524,0,IF(AND($I524=$L524,$J524=$M524),2,1)),IF(AND($I524=$L524,$J524=$M524),3,IF(AND($I524&lt;&gt;$J524,$I524=$M524,$J524=$L524),-2,IF(SIGN($I524-$J524)=SIGN($L524-$M524),1,0)))))</x:f>
      </x:c>
      <x:c r="P524" s="59" t="str">
        <x:f>IF(OR($H524&lt;&gt;"Sim",$I524="",$J524="",$L524="",$M524=""),"",IF(AND(IF($I524&gt;$J524,$F524,IF($I524&lt;$J524,$G524,$K524))&lt;&gt;"",IF($L524&gt;$M524,$F524,IF($L524&lt;$M524,$G524,$N524))&lt;&gt;"",IF($I524&gt;$J524,$F524,IF($I524&lt;$J524,$G524,$K524))=IF($L524&gt;$M524,$F524,IF($L524&lt;$M524,$G524,$N524))),1,0))</x:f>
      </x:c>
      <x:c r="Q524" s="59" t="str">
        <x:f>IF($O524="","",$O524+$P524)</x:f>
      </x:c>
      <x:c r="R524" s="59" t="str">
        <x:f>IF($Q524="","",IF($O524=3,"Cravada",IF(AND($H524="Sim",$L524=$M524,$I524=$J524,$O524=2),"Empate cravado",IF($O524=1,"Resultado certo",IF($O524=-2,"Invertida",IF($P524=1,"Acertou quem passa","Erro"))))))</x:f>
      </x:c>
      <x:c r="S524" s="59" t="str">
        <x:f>IF($O524="","",--(OR($O524=3,AND($H524="Sim",$L524=$M524,$I524=$J524,$O524=2))))</x:f>
      </x:c>
      <x:c r="T524" s="59" t="str">
        <x:f>IF($O524="","",--($O524=-2))</x:f>
      </x:c>
      <x:c r="U524" s="59" t="str">
        <x:f>IF($O524="","",--($O524=1))</x:f>
      </x:c>
      <x:c r="V524" s="59" t="n">
        <x:f>--(AND($I524&lt;&gt;"",$J524&lt;&gt;""))</x:f>
        <x:v>0</x:v>
      </x:c>
    </x:row>
    <x:row r="525">
      <x:c r="A525" s="21" t="str">
        <x:f>INDEX(Config!$B$10:$B$16,INT((ROW()-5)/104)+1)</x:f>
        <x:v>Vitão</x:v>
      </x:c>
      <x:c r="B525" s="21" t="str">
        <x:v>GA1</x:v>
      </x:c>
      <x:c r="C525" s="21" t="n">
        <x:v>1</x:v>
      </x:c>
      <x:c r="D525" s="21" t="str">
        <x:v>Grupo A</x:v>
      </x:c>
      <x:c r="E525" s="21" t="str">
        <x:v>2026-06-11</x:v>
      </x:c>
      <x:c r="F525" s="21" t="str">
        <x:f>IFERROR(INDEX('Resultados'!$G$5:$G$108,MATCH($B525,'Resultados'!$A$5:$A$108,0)),"")</x:f>
        <x:v>México</x:v>
      </x:c>
      <x:c r="G525" s="21" t="str">
        <x:f>IFERROR(INDEX('Resultados'!$J$5:$J$108,MATCH($B525,'Resultados'!$A$5:$A$108,0)),"")</x:f>
        <x:v>África do Sul</x:v>
      </x:c>
      <x:c r="H525" s="21" t="str">
        <x:v>Não</x:v>
      </x:c>
      <x:c r="I525" s="22"/>
      <x:c r="J525" s="22"/>
      <x:c r="K525" s="23"/>
      <x:c r="L525" s="21" t="str">
        <x:f>IFERROR(INDEX('Resultados'!$H$5:$H$108,MATCH($B525,'Resultados'!$A$5:$A$108,0)),"")</x:f>
      </x:c>
      <x:c r="M525" s="21" t="str">
        <x:f>IFERROR(INDEX('Resultados'!$I$5:$I$108,MATCH($B525,'Resultados'!$A$5:$A$108,0)),"")</x:f>
      </x:c>
      <x:c r="N525" s="21" t="str">
        <x:f>IFERROR(INDEX('Resultados'!$L$5:$L$108,MATCH($B525,'Resultados'!$A$5:$A$108,0)),"")</x:f>
      </x:c>
      <x:c r="O525" s="59" t="str">
        <x:f>IF(OR($I525="",$J525="",$L525="",$M525=""),"",IF(AND($H525="Sim",$L525=$M525),IF($I525&lt;&gt;$J525,0,IF(AND($I525=$L525,$J525=$M525),2,1)),IF(AND($I525=$L525,$J525=$M525),3,IF(AND($I525&lt;&gt;$J525,$I525=$M525,$J525=$L525),-2,IF(SIGN($I525-$J525)=SIGN($L525-$M525),1,0)))))</x:f>
      </x:c>
      <x:c r="P525" s="59" t="str">
        <x:f>IF(OR($H525&lt;&gt;"Sim",$I525="",$J525="",$L525="",$M525=""),"",IF(AND(IF($I525&gt;$J525,$F525,IF($I525&lt;$J525,$G525,$K525))&lt;&gt;"",IF($L525&gt;$M525,$F525,IF($L525&lt;$M525,$G525,$N525))&lt;&gt;"",IF($I525&gt;$J525,$F525,IF($I525&lt;$J525,$G525,$K525))=IF($L525&gt;$M525,$F525,IF($L525&lt;$M525,$G525,$N525))),1,0))</x:f>
      </x:c>
      <x:c r="Q525" s="59" t="str">
        <x:f>IF($O525="","",$O525+$P525)</x:f>
      </x:c>
      <x:c r="R525" s="59" t="str">
        <x:f>IF($Q525="","",IF($O525=3,"Cravada",IF(AND($H525="Sim",$L525=$M525,$I525=$J525,$O525=2),"Empate cravado",IF($O525=1,"Resultado certo",IF($O525=-2,"Invertida",IF($P525=1,"Acertou quem passa","Erro"))))))</x:f>
      </x:c>
      <x:c r="S525" s="59" t="str">
        <x:f>IF($O525="","",--(OR($O525=3,AND($H525="Sim",$L525=$M525,$I525=$J525,$O525=2))))</x:f>
      </x:c>
      <x:c r="T525" s="59" t="str">
        <x:f>IF($O525="","",--($O525=-2))</x:f>
      </x:c>
      <x:c r="U525" s="59" t="str">
        <x:f>IF($O525="","",--($O525=1))</x:f>
      </x:c>
      <x:c r="V525" s="59" t="n">
        <x:f>--(AND($I525&lt;&gt;"",$J525&lt;&gt;""))</x:f>
        <x:v>0</x:v>
      </x:c>
    </x:row>
    <x:row r="526">
      <x:c r="A526" s="21" t="str">
        <x:f>INDEX(Config!$B$10:$B$16,INT((ROW()-5)/104)+1)</x:f>
        <x:v>Vitão</x:v>
      </x:c>
      <x:c r="B526" s="21" t="str">
        <x:v>GA2</x:v>
      </x:c>
      <x:c r="C526" s="21" t="n">
        <x:v>2</x:v>
      </x:c>
      <x:c r="D526" s="21" t="str">
        <x:v>Grupo A</x:v>
      </x:c>
      <x:c r="E526" s="21" t="str">
        <x:v>2026-06-11</x:v>
      </x:c>
      <x:c r="F526" s="21" t="str">
        <x:f>IFERROR(INDEX('Resultados'!$G$5:$G$108,MATCH($B526,'Resultados'!$A$5:$A$108,0)),"")</x:f>
        <x:v>Coreia do Sul</x:v>
      </x:c>
      <x:c r="G526" s="21" t="str">
        <x:f>IFERROR(INDEX('Resultados'!$J$5:$J$108,MATCH($B526,'Resultados'!$A$5:$A$108,0)),"")</x:f>
        <x:v>Rep. Tcheca</x:v>
      </x:c>
      <x:c r="H526" s="21" t="str">
        <x:v>Não</x:v>
      </x:c>
      <x:c r="I526" s="22"/>
      <x:c r="J526" s="22"/>
      <x:c r="K526" s="23"/>
      <x:c r="L526" s="21" t="str">
        <x:f>IFERROR(INDEX('Resultados'!$H$5:$H$108,MATCH($B526,'Resultados'!$A$5:$A$108,0)),"")</x:f>
      </x:c>
      <x:c r="M526" s="21" t="str">
        <x:f>IFERROR(INDEX('Resultados'!$I$5:$I$108,MATCH($B526,'Resultados'!$A$5:$A$108,0)),"")</x:f>
      </x:c>
      <x:c r="N526" s="21" t="str">
        <x:f>IFERROR(INDEX('Resultados'!$L$5:$L$108,MATCH($B526,'Resultados'!$A$5:$A$108,0)),"")</x:f>
      </x:c>
      <x:c r="O526" s="59" t="str">
        <x:f>IF(OR($I526="",$J526="",$L526="",$M526=""),"",IF(AND($H526="Sim",$L526=$M526),IF($I526&lt;&gt;$J526,0,IF(AND($I526=$L526,$J526=$M526),2,1)),IF(AND($I526=$L526,$J526=$M526),3,IF(AND($I526&lt;&gt;$J526,$I526=$M526,$J526=$L526),-2,IF(SIGN($I526-$J526)=SIGN($L526-$M526),1,0)))))</x:f>
      </x:c>
      <x:c r="P526" s="59" t="str">
        <x:f>IF(OR($H526&lt;&gt;"Sim",$I526="",$J526="",$L526="",$M526=""),"",IF(AND(IF($I526&gt;$J526,$F526,IF($I526&lt;$J526,$G526,$K526))&lt;&gt;"",IF($L526&gt;$M526,$F526,IF($L526&lt;$M526,$G526,$N526))&lt;&gt;"",IF($I526&gt;$J526,$F526,IF($I526&lt;$J526,$G526,$K526))=IF($L526&gt;$M526,$F526,IF($L526&lt;$M526,$G526,$N526))),1,0))</x:f>
      </x:c>
      <x:c r="Q526" s="59" t="str">
        <x:f>IF($O526="","",$O526+$P526)</x:f>
      </x:c>
      <x:c r="R526" s="59" t="str">
        <x:f>IF($Q526="","",IF($O526=3,"Cravada",IF(AND($H526="Sim",$L526=$M526,$I526=$J526,$O526=2),"Empate cravado",IF($O526=1,"Resultado certo",IF($O526=-2,"Invertida",IF($P526=1,"Acertou quem passa","Erro"))))))</x:f>
      </x:c>
      <x:c r="S526" s="59" t="str">
        <x:f>IF($O526="","",--(OR($O526=3,AND($H526="Sim",$L526=$M526,$I526=$J526,$O526=2))))</x:f>
      </x:c>
      <x:c r="T526" s="59" t="str">
        <x:f>IF($O526="","",--($O526=-2))</x:f>
      </x:c>
      <x:c r="U526" s="59" t="str">
        <x:f>IF($O526="","",--($O526=1))</x:f>
      </x:c>
      <x:c r="V526" s="59" t="n">
        <x:f>--(AND($I526&lt;&gt;"",$J526&lt;&gt;""))</x:f>
        <x:v>0</x:v>
      </x:c>
    </x:row>
    <x:row r="527">
      <x:c r="A527" s="21" t="str">
        <x:f>INDEX(Config!$B$10:$B$16,INT((ROW()-5)/104)+1)</x:f>
        <x:v>Vitão</x:v>
      </x:c>
      <x:c r="B527" s="21" t="str">
        <x:v>GA3</x:v>
      </x:c>
      <x:c r="C527" s="21" t="n">
        <x:v>3</x:v>
      </x:c>
      <x:c r="D527" s="21" t="str">
        <x:v>Grupo A</x:v>
      </x:c>
      <x:c r="E527" s="21" t="str">
        <x:v>2026-06-18</x:v>
      </x:c>
      <x:c r="F527" s="21" t="str">
        <x:f>IFERROR(INDEX('Resultados'!$G$5:$G$108,MATCH($B527,'Resultados'!$A$5:$A$108,0)),"")</x:f>
        <x:v>México</x:v>
      </x:c>
      <x:c r="G527" s="21" t="str">
        <x:f>IFERROR(INDEX('Resultados'!$J$5:$J$108,MATCH($B527,'Resultados'!$A$5:$A$108,0)),"")</x:f>
        <x:v>Coreia do Sul</x:v>
      </x:c>
      <x:c r="H527" s="21" t="str">
        <x:v>Não</x:v>
      </x:c>
      <x:c r="I527" s="22"/>
      <x:c r="J527" s="22"/>
      <x:c r="K527" s="23"/>
      <x:c r="L527" s="21" t="str">
        <x:f>IFERROR(INDEX('Resultados'!$H$5:$H$108,MATCH($B527,'Resultados'!$A$5:$A$108,0)),"")</x:f>
      </x:c>
      <x:c r="M527" s="21" t="str">
        <x:f>IFERROR(INDEX('Resultados'!$I$5:$I$108,MATCH($B527,'Resultados'!$A$5:$A$108,0)),"")</x:f>
      </x:c>
      <x:c r="N527" s="21" t="str">
        <x:f>IFERROR(INDEX('Resultados'!$L$5:$L$108,MATCH($B527,'Resultados'!$A$5:$A$108,0)),"")</x:f>
      </x:c>
      <x:c r="O527" s="59" t="str">
        <x:f>IF(OR($I527="",$J527="",$L527="",$M527=""),"",IF(AND($H527="Sim",$L527=$M527),IF($I527&lt;&gt;$J527,0,IF(AND($I527=$L527,$J527=$M527),2,1)),IF(AND($I527=$L527,$J527=$M527),3,IF(AND($I527&lt;&gt;$J527,$I527=$M527,$J527=$L527),-2,IF(SIGN($I527-$J527)=SIGN($L527-$M527),1,0)))))</x:f>
      </x:c>
      <x:c r="P527" s="59" t="str">
        <x:f>IF(OR($H527&lt;&gt;"Sim",$I527="",$J527="",$L527="",$M527=""),"",IF(AND(IF($I527&gt;$J527,$F527,IF($I527&lt;$J527,$G527,$K527))&lt;&gt;"",IF($L527&gt;$M527,$F527,IF($L527&lt;$M527,$G527,$N527))&lt;&gt;"",IF($I527&gt;$J527,$F527,IF($I527&lt;$J527,$G527,$K527))=IF($L527&gt;$M527,$F527,IF($L527&lt;$M527,$G527,$N527))),1,0))</x:f>
      </x:c>
      <x:c r="Q527" s="59" t="str">
        <x:f>IF($O527="","",$O527+$P527)</x:f>
      </x:c>
      <x:c r="R527" s="59" t="str">
        <x:f>IF($Q527="","",IF($O527=3,"Cravada",IF(AND($H527="Sim",$L527=$M527,$I527=$J527,$O527=2),"Empate cravado",IF($O527=1,"Resultado certo",IF($O527=-2,"Invertida",IF($P527=1,"Acertou quem passa","Erro"))))))</x:f>
      </x:c>
      <x:c r="S527" s="59" t="str">
        <x:f>IF($O527="","",--(OR($O527=3,AND($H527="Sim",$L527=$M527,$I527=$J527,$O527=2))))</x:f>
      </x:c>
      <x:c r="T527" s="59" t="str">
        <x:f>IF($O527="","",--($O527=-2))</x:f>
      </x:c>
      <x:c r="U527" s="59" t="str">
        <x:f>IF($O527="","",--($O527=1))</x:f>
      </x:c>
      <x:c r="V527" s="59" t="n">
        <x:f>--(AND($I527&lt;&gt;"",$J527&lt;&gt;""))</x:f>
        <x:v>0</x:v>
      </x:c>
    </x:row>
    <x:row r="528">
      <x:c r="A528" s="21" t="str">
        <x:f>INDEX(Config!$B$10:$B$16,INT((ROW()-5)/104)+1)</x:f>
        <x:v>Vitão</x:v>
      </x:c>
      <x:c r="B528" s="21" t="str">
        <x:v>GA4</x:v>
      </x:c>
      <x:c r="C528" s="21" t="n">
        <x:v>4</x:v>
      </x:c>
      <x:c r="D528" s="21" t="str">
        <x:v>Grupo A</x:v>
      </x:c>
      <x:c r="E528" s="21" t="str">
        <x:v>2026-06-18</x:v>
      </x:c>
      <x:c r="F528" s="21" t="str">
        <x:f>IFERROR(INDEX('Resultados'!$G$5:$G$108,MATCH($B528,'Resultados'!$A$5:$A$108,0)),"")</x:f>
        <x:v>África do Sul</x:v>
      </x:c>
      <x:c r="G528" s="21" t="str">
        <x:f>IFERROR(INDEX('Resultados'!$J$5:$J$108,MATCH($B528,'Resultados'!$A$5:$A$108,0)),"")</x:f>
        <x:v>Rep. Tcheca</x:v>
      </x:c>
      <x:c r="H528" s="21" t="str">
        <x:v>Não</x:v>
      </x:c>
      <x:c r="I528" s="22"/>
      <x:c r="J528" s="22"/>
      <x:c r="K528" s="23"/>
      <x:c r="L528" s="21" t="str">
        <x:f>IFERROR(INDEX('Resultados'!$H$5:$H$108,MATCH($B528,'Resultados'!$A$5:$A$108,0)),"")</x:f>
      </x:c>
      <x:c r="M528" s="21" t="str">
        <x:f>IFERROR(INDEX('Resultados'!$I$5:$I$108,MATCH($B528,'Resultados'!$A$5:$A$108,0)),"")</x:f>
      </x:c>
      <x:c r="N528" s="21" t="str">
        <x:f>IFERROR(INDEX('Resultados'!$L$5:$L$108,MATCH($B528,'Resultados'!$A$5:$A$108,0)),"")</x:f>
      </x:c>
      <x:c r="O528" s="59" t="str">
        <x:f>IF(OR($I528="",$J528="",$L528="",$M528=""),"",IF(AND($H528="Sim",$L528=$M528),IF($I528&lt;&gt;$J528,0,IF(AND($I528=$L528,$J528=$M528),2,1)),IF(AND($I528=$L528,$J528=$M528),3,IF(AND($I528&lt;&gt;$J528,$I528=$M528,$J528=$L528),-2,IF(SIGN($I528-$J528)=SIGN($L528-$M528),1,0)))))</x:f>
      </x:c>
      <x:c r="P528" s="59" t="str">
        <x:f>IF(OR($H528&lt;&gt;"Sim",$I528="",$J528="",$L528="",$M528=""),"",IF(AND(IF($I528&gt;$J528,$F528,IF($I528&lt;$J528,$G528,$K528))&lt;&gt;"",IF($L528&gt;$M528,$F528,IF($L528&lt;$M528,$G528,$N528))&lt;&gt;"",IF($I528&gt;$J528,$F528,IF($I528&lt;$J528,$G528,$K528))=IF($L528&gt;$M528,$F528,IF($L528&lt;$M528,$G528,$N528))),1,0))</x:f>
      </x:c>
      <x:c r="Q528" s="59" t="str">
        <x:f>IF($O528="","",$O528+$P528)</x:f>
      </x:c>
      <x:c r="R528" s="59" t="str">
        <x:f>IF($Q528="","",IF($O528=3,"Cravada",IF(AND($H528="Sim",$L528=$M528,$I528=$J528,$O528=2),"Empate cravado",IF($O528=1,"Resultado certo",IF($O528=-2,"Invertida",IF($P528=1,"Acertou quem passa","Erro"))))))</x:f>
      </x:c>
      <x:c r="S528" s="59" t="str">
        <x:f>IF($O528="","",--(OR($O528=3,AND($H528="Sim",$L528=$M528,$I528=$J528,$O528=2))))</x:f>
      </x:c>
      <x:c r="T528" s="59" t="str">
        <x:f>IF($O528="","",--($O528=-2))</x:f>
      </x:c>
      <x:c r="U528" s="59" t="str">
        <x:f>IF($O528="","",--($O528=1))</x:f>
      </x:c>
      <x:c r="V528" s="59" t="n">
        <x:f>--(AND($I528&lt;&gt;"",$J528&lt;&gt;""))</x:f>
        <x:v>0</x:v>
      </x:c>
    </x:row>
    <x:row r="529">
      <x:c r="A529" s="21" t="str">
        <x:f>INDEX(Config!$B$10:$B$16,INT((ROW()-5)/104)+1)</x:f>
        <x:v>Vitão</x:v>
      </x:c>
      <x:c r="B529" s="21" t="str">
        <x:v>GA5</x:v>
      </x:c>
      <x:c r="C529" s="21" t="n">
        <x:v>5</x:v>
      </x:c>
      <x:c r="D529" s="21" t="str">
        <x:v>Grupo A</x:v>
      </x:c>
      <x:c r="E529" s="21" t="str">
        <x:v>2026-06-24</x:v>
      </x:c>
      <x:c r="F529" s="21" t="str">
        <x:f>IFERROR(INDEX('Resultados'!$G$5:$G$108,MATCH($B529,'Resultados'!$A$5:$A$108,0)),"")</x:f>
        <x:v>México</x:v>
      </x:c>
      <x:c r="G529" s="21" t="str">
        <x:f>IFERROR(INDEX('Resultados'!$J$5:$J$108,MATCH($B529,'Resultados'!$A$5:$A$108,0)),"")</x:f>
        <x:v>Rep. Tcheca</x:v>
      </x:c>
      <x:c r="H529" s="21" t="str">
        <x:v>Não</x:v>
      </x:c>
      <x:c r="I529" s="22"/>
      <x:c r="J529" s="22"/>
      <x:c r="K529" s="23"/>
      <x:c r="L529" s="21" t="str">
        <x:f>IFERROR(INDEX('Resultados'!$H$5:$H$108,MATCH($B529,'Resultados'!$A$5:$A$108,0)),"")</x:f>
      </x:c>
      <x:c r="M529" s="21" t="str">
        <x:f>IFERROR(INDEX('Resultados'!$I$5:$I$108,MATCH($B529,'Resultados'!$A$5:$A$108,0)),"")</x:f>
      </x:c>
      <x:c r="N529" s="21" t="str">
        <x:f>IFERROR(INDEX('Resultados'!$L$5:$L$108,MATCH($B529,'Resultados'!$A$5:$A$108,0)),"")</x:f>
      </x:c>
      <x:c r="O529" s="59" t="str">
        <x:f>IF(OR($I529="",$J529="",$L529="",$M529=""),"",IF(AND($H529="Sim",$L529=$M529),IF($I529&lt;&gt;$J529,0,IF(AND($I529=$L529,$J529=$M529),2,1)),IF(AND($I529=$L529,$J529=$M529),3,IF(AND($I529&lt;&gt;$J529,$I529=$M529,$J529=$L529),-2,IF(SIGN($I529-$J529)=SIGN($L529-$M529),1,0)))))</x:f>
      </x:c>
      <x:c r="P529" s="59" t="str">
        <x:f>IF(OR($H529&lt;&gt;"Sim",$I529="",$J529="",$L529="",$M529=""),"",IF(AND(IF($I529&gt;$J529,$F529,IF($I529&lt;$J529,$G529,$K529))&lt;&gt;"",IF($L529&gt;$M529,$F529,IF($L529&lt;$M529,$G529,$N529))&lt;&gt;"",IF($I529&gt;$J529,$F529,IF($I529&lt;$J529,$G529,$K529))=IF($L529&gt;$M529,$F529,IF($L529&lt;$M529,$G529,$N529))),1,0))</x:f>
      </x:c>
      <x:c r="Q529" s="59" t="str">
        <x:f>IF($O529="","",$O529+$P529)</x:f>
      </x:c>
      <x:c r="R529" s="59" t="str">
        <x:f>IF($Q529="","",IF($O529=3,"Cravada",IF(AND($H529="Sim",$L529=$M529,$I529=$J529,$O529=2),"Empate cravado",IF($O529=1,"Resultado certo",IF($O529=-2,"Invertida",IF($P529=1,"Acertou quem passa","Erro"))))))</x:f>
      </x:c>
      <x:c r="S529" s="59" t="str">
        <x:f>IF($O529="","",--(OR($O529=3,AND($H529="Sim",$L529=$M529,$I529=$J529,$O529=2))))</x:f>
      </x:c>
      <x:c r="T529" s="59" t="str">
        <x:f>IF($O529="","",--($O529=-2))</x:f>
      </x:c>
      <x:c r="U529" s="59" t="str">
        <x:f>IF($O529="","",--($O529=1))</x:f>
      </x:c>
      <x:c r="V529" s="59" t="n">
        <x:f>--(AND($I529&lt;&gt;"",$J529&lt;&gt;""))</x:f>
        <x:v>0</x:v>
      </x:c>
    </x:row>
    <x:row r="530">
      <x:c r="A530" s="21" t="str">
        <x:f>INDEX(Config!$B$10:$B$16,INT((ROW()-5)/104)+1)</x:f>
        <x:v>Vitão</x:v>
      </x:c>
      <x:c r="B530" s="21" t="str">
        <x:v>GA6</x:v>
      </x:c>
      <x:c r="C530" s="21" t="n">
        <x:v>6</x:v>
      </x:c>
      <x:c r="D530" s="21" t="str">
        <x:v>Grupo A</x:v>
      </x:c>
      <x:c r="E530" s="21" t="str">
        <x:v>2026-06-24</x:v>
      </x:c>
      <x:c r="F530" s="21" t="str">
        <x:f>IFERROR(INDEX('Resultados'!$G$5:$G$108,MATCH($B530,'Resultados'!$A$5:$A$108,0)),"")</x:f>
        <x:v>África do Sul</x:v>
      </x:c>
      <x:c r="G530" s="21" t="str">
        <x:f>IFERROR(INDEX('Resultados'!$J$5:$J$108,MATCH($B530,'Resultados'!$A$5:$A$108,0)),"")</x:f>
        <x:v>Coreia do Sul</x:v>
      </x:c>
      <x:c r="H530" s="21" t="str">
        <x:v>Não</x:v>
      </x:c>
      <x:c r="I530" s="22"/>
      <x:c r="J530" s="22"/>
      <x:c r="K530" s="23"/>
      <x:c r="L530" s="21" t="str">
        <x:f>IFERROR(INDEX('Resultados'!$H$5:$H$108,MATCH($B530,'Resultados'!$A$5:$A$108,0)),"")</x:f>
      </x:c>
      <x:c r="M530" s="21" t="str">
        <x:f>IFERROR(INDEX('Resultados'!$I$5:$I$108,MATCH($B530,'Resultados'!$A$5:$A$108,0)),"")</x:f>
      </x:c>
      <x:c r="N530" s="21" t="str">
        <x:f>IFERROR(INDEX('Resultados'!$L$5:$L$108,MATCH($B530,'Resultados'!$A$5:$A$108,0)),"")</x:f>
      </x:c>
      <x:c r="O530" s="59" t="str">
        <x:f>IF(OR($I530="",$J530="",$L530="",$M530=""),"",IF(AND($H530="Sim",$L530=$M530),IF($I530&lt;&gt;$J530,0,IF(AND($I530=$L530,$J530=$M530),2,1)),IF(AND($I530=$L530,$J530=$M530),3,IF(AND($I530&lt;&gt;$J530,$I530=$M530,$J530=$L530),-2,IF(SIGN($I530-$J530)=SIGN($L530-$M530),1,0)))))</x:f>
      </x:c>
      <x:c r="P530" s="59" t="str">
        <x:f>IF(OR($H530&lt;&gt;"Sim",$I530="",$J530="",$L530="",$M530=""),"",IF(AND(IF($I530&gt;$J530,$F530,IF($I530&lt;$J530,$G530,$K530))&lt;&gt;"",IF($L530&gt;$M530,$F530,IF($L530&lt;$M530,$G530,$N530))&lt;&gt;"",IF($I530&gt;$J530,$F530,IF($I530&lt;$J530,$G530,$K530))=IF($L530&gt;$M530,$F530,IF($L530&lt;$M530,$G530,$N530))),1,0))</x:f>
      </x:c>
      <x:c r="Q530" s="59" t="str">
        <x:f>IF($O530="","",$O530+$P530)</x:f>
      </x:c>
      <x:c r="R530" s="59" t="str">
        <x:f>IF($Q530="","",IF($O530=3,"Cravada",IF(AND($H530="Sim",$L530=$M530,$I530=$J530,$O530=2),"Empate cravado",IF($O530=1,"Resultado certo",IF($O530=-2,"Invertida",IF($P530=1,"Acertou quem passa","Erro"))))))</x:f>
      </x:c>
      <x:c r="S530" s="59" t="str">
        <x:f>IF($O530="","",--(OR($O530=3,AND($H530="Sim",$L530=$M530,$I530=$J530,$O530=2))))</x:f>
      </x:c>
      <x:c r="T530" s="59" t="str">
        <x:f>IF($O530="","",--($O530=-2))</x:f>
      </x:c>
      <x:c r="U530" s="59" t="str">
        <x:f>IF($O530="","",--($O530=1))</x:f>
      </x:c>
      <x:c r="V530" s="59" t="n">
        <x:f>--(AND($I530&lt;&gt;"",$J530&lt;&gt;""))</x:f>
        <x:v>0</x:v>
      </x:c>
    </x:row>
    <x:row r="531">
      <x:c r="A531" s="21" t="str">
        <x:f>INDEX(Config!$B$10:$B$16,INT((ROW()-5)/104)+1)</x:f>
        <x:v>Vitão</x:v>
      </x:c>
      <x:c r="B531" s="21" t="str">
        <x:v>GB1</x:v>
      </x:c>
      <x:c r="C531" s="21" t="n">
        <x:v>7</x:v>
      </x:c>
      <x:c r="D531" s="21" t="str">
        <x:v>Grupo B</x:v>
      </x:c>
      <x:c r="E531" s="21" t="str">
        <x:v>2026-06-12</x:v>
      </x:c>
      <x:c r="F531" s="21" t="str">
        <x:f>IFERROR(INDEX('Resultados'!$G$5:$G$108,MATCH($B531,'Resultados'!$A$5:$A$108,0)),"")</x:f>
        <x:v>Canadá</x:v>
      </x:c>
      <x:c r="G531" s="21" t="str">
        <x:f>IFERROR(INDEX('Resultados'!$J$5:$J$108,MATCH($B531,'Resultados'!$A$5:$A$108,0)),"")</x:f>
        <x:v>Bósnia-Herzegovina</x:v>
      </x:c>
      <x:c r="H531" s="21" t="str">
        <x:v>Não</x:v>
      </x:c>
      <x:c r="I531" s="22"/>
      <x:c r="J531" s="22"/>
      <x:c r="K531" s="23"/>
      <x:c r="L531" s="21" t="str">
        <x:f>IFERROR(INDEX('Resultados'!$H$5:$H$108,MATCH($B531,'Resultados'!$A$5:$A$108,0)),"")</x:f>
      </x:c>
      <x:c r="M531" s="21" t="str">
        <x:f>IFERROR(INDEX('Resultados'!$I$5:$I$108,MATCH($B531,'Resultados'!$A$5:$A$108,0)),"")</x:f>
      </x:c>
      <x:c r="N531" s="21" t="str">
        <x:f>IFERROR(INDEX('Resultados'!$L$5:$L$108,MATCH($B531,'Resultados'!$A$5:$A$108,0)),"")</x:f>
      </x:c>
      <x:c r="O531" s="59" t="str">
        <x:f>IF(OR($I531="",$J531="",$L531="",$M531=""),"",IF(AND($H531="Sim",$L531=$M531),IF($I531&lt;&gt;$J531,0,IF(AND($I531=$L531,$J531=$M531),2,1)),IF(AND($I531=$L531,$J531=$M531),3,IF(AND($I531&lt;&gt;$J531,$I531=$M531,$J531=$L531),-2,IF(SIGN($I531-$J531)=SIGN($L531-$M531),1,0)))))</x:f>
      </x:c>
      <x:c r="P531" s="59" t="str">
        <x:f>IF(OR($H531&lt;&gt;"Sim",$I531="",$J531="",$L531="",$M531=""),"",IF(AND(IF($I531&gt;$J531,$F531,IF($I531&lt;$J531,$G531,$K531))&lt;&gt;"",IF($L531&gt;$M531,$F531,IF($L531&lt;$M531,$G531,$N531))&lt;&gt;"",IF($I531&gt;$J531,$F531,IF($I531&lt;$J531,$G531,$K531))=IF($L531&gt;$M531,$F531,IF($L531&lt;$M531,$G531,$N531))),1,0))</x:f>
      </x:c>
      <x:c r="Q531" s="59" t="str">
        <x:f>IF($O531="","",$O531+$P531)</x:f>
      </x:c>
      <x:c r="R531" s="59" t="str">
        <x:f>IF($Q531="","",IF($O531=3,"Cravada",IF(AND($H531="Sim",$L531=$M531,$I531=$J531,$O531=2),"Empate cravado",IF($O531=1,"Resultado certo",IF($O531=-2,"Invertida",IF($P531=1,"Acertou quem passa","Erro"))))))</x:f>
      </x:c>
      <x:c r="S531" s="59" t="str">
        <x:f>IF($O531="","",--(OR($O531=3,AND($H531="Sim",$L531=$M531,$I531=$J531,$O531=2))))</x:f>
      </x:c>
      <x:c r="T531" s="59" t="str">
        <x:f>IF($O531="","",--($O531=-2))</x:f>
      </x:c>
      <x:c r="U531" s="59" t="str">
        <x:f>IF($O531="","",--($O531=1))</x:f>
      </x:c>
      <x:c r="V531" s="59" t="n">
        <x:f>--(AND($I531&lt;&gt;"",$J531&lt;&gt;""))</x:f>
        <x:v>0</x:v>
      </x:c>
    </x:row>
    <x:row r="532">
      <x:c r="A532" s="21" t="str">
        <x:f>INDEX(Config!$B$10:$B$16,INT((ROW()-5)/104)+1)</x:f>
        <x:v>Vitão</x:v>
      </x:c>
      <x:c r="B532" s="21" t="str">
        <x:v>GB2</x:v>
      </x:c>
      <x:c r="C532" s="21" t="n">
        <x:v>8</x:v>
      </x:c>
      <x:c r="D532" s="21" t="str">
        <x:v>Grupo B</x:v>
      </x:c>
      <x:c r="E532" s="21" t="str">
        <x:v>2026-06-13</x:v>
      </x:c>
      <x:c r="F532" s="21" t="str">
        <x:f>IFERROR(INDEX('Resultados'!$G$5:$G$108,MATCH($B532,'Resultados'!$A$5:$A$108,0)),"")</x:f>
        <x:v>Catar</x:v>
      </x:c>
      <x:c r="G532" s="21" t="str">
        <x:f>IFERROR(INDEX('Resultados'!$J$5:$J$108,MATCH($B532,'Resultados'!$A$5:$A$108,0)),"")</x:f>
        <x:v>Suíça</x:v>
      </x:c>
      <x:c r="H532" s="21" t="str">
        <x:v>Não</x:v>
      </x:c>
      <x:c r="I532" s="22"/>
      <x:c r="J532" s="22"/>
      <x:c r="K532" s="23"/>
      <x:c r="L532" s="21" t="str">
        <x:f>IFERROR(INDEX('Resultados'!$H$5:$H$108,MATCH($B532,'Resultados'!$A$5:$A$108,0)),"")</x:f>
      </x:c>
      <x:c r="M532" s="21" t="str">
        <x:f>IFERROR(INDEX('Resultados'!$I$5:$I$108,MATCH($B532,'Resultados'!$A$5:$A$108,0)),"")</x:f>
      </x:c>
      <x:c r="N532" s="21" t="str">
        <x:f>IFERROR(INDEX('Resultados'!$L$5:$L$108,MATCH($B532,'Resultados'!$A$5:$A$108,0)),"")</x:f>
      </x:c>
      <x:c r="O532" s="59" t="str">
        <x:f>IF(OR($I532="",$J532="",$L532="",$M532=""),"",IF(AND($H532="Sim",$L532=$M532),IF($I532&lt;&gt;$J532,0,IF(AND($I532=$L532,$J532=$M532),2,1)),IF(AND($I532=$L532,$J532=$M532),3,IF(AND($I532&lt;&gt;$J532,$I532=$M532,$J532=$L532),-2,IF(SIGN($I532-$J532)=SIGN($L532-$M532),1,0)))))</x:f>
      </x:c>
      <x:c r="P532" s="59" t="str">
        <x:f>IF(OR($H532&lt;&gt;"Sim",$I532="",$J532="",$L532="",$M532=""),"",IF(AND(IF($I532&gt;$J532,$F532,IF($I532&lt;$J532,$G532,$K532))&lt;&gt;"",IF($L532&gt;$M532,$F532,IF($L532&lt;$M532,$G532,$N532))&lt;&gt;"",IF($I532&gt;$J532,$F532,IF($I532&lt;$J532,$G532,$K532))=IF($L532&gt;$M532,$F532,IF($L532&lt;$M532,$G532,$N532))),1,0))</x:f>
      </x:c>
      <x:c r="Q532" s="59" t="str">
        <x:f>IF($O532="","",$O532+$P532)</x:f>
      </x:c>
      <x:c r="R532" s="59" t="str">
        <x:f>IF($Q532="","",IF($O532=3,"Cravada",IF(AND($H532="Sim",$L532=$M532,$I532=$J532,$O532=2),"Empate cravado",IF($O532=1,"Resultado certo",IF($O532=-2,"Invertida",IF($P532=1,"Acertou quem passa","Erro"))))))</x:f>
      </x:c>
      <x:c r="S532" s="59" t="str">
        <x:f>IF($O532="","",--(OR($O532=3,AND($H532="Sim",$L532=$M532,$I532=$J532,$O532=2))))</x:f>
      </x:c>
      <x:c r="T532" s="59" t="str">
        <x:f>IF($O532="","",--($O532=-2))</x:f>
      </x:c>
      <x:c r="U532" s="59" t="str">
        <x:f>IF($O532="","",--($O532=1))</x:f>
      </x:c>
      <x:c r="V532" s="59" t="n">
        <x:f>--(AND($I532&lt;&gt;"",$J532&lt;&gt;""))</x:f>
        <x:v>0</x:v>
      </x:c>
    </x:row>
    <x:row r="533">
      <x:c r="A533" s="21" t="str">
        <x:f>INDEX(Config!$B$10:$B$16,INT((ROW()-5)/104)+1)</x:f>
        <x:v>Vitão</x:v>
      </x:c>
      <x:c r="B533" s="21" t="str">
        <x:v>GB3</x:v>
      </x:c>
      <x:c r="C533" s="21" t="n">
        <x:v>9</x:v>
      </x:c>
      <x:c r="D533" s="21" t="str">
        <x:v>Grupo B</x:v>
      </x:c>
      <x:c r="E533" s="21" t="str">
        <x:v>2026-06-18</x:v>
      </x:c>
      <x:c r="F533" s="21" t="str">
        <x:f>IFERROR(INDEX('Resultados'!$G$5:$G$108,MATCH($B533,'Resultados'!$A$5:$A$108,0)),"")</x:f>
        <x:v>Canadá</x:v>
      </x:c>
      <x:c r="G533" s="21" t="str">
        <x:f>IFERROR(INDEX('Resultados'!$J$5:$J$108,MATCH($B533,'Resultados'!$A$5:$A$108,0)),"")</x:f>
        <x:v>Catar</x:v>
      </x:c>
      <x:c r="H533" s="21" t="str">
        <x:v>Não</x:v>
      </x:c>
      <x:c r="I533" s="22"/>
      <x:c r="J533" s="22"/>
      <x:c r="K533" s="23"/>
      <x:c r="L533" s="21" t="str">
        <x:f>IFERROR(INDEX('Resultados'!$H$5:$H$108,MATCH($B533,'Resultados'!$A$5:$A$108,0)),"")</x:f>
      </x:c>
      <x:c r="M533" s="21" t="str">
        <x:f>IFERROR(INDEX('Resultados'!$I$5:$I$108,MATCH($B533,'Resultados'!$A$5:$A$108,0)),"")</x:f>
      </x:c>
      <x:c r="N533" s="21" t="str">
        <x:f>IFERROR(INDEX('Resultados'!$L$5:$L$108,MATCH($B533,'Resultados'!$A$5:$A$108,0)),"")</x:f>
      </x:c>
      <x:c r="O533" s="59" t="str">
        <x:f>IF(OR($I533="",$J533="",$L533="",$M533=""),"",IF(AND($H533="Sim",$L533=$M533),IF($I533&lt;&gt;$J533,0,IF(AND($I533=$L533,$J533=$M533),2,1)),IF(AND($I533=$L533,$J533=$M533),3,IF(AND($I533&lt;&gt;$J533,$I533=$M533,$J533=$L533),-2,IF(SIGN($I533-$J533)=SIGN($L533-$M533),1,0)))))</x:f>
      </x:c>
      <x:c r="P533" s="59" t="str">
        <x:f>IF(OR($H533&lt;&gt;"Sim",$I533="",$J533="",$L533="",$M533=""),"",IF(AND(IF($I533&gt;$J533,$F533,IF($I533&lt;$J533,$G533,$K533))&lt;&gt;"",IF($L533&gt;$M533,$F533,IF($L533&lt;$M533,$G533,$N533))&lt;&gt;"",IF($I533&gt;$J533,$F533,IF($I533&lt;$J533,$G533,$K533))=IF($L533&gt;$M533,$F533,IF($L533&lt;$M533,$G533,$N533))),1,0))</x:f>
      </x:c>
      <x:c r="Q533" s="59" t="str">
        <x:f>IF($O533="","",$O533+$P533)</x:f>
      </x:c>
      <x:c r="R533" s="59" t="str">
        <x:f>IF($Q533="","",IF($O533=3,"Cravada",IF(AND($H533="Sim",$L533=$M533,$I533=$J533,$O533=2),"Empate cravado",IF($O533=1,"Resultado certo",IF($O533=-2,"Invertida",IF($P533=1,"Acertou quem passa","Erro"))))))</x:f>
      </x:c>
      <x:c r="S533" s="59" t="str">
        <x:f>IF($O533="","",--(OR($O533=3,AND($H533="Sim",$L533=$M533,$I533=$J533,$O533=2))))</x:f>
      </x:c>
      <x:c r="T533" s="59" t="str">
        <x:f>IF($O533="","",--($O533=-2))</x:f>
      </x:c>
      <x:c r="U533" s="59" t="str">
        <x:f>IF($O533="","",--($O533=1))</x:f>
      </x:c>
      <x:c r="V533" s="59" t="n">
        <x:f>--(AND($I533&lt;&gt;"",$J533&lt;&gt;""))</x:f>
        <x:v>0</x:v>
      </x:c>
    </x:row>
    <x:row r="534">
      <x:c r="A534" s="21" t="str">
        <x:f>INDEX(Config!$B$10:$B$16,INT((ROW()-5)/104)+1)</x:f>
        <x:v>Vitão</x:v>
      </x:c>
      <x:c r="B534" s="21" t="str">
        <x:v>GB4</x:v>
      </x:c>
      <x:c r="C534" s="21" t="n">
        <x:v>10</x:v>
      </x:c>
      <x:c r="D534" s="21" t="str">
        <x:v>Grupo B</x:v>
      </x:c>
      <x:c r="E534" s="21" t="str">
        <x:v>2026-06-18</x:v>
      </x:c>
      <x:c r="F534" s="21" t="str">
        <x:f>IFERROR(INDEX('Resultados'!$G$5:$G$108,MATCH($B534,'Resultados'!$A$5:$A$108,0)),"")</x:f>
        <x:v>Bósnia-Herzegovina</x:v>
      </x:c>
      <x:c r="G534" s="21" t="str">
        <x:f>IFERROR(INDEX('Resultados'!$J$5:$J$108,MATCH($B534,'Resultados'!$A$5:$A$108,0)),"")</x:f>
        <x:v>Suíça</x:v>
      </x:c>
      <x:c r="H534" s="21" t="str">
        <x:v>Não</x:v>
      </x:c>
      <x:c r="I534" s="22"/>
      <x:c r="J534" s="22"/>
      <x:c r="K534" s="23"/>
      <x:c r="L534" s="21" t="str">
        <x:f>IFERROR(INDEX('Resultados'!$H$5:$H$108,MATCH($B534,'Resultados'!$A$5:$A$108,0)),"")</x:f>
      </x:c>
      <x:c r="M534" s="21" t="str">
        <x:f>IFERROR(INDEX('Resultados'!$I$5:$I$108,MATCH($B534,'Resultados'!$A$5:$A$108,0)),"")</x:f>
      </x:c>
      <x:c r="N534" s="21" t="str">
        <x:f>IFERROR(INDEX('Resultados'!$L$5:$L$108,MATCH($B534,'Resultados'!$A$5:$A$108,0)),"")</x:f>
      </x:c>
      <x:c r="O534" s="59" t="str">
        <x:f>IF(OR($I534="",$J534="",$L534="",$M534=""),"",IF(AND($H534="Sim",$L534=$M534),IF($I534&lt;&gt;$J534,0,IF(AND($I534=$L534,$J534=$M534),2,1)),IF(AND($I534=$L534,$J534=$M534),3,IF(AND($I534&lt;&gt;$J534,$I534=$M534,$J534=$L534),-2,IF(SIGN($I534-$J534)=SIGN($L534-$M534),1,0)))))</x:f>
      </x:c>
      <x:c r="P534" s="59" t="str">
        <x:f>IF(OR($H534&lt;&gt;"Sim",$I534="",$J534="",$L534="",$M534=""),"",IF(AND(IF($I534&gt;$J534,$F534,IF($I534&lt;$J534,$G534,$K534))&lt;&gt;"",IF($L534&gt;$M534,$F534,IF($L534&lt;$M534,$G534,$N534))&lt;&gt;"",IF($I534&gt;$J534,$F534,IF($I534&lt;$J534,$G534,$K534))=IF($L534&gt;$M534,$F534,IF($L534&lt;$M534,$G534,$N534))),1,0))</x:f>
      </x:c>
      <x:c r="Q534" s="59" t="str">
        <x:f>IF($O534="","",$O534+$P534)</x:f>
      </x:c>
      <x:c r="R534" s="59" t="str">
        <x:f>IF($Q534="","",IF($O534=3,"Cravada",IF(AND($H534="Sim",$L534=$M534,$I534=$J534,$O534=2),"Empate cravado",IF($O534=1,"Resultado certo",IF($O534=-2,"Invertida",IF($P534=1,"Acertou quem passa","Erro"))))))</x:f>
      </x:c>
      <x:c r="S534" s="59" t="str">
        <x:f>IF($O534="","",--(OR($O534=3,AND($H534="Sim",$L534=$M534,$I534=$J534,$O534=2))))</x:f>
      </x:c>
      <x:c r="T534" s="59" t="str">
        <x:f>IF($O534="","",--($O534=-2))</x:f>
      </x:c>
      <x:c r="U534" s="59" t="str">
        <x:f>IF($O534="","",--($O534=1))</x:f>
      </x:c>
      <x:c r="V534" s="59" t="n">
        <x:f>--(AND($I534&lt;&gt;"",$J534&lt;&gt;""))</x:f>
        <x:v>0</x:v>
      </x:c>
    </x:row>
    <x:row r="535">
      <x:c r="A535" s="21" t="str">
        <x:f>INDEX(Config!$B$10:$B$16,INT((ROW()-5)/104)+1)</x:f>
        <x:v>Vitão</x:v>
      </x:c>
      <x:c r="B535" s="21" t="str">
        <x:v>GB5</x:v>
      </x:c>
      <x:c r="C535" s="21" t="n">
        <x:v>11</x:v>
      </x:c>
      <x:c r="D535" s="21" t="str">
        <x:v>Grupo B</x:v>
      </x:c>
      <x:c r="E535" s="21" t="str">
        <x:v>2026-06-24</x:v>
      </x:c>
      <x:c r="F535" s="21" t="str">
        <x:f>IFERROR(INDEX('Resultados'!$G$5:$G$108,MATCH($B535,'Resultados'!$A$5:$A$108,0)),"")</x:f>
        <x:v>Canadá</x:v>
      </x:c>
      <x:c r="G535" s="21" t="str">
        <x:f>IFERROR(INDEX('Resultados'!$J$5:$J$108,MATCH($B535,'Resultados'!$A$5:$A$108,0)),"")</x:f>
        <x:v>Suíça</x:v>
      </x:c>
      <x:c r="H535" s="21" t="str">
        <x:v>Não</x:v>
      </x:c>
      <x:c r="I535" s="22"/>
      <x:c r="J535" s="22"/>
      <x:c r="K535" s="23"/>
      <x:c r="L535" s="21" t="str">
        <x:f>IFERROR(INDEX('Resultados'!$H$5:$H$108,MATCH($B535,'Resultados'!$A$5:$A$108,0)),"")</x:f>
      </x:c>
      <x:c r="M535" s="21" t="str">
        <x:f>IFERROR(INDEX('Resultados'!$I$5:$I$108,MATCH($B535,'Resultados'!$A$5:$A$108,0)),"")</x:f>
      </x:c>
      <x:c r="N535" s="21" t="str">
        <x:f>IFERROR(INDEX('Resultados'!$L$5:$L$108,MATCH($B535,'Resultados'!$A$5:$A$108,0)),"")</x:f>
      </x:c>
      <x:c r="O535" s="59" t="str">
        <x:f>IF(OR($I535="",$J535="",$L535="",$M535=""),"",IF(AND($H535="Sim",$L535=$M535),IF($I535&lt;&gt;$J535,0,IF(AND($I535=$L535,$J535=$M535),2,1)),IF(AND($I535=$L535,$J535=$M535),3,IF(AND($I535&lt;&gt;$J535,$I535=$M535,$J535=$L535),-2,IF(SIGN($I535-$J535)=SIGN($L535-$M535),1,0)))))</x:f>
      </x:c>
      <x:c r="P535" s="59" t="str">
        <x:f>IF(OR($H535&lt;&gt;"Sim",$I535="",$J535="",$L535="",$M535=""),"",IF(AND(IF($I535&gt;$J535,$F535,IF($I535&lt;$J535,$G535,$K535))&lt;&gt;"",IF($L535&gt;$M535,$F535,IF($L535&lt;$M535,$G535,$N535))&lt;&gt;"",IF($I535&gt;$J535,$F535,IF($I535&lt;$J535,$G535,$K535))=IF($L535&gt;$M535,$F535,IF($L535&lt;$M535,$G535,$N535))),1,0))</x:f>
      </x:c>
      <x:c r="Q535" s="59" t="str">
        <x:f>IF($O535="","",$O535+$P535)</x:f>
      </x:c>
      <x:c r="R535" s="59" t="str">
        <x:f>IF($Q535="","",IF($O535=3,"Cravada",IF(AND($H535="Sim",$L535=$M535,$I535=$J535,$O535=2),"Empate cravado",IF($O535=1,"Resultado certo",IF($O535=-2,"Invertida",IF($P535=1,"Acertou quem passa","Erro"))))))</x:f>
      </x:c>
      <x:c r="S535" s="59" t="str">
        <x:f>IF($O535="","",--(OR($O535=3,AND($H535="Sim",$L535=$M535,$I535=$J535,$O535=2))))</x:f>
      </x:c>
      <x:c r="T535" s="59" t="str">
        <x:f>IF($O535="","",--($O535=-2))</x:f>
      </x:c>
      <x:c r="U535" s="59" t="str">
        <x:f>IF($O535="","",--($O535=1))</x:f>
      </x:c>
      <x:c r="V535" s="59" t="n">
        <x:f>--(AND($I535&lt;&gt;"",$J535&lt;&gt;""))</x:f>
        <x:v>0</x:v>
      </x:c>
    </x:row>
    <x:row r="536">
      <x:c r="A536" s="21" t="str">
        <x:f>INDEX(Config!$B$10:$B$16,INT((ROW()-5)/104)+1)</x:f>
        <x:v>Vitão</x:v>
      </x:c>
      <x:c r="B536" s="21" t="str">
        <x:v>GB6</x:v>
      </x:c>
      <x:c r="C536" s="21" t="n">
        <x:v>12</x:v>
      </x:c>
      <x:c r="D536" s="21" t="str">
        <x:v>Grupo B</x:v>
      </x:c>
      <x:c r="E536" s="21" t="str">
        <x:v>2026-06-24</x:v>
      </x:c>
      <x:c r="F536" s="21" t="str">
        <x:f>IFERROR(INDEX('Resultados'!$G$5:$G$108,MATCH($B536,'Resultados'!$A$5:$A$108,0)),"")</x:f>
        <x:v>Bósnia-Herzegovina</x:v>
      </x:c>
      <x:c r="G536" s="21" t="str">
        <x:f>IFERROR(INDEX('Resultados'!$J$5:$J$108,MATCH($B536,'Resultados'!$A$5:$A$108,0)),"")</x:f>
        <x:v>Catar</x:v>
      </x:c>
      <x:c r="H536" s="21" t="str">
        <x:v>Não</x:v>
      </x:c>
      <x:c r="I536" s="22"/>
      <x:c r="J536" s="22"/>
      <x:c r="K536" s="23"/>
      <x:c r="L536" s="21" t="str">
        <x:f>IFERROR(INDEX('Resultados'!$H$5:$H$108,MATCH($B536,'Resultados'!$A$5:$A$108,0)),"")</x:f>
      </x:c>
      <x:c r="M536" s="21" t="str">
        <x:f>IFERROR(INDEX('Resultados'!$I$5:$I$108,MATCH($B536,'Resultados'!$A$5:$A$108,0)),"")</x:f>
      </x:c>
      <x:c r="N536" s="21" t="str">
        <x:f>IFERROR(INDEX('Resultados'!$L$5:$L$108,MATCH($B536,'Resultados'!$A$5:$A$108,0)),"")</x:f>
      </x:c>
      <x:c r="O536" s="59" t="str">
        <x:f>IF(OR($I536="",$J536="",$L536="",$M536=""),"",IF(AND($H536="Sim",$L536=$M536),IF($I536&lt;&gt;$J536,0,IF(AND($I536=$L536,$J536=$M536),2,1)),IF(AND($I536=$L536,$J536=$M536),3,IF(AND($I536&lt;&gt;$J536,$I536=$M536,$J536=$L536),-2,IF(SIGN($I536-$J536)=SIGN($L536-$M536),1,0)))))</x:f>
      </x:c>
      <x:c r="P536" s="59" t="str">
        <x:f>IF(OR($H536&lt;&gt;"Sim",$I536="",$J536="",$L536="",$M536=""),"",IF(AND(IF($I536&gt;$J536,$F536,IF($I536&lt;$J536,$G536,$K536))&lt;&gt;"",IF($L536&gt;$M536,$F536,IF($L536&lt;$M536,$G536,$N536))&lt;&gt;"",IF($I536&gt;$J536,$F536,IF($I536&lt;$J536,$G536,$K536))=IF($L536&gt;$M536,$F536,IF($L536&lt;$M536,$G536,$N536))),1,0))</x:f>
      </x:c>
      <x:c r="Q536" s="59" t="str">
        <x:f>IF($O536="","",$O536+$P536)</x:f>
      </x:c>
      <x:c r="R536" s="59" t="str">
        <x:f>IF($Q536="","",IF($O536=3,"Cravada",IF(AND($H536="Sim",$L536=$M536,$I536=$J536,$O536=2),"Empate cravado",IF($O536=1,"Resultado certo",IF($O536=-2,"Invertida",IF($P536=1,"Acertou quem passa","Erro"))))))</x:f>
      </x:c>
      <x:c r="S536" s="59" t="str">
        <x:f>IF($O536="","",--(OR($O536=3,AND($H536="Sim",$L536=$M536,$I536=$J536,$O536=2))))</x:f>
      </x:c>
      <x:c r="T536" s="59" t="str">
        <x:f>IF($O536="","",--($O536=-2))</x:f>
      </x:c>
      <x:c r="U536" s="59" t="str">
        <x:f>IF($O536="","",--($O536=1))</x:f>
      </x:c>
      <x:c r="V536" s="59" t="n">
        <x:f>--(AND($I536&lt;&gt;"",$J536&lt;&gt;""))</x:f>
        <x:v>0</x:v>
      </x:c>
    </x:row>
    <x:row r="537">
      <x:c r="A537" s="21" t="str">
        <x:f>INDEX(Config!$B$10:$B$16,INT((ROW()-5)/104)+1)</x:f>
        <x:v>Vitão</x:v>
      </x:c>
      <x:c r="B537" s="21" t="str">
        <x:v>GC1</x:v>
      </x:c>
      <x:c r="C537" s="21" t="n">
        <x:v>13</x:v>
      </x:c>
      <x:c r="D537" s="21" t="str">
        <x:v>Grupo C</x:v>
      </x:c>
      <x:c r="E537" s="21" t="str">
        <x:v>2026-06-13</x:v>
      </x:c>
      <x:c r="F537" s="21" t="str">
        <x:f>IFERROR(INDEX('Resultados'!$G$5:$G$108,MATCH($B537,'Resultados'!$A$5:$A$108,0)),"")</x:f>
        <x:v>Brasil</x:v>
      </x:c>
      <x:c r="G537" s="21" t="str">
        <x:f>IFERROR(INDEX('Resultados'!$J$5:$J$108,MATCH($B537,'Resultados'!$A$5:$A$108,0)),"")</x:f>
        <x:v>Marrocos</x:v>
      </x:c>
      <x:c r="H537" s="21" t="str">
        <x:v>Não</x:v>
      </x:c>
      <x:c r="I537" s="22"/>
      <x:c r="J537" s="22"/>
      <x:c r="K537" s="23"/>
      <x:c r="L537" s="21" t="str">
        <x:f>IFERROR(INDEX('Resultados'!$H$5:$H$108,MATCH($B537,'Resultados'!$A$5:$A$108,0)),"")</x:f>
      </x:c>
      <x:c r="M537" s="21" t="str">
        <x:f>IFERROR(INDEX('Resultados'!$I$5:$I$108,MATCH($B537,'Resultados'!$A$5:$A$108,0)),"")</x:f>
      </x:c>
      <x:c r="N537" s="21" t="str">
        <x:f>IFERROR(INDEX('Resultados'!$L$5:$L$108,MATCH($B537,'Resultados'!$A$5:$A$108,0)),"")</x:f>
      </x:c>
      <x:c r="O537" s="59" t="str">
        <x:f>IF(OR($I537="",$J537="",$L537="",$M537=""),"",IF(AND($H537="Sim",$L537=$M537),IF($I537&lt;&gt;$J537,0,IF(AND($I537=$L537,$J537=$M537),2,1)),IF(AND($I537=$L537,$J537=$M537),3,IF(AND($I537&lt;&gt;$J537,$I537=$M537,$J537=$L537),-2,IF(SIGN($I537-$J537)=SIGN($L537-$M537),1,0)))))</x:f>
      </x:c>
      <x:c r="P537" s="59" t="str">
        <x:f>IF(OR($H537&lt;&gt;"Sim",$I537="",$J537="",$L537="",$M537=""),"",IF(AND(IF($I537&gt;$J537,$F537,IF($I537&lt;$J537,$G537,$K537))&lt;&gt;"",IF($L537&gt;$M537,$F537,IF($L537&lt;$M537,$G537,$N537))&lt;&gt;"",IF($I537&gt;$J537,$F537,IF($I537&lt;$J537,$G537,$K537))=IF($L537&gt;$M537,$F537,IF($L537&lt;$M537,$G537,$N537))),1,0))</x:f>
      </x:c>
      <x:c r="Q537" s="59" t="str">
        <x:f>IF($O537="","",$O537+$P537)</x:f>
      </x:c>
      <x:c r="R537" s="59" t="str">
        <x:f>IF($Q537="","",IF($O537=3,"Cravada",IF(AND($H537="Sim",$L537=$M537,$I537=$J537,$O537=2),"Empate cravado",IF($O537=1,"Resultado certo",IF($O537=-2,"Invertida",IF($P537=1,"Acertou quem passa","Erro"))))))</x:f>
      </x:c>
      <x:c r="S537" s="59" t="str">
        <x:f>IF($O537="","",--(OR($O537=3,AND($H537="Sim",$L537=$M537,$I537=$J537,$O537=2))))</x:f>
      </x:c>
      <x:c r="T537" s="59" t="str">
        <x:f>IF($O537="","",--($O537=-2))</x:f>
      </x:c>
      <x:c r="U537" s="59" t="str">
        <x:f>IF($O537="","",--($O537=1))</x:f>
      </x:c>
      <x:c r="V537" s="59" t="n">
        <x:f>--(AND($I537&lt;&gt;"",$J537&lt;&gt;""))</x:f>
        <x:v>0</x:v>
      </x:c>
    </x:row>
    <x:row r="538">
      <x:c r="A538" s="21" t="str">
        <x:f>INDEX(Config!$B$10:$B$16,INT((ROW()-5)/104)+1)</x:f>
        <x:v>Vitão</x:v>
      </x:c>
      <x:c r="B538" s="21" t="str">
        <x:v>GC2</x:v>
      </x:c>
      <x:c r="C538" s="21" t="n">
        <x:v>14</x:v>
      </x:c>
      <x:c r="D538" s="21" t="str">
        <x:v>Grupo C</x:v>
      </x:c>
      <x:c r="E538" s="21" t="str">
        <x:v>2026-06-13</x:v>
      </x:c>
      <x:c r="F538" s="21" t="str">
        <x:f>IFERROR(INDEX('Resultados'!$G$5:$G$108,MATCH($B538,'Resultados'!$A$5:$A$108,0)),"")</x:f>
        <x:v>Haiti</x:v>
      </x:c>
      <x:c r="G538" s="21" t="str">
        <x:f>IFERROR(INDEX('Resultados'!$J$5:$J$108,MATCH($B538,'Resultados'!$A$5:$A$108,0)),"")</x:f>
        <x:v>Escócia</x:v>
      </x:c>
      <x:c r="H538" s="21" t="str">
        <x:v>Não</x:v>
      </x:c>
      <x:c r="I538" s="22"/>
      <x:c r="J538" s="22"/>
      <x:c r="K538" s="23"/>
      <x:c r="L538" s="21" t="str">
        <x:f>IFERROR(INDEX('Resultados'!$H$5:$H$108,MATCH($B538,'Resultados'!$A$5:$A$108,0)),"")</x:f>
      </x:c>
      <x:c r="M538" s="21" t="str">
        <x:f>IFERROR(INDEX('Resultados'!$I$5:$I$108,MATCH($B538,'Resultados'!$A$5:$A$108,0)),"")</x:f>
      </x:c>
      <x:c r="N538" s="21" t="str">
        <x:f>IFERROR(INDEX('Resultados'!$L$5:$L$108,MATCH($B538,'Resultados'!$A$5:$A$108,0)),"")</x:f>
      </x:c>
      <x:c r="O538" s="59" t="str">
        <x:f>IF(OR($I538="",$J538="",$L538="",$M538=""),"",IF(AND($H538="Sim",$L538=$M538),IF($I538&lt;&gt;$J538,0,IF(AND($I538=$L538,$J538=$M538),2,1)),IF(AND($I538=$L538,$J538=$M538),3,IF(AND($I538&lt;&gt;$J538,$I538=$M538,$J538=$L538),-2,IF(SIGN($I538-$J538)=SIGN($L538-$M538),1,0)))))</x:f>
      </x:c>
      <x:c r="P538" s="59" t="str">
        <x:f>IF(OR($H538&lt;&gt;"Sim",$I538="",$J538="",$L538="",$M538=""),"",IF(AND(IF($I538&gt;$J538,$F538,IF($I538&lt;$J538,$G538,$K538))&lt;&gt;"",IF($L538&gt;$M538,$F538,IF($L538&lt;$M538,$G538,$N538))&lt;&gt;"",IF($I538&gt;$J538,$F538,IF($I538&lt;$J538,$G538,$K538))=IF($L538&gt;$M538,$F538,IF($L538&lt;$M538,$G538,$N538))),1,0))</x:f>
      </x:c>
      <x:c r="Q538" s="59" t="str">
        <x:f>IF($O538="","",$O538+$P538)</x:f>
      </x:c>
      <x:c r="R538" s="59" t="str">
        <x:f>IF($Q538="","",IF($O538=3,"Cravada",IF(AND($H538="Sim",$L538=$M538,$I538=$J538,$O538=2),"Empate cravado",IF($O538=1,"Resultado certo",IF($O538=-2,"Invertida",IF($P538=1,"Acertou quem passa","Erro"))))))</x:f>
      </x:c>
      <x:c r="S538" s="59" t="str">
        <x:f>IF($O538="","",--(OR($O538=3,AND($H538="Sim",$L538=$M538,$I538=$J538,$O538=2))))</x:f>
      </x:c>
      <x:c r="T538" s="59" t="str">
        <x:f>IF($O538="","",--($O538=-2))</x:f>
      </x:c>
      <x:c r="U538" s="59" t="str">
        <x:f>IF($O538="","",--($O538=1))</x:f>
      </x:c>
      <x:c r="V538" s="59" t="n">
        <x:f>--(AND($I538&lt;&gt;"",$J538&lt;&gt;""))</x:f>
        <x:v>0</x:v>
      </x:c>
    </x:row>
    <x:row r="539">
      <x:c r="A539" s="21" t="str">
        <x:f>INDEX(Config!$B$10:$B$16,INT((ROW()-5)/104)+1)</x:f>
        <x:v>Vitão</x:v>
      </x:c>
      <x:c r="B539" s="21" t="str">
        <x:v>GC3</x:v>
      </x:c>
      <x:c r="C539" s="21" t="n">
        <x:v>15</x:v>
      </x:c>
      <x:c r="D539" s="21" t="str">
        <x:v>Grupo C</x:v>
      </x:c>
      <x:c r="E539" s="21" t="str">
        <x:v>2026-06-19</x:v>
      </x:c>
      <x:c r="F539" s="21" t="str">
        <x:f>IFERROR(INDEX('Resultados'!$G$5:$G$108,MATCH($B539,'Resultados'!$A$5:$A$108,0)),"")</x:f>
        <x:v>Brasil</x:v>
      </x:c>
      <x:c r="G539" s="21" t="str">
        <x:f>IFERROR(INDEX('Resultados'!$J$5:$J$108,MATCH($B539,'Resultados'!$A$5:$A$108,0)),"")</x:f>
        <x:v>Haiti</x:v>
      </x:c>
      <x:c r="H539" s="21" t="str">
        <x:v>Não</x:v>
      </x:c>
      <x:c r="I539" s="22"/>
      <x:c r="J539" s="22"/>
      <x:c r="K539" s="23"/>
      <x:c r="L539" s="21" t="str">
        <x:f>IFERROR(INDEX('Resultados'!$H$5:$H$108,MATCH($B539,'Resultados'!$A$5:$A$108,0)),"")</x:f>
      </x:c>
      <x:c r="M539" s="21" t="str">
        <x:f>IFERROR(INDEX('Resultados'!$I$5:$I$108,MATCH($B539,'Resultados'!$A$5:$A$108,0)),"")</x:f>
      </x:c>
      <x:c r="N539" s="21" t="str">
        <x:f>IFERROR(INDEX('Resultados'!$L$5:$L$108,MATCH($B539,'Resultados'!$A$5:$A$108,0)),"")</x:f>
      </x:c>
      <x:c r="O539" s="59" t="str">
        <x:f>IF(OR($I539="",$J539="",$L539="",$M539=""),"",IF(AND($H539="Sim",$L539=$M539),IF($I539&lt;&gt;$J539,0,IF(AND($I539=$L539,$J539=$M539),2,1)),IF(AND($I539=$L539,$J539=$M539),3,IF(AND($I539&lt;&gt;$J539,$I539=$M539,$J539=$L539),-2,IF(SIGN($I539-$J539)=SIGN($L539-$M539),1,0)))))</x:f>
      </x:c>
      <x:c r="P539" s="59" t="str">
        <x:f>IF(OR($H539&lt;&gt;"Sim",$I539="",$J539="",$L539="",$M539=""),"",IF(AND(IF($I539&gt;$J539,$F539,IF($I539&lt;$J539,$G539,$K539))&lt;&gt;"",IF($L539&gt;$M539,$F539,IF($L539&lt;$M539,$G539,$N539))&lt;&gt;"",IF($I539&gt;$J539,$F539,IF($I539&lt;$J539,$G539,$K539))=IF($L539&gt;$M539,$F539,IF($L539&lt;$M539,$G539,$N539))),1,0))</x:f>
      </x:c>
      <x:c r="Q539" s="59" t="str">
        <x:f>IF($O539="","",$O539+$P539)</x:f>
      </x:c>
      <x:c r="R539" s="59" t="str">
        <x:f>IF($Q539="","",IF($O539=3,"Cravada",IF(AND($H539="Sim",$L539=$M539,$I539=$J539,$O539=2),"Empate cravado",IF($O539=1,"Resultado certo",IF($O539=-2,"Invertida",IF($P539=1,"Acertou quem passa","Erro"))))))</x:f>
      </x:c>
      <x:c r="S539" s="59" t="str">
        <x:f>IF($O539="","",--(OR($O539=3,AND($H539="Sim",$L539=$M539,$I539=$J539,$O539=2))))</x:f>
      </x:c>
      <x:c r="T539" s="59" t="str">
        <x:f>IF($O539="","",--($O539=-2))</x:f>
      </x:c>
      <x:c r="U539" s="59" t="str">
        <x:f>IF($O539="","",--($O539=1))</x:f>
      </x:c>
      <x:c r="V539" s="59" t="n">
        <x:f>--(AND($I539&lt;&gt;"",$J539&lt;&gt;""))</x:f>
        <x:v>0</x:v>
      </x:c>
    </x:row>
    <x:row r="540">
      <x:c r="A540" s="21" t="str">
        <x:f>INDEX(Config!$B$10:$B$16,INT((ROW()-5)/104)+1)</x:f>
        <x:v>Vitão</x:v>
      </x:c>
      <x:c r="B540" s="21" t="str">
        <x:v>GC4</x:v>
      </x:c>
      <x:c r="C540" s="21" t="n">
        <x:v>16</x:v>
      </x:c>
      <x:c r="D540" s="21" t="str">
        <x:v>Grupo C</x:v>
      </x:c>
      <x:c r="E540" s="21" t="str">
        <x:v>2026-06-19</x:v>
      </x:c>
      <x:c r="F540" s="21" t="str">
        <x:f>IFERROR(INDEX('Resultados'!$G$5:$G$108,MATCH($B540,'Resultados'!$A$5:$A$108,0)),"")</x:f>
        <x:v>Marrocos</x:v>
      </x:c>
      <x:c r="G540" s="21" t="str">
        <x:f>IFERROR(INDEX('Resultados'!$J$5:$J$108,MATCH($B540,'Resultados'!$A$5:$A$108,0)),"")</x:f>
        <x:v>Escócia</x:v>
      </x:c>
      <x:c r="H540" s="21" t="str">
        <x:v>Não</x:v>
      </x:c>
      <x:c r="I540" s="22"/>
      <x:c r="J540" s="22"/>
      <x:c r="K540" s="23"/>
      <x:c r="L540" s="21" t="str">
        <x:f>IFERROR(INDEX('Resultados'!$H$5:$H$108,MATCH($B540,'Resultados'!$A$5:$A$108,0)),"")</x:f>
      </x:c>
      <x:c r="M540" s="21" t="str">
        <x:f>IFERROR(INDEX('Resultados'!$I$5:$I$108,MATCH($B540,'Resultados'!$A$5:$A$108,0)),"")</x:f>
      </x:c>
      <x:c r="N540" s="21" t="str">
        <x:f>IFERROR(INDEX('Resultados'!$L$5:$L$108,MATCH($B540,'Resultados'!$A$5:$A$108,0)),"")</x:f>
      </x:c>
      <x:c r="O540" s="59" t="str">
        <x:f>IF(OR($I540="",$J540="",$L540="",$M540=""),"",IF(AND($H540="Sim",$L540=$M540),IF($I540&lt;&gt;$J540,0,IF(AND($I540=$L540,$J540=$M540),2,1)),IF(AND($I540=$L540,$J540=$M540),3,IF(AND($I540&lt;&gt;$J540,$I540=$M540,$J540=$L540),-2,IF(SIGN($I540-$J540)=SIGN($L540-$M540),1,0)))))</x:f>
      </x:c>
      <x:c r="P540" s="59" t="str">
        <x:f>IF(OR($H540&lt;&gt;"Sim",$I540="",$J540="",$L540="",$M540=""),"",IF(AND(IF($I540&gt;$J540,$F540,IF($I540&lt;$J540,$G540,$K540))&lt;&gt;"",IF($L540&gt;$M540,$F540,IF($L540&lt;$M540,$G540,$N540))&lt;&gt;"",IF($I540&gt;$J540,$F540,IF($I540&lt;$J540,$G540,$K540))=IF($L540&gt;$M540,$F540,IF($L540&lt;$M540,$G540,$N540))),1,0))</x:f>
      </x:c>
      <x:c r="Q540" s="59" t="str">
        <x:f>IF($O540="","",$O540+$P540)</x:f>
      </x:c>
      <x:c r="R540" s="59" t="str">
        <x:f>IF($Q540="","",IF($O540=3,"Cravada",IF(AND($H540="Sim",$L540=$M540,$I540=$J540,$O540=2),"Empate cravado",IF($O540=1,"Resultado certo",IF($O540=-2,"Invertida",IF($P540=1,"Acertou quem passa","Erro"))))))</x:f>
      </x:c>
      <x:c r="S540" s="59" t="str">
        <x:f>IF($O540="","",--(OR($O540=3,AND($H540="Sim",$L540=$M540,$I540=$J540,$O540=2))))</x:f>
      </x:c>
      <x:c r="T540" s="59" t="str">
        <x:f>IF($O540="","",--($O540=-2))</x:f>
      </x:c>
      <x:c r="U540" s="59" t="str">
        <x:f>IF($O540="","",--($O540=1))</x:f>
      </x:c>
      <x:c r="V540" s="59" t="n">
        <x:f>--(AND($I540&lt;&gt;"",$J540&lt;&gt;""))</x:f>
        <x:v>0</x:v>
      </x:c>
    </x:row>
    <x:row r="541">
      <x:c r="A541" s="21" t="str">
        <x:f>INDEX(Config!$B$10:$B$16,INT((ROW()-5)/104)+1)</x:f>
        <x:v>Vitão</x:v>
      </x:c>
      <x:c r="B541" s="21" t="str">
        <x:v>GC5</x:v>
      </x:c>
      <x:c r="C541" s="21" t="n">
        <x:v>17</x:v>
      </x:c>
      <x:c r="D541" s="21" t="str">
        <x:v>Grupo C</x:v>
      </x:c>
      <x:c r="E541" s="21" t="str">
        <x:v>2026-06-24</x:v>
      </x:c>
      <x:c r="F541" s="21" t="str">
        <x:f>IFERROR(INDEX('Resultados'!$G$5:$G$108,MATCH($B541,'Resultados'!$A$5:$A$108,0)),"")</x:f>
        <x:v>Brasil</x:v>
      </x:c>
      <x:c r="G541" s="21" t="str">
        <x:f>IFERROR(INDEX('Resultados'!$J$5:$J$108,MATCH($B541,'Resultados'!$A$5:$A$108,0)),"")</x:f>
        <x:v>Escócia</x:v>
      </x:c>
      <x:c r="H541" s="21" t="str">
        <x:v>Não</x:v>
      </x:c>
      <x:c r="I541" s="22"/>
      <x:c r="J541" s="22"/>
      <x:c r="K541" s="23"/>
      <x:c r="L541" s="21" t="str">
        <x:f>IFERROR(INDEX('Resultados'!$H$5:$H$108,MATCH($B541,'Resultados'!$A$5:$A$108,0)),"")</x:f>
      </x:c>
      <x:c r="M541" s="21" t="str">
        <x:f>IFERROR(INDEX('Resultados'!$I$5:$I$108,MATCH($B541,'Resultados'!$A$5:$A$108,0)),"")</x:f>
      </x:c>
      <x:c r="N541" s="21" t="str">
        <x:f>IFERROR(INDEX('Resultados'!$L$5:$L$108,MATCH($B541,'Resultados'!$A$5:$A$108,0)),"")</x:f>
      </x:c>
      <x:c r="O541" s="59" t="str">
        <x:f>IF(OR($I541="",$J541="",$L541="",$M541=""),"",IF(AND($H541="Sim",$L541=$M541),IF($I541&lt;&gt;$J541,0,IF(AND($I541=$L541,$J541=$M541),2,1)),IF(AND($I541=$L541,$J541=$M541),3,IF(AND($I541&lt;&gt;$J541,$I541=$M541,$J541=$L541),-2,IF(SIGN($I541-$J541)=SIGN($L541-$M541),1,0)))))</x:f>
      </x:c>
      <x:c r="P541" s="59" t="str">
        <x:f>IF(OR($H541&lt;&gt;"Sim",$I541="",$J541="",$L541="",$M541=""),"",IF(AND(IF($I541&gt;$J541,$F541,IF($I541&lt;$J541,$G541,$K541))&lt;&gt;"",IF($L541&gt;$M541,$F541,IF($L541&lt;$M541,$G541,$N541))&lt;&gt;"",IF($I541&gt;$J541,$F541,IF($I541&lt;$J541,$G541,$K541))=IF($L541&gt;$M541,$F541,IF($L541&lt;$M541,$G541,$N541))),1,0))</x:f>
      </x:c>
      <x:c r="Q541" s="59" t="str">
        <x:f>IF($O541="","",$O541+$P541)</x:f>
      </x:c>
      <x:c r="R541" s="59" t="str">
        <x:f>IF($Q541="","",IF($O541=3,"Cravada",IF(AND($H541="Sim",$L541=$M541,$I541=$J541,$O541=2),"Empate cravado",IF($O541=1,"Resultado certo",IF($O541=-2,"Invertida",IF($P541=1,"Acertou quem passa","Erro"))))))</x:f>
      </x:c>
      <x:c r="S541" s="59" t="str">
        <x:f>IF($O541="","",--(OR($O541=3,AND($H541="Sim",$L541=$M541,$I541=$J541,$O541=2))))</x:f>
      </x:c>
      <x:c r="T541" s="59" t="str">
        <x:f>IF($O541="","",--($O541=-2))</x:f>
      </x:c>
      <x:c r="U541" s="59" t="str">
        <x:f>IF($O541="","",--($O541=1))</x:f>
      </x:c>
      <x:c r="V541" s="59" t="n">
        <x:f>--(AND($I541&lt;&gt;"",$J541&lt;&gt;""))</x:f>
        <x:v>0</x:v>
      </x:c>
    </x:row>
    <x:row r="542">
      <x:c r="A542" s="21" t="str">
        <x:f>INDEX(Config!$B$10:$B$16,INT((ROW()-5)/104)+1)</x:f>
        <x:v>Vitão</x:v>
      </x:c>
      <x:c r="B542" s="21" t="str">
        <x:v>GC6</x:v>
      </x:c>
      <x:c r="C542" s="21" t="n">
        <x:v>18</x:v>
      </x:c>
      <x:c r="D542" s="21" t="str">
        <x:v>Grupo C</x:v>
      </x:c>
      <x:c r="E542" s="21" t="str">
        <x:v>2026-06-24</x:v>
      </x:c>
      <x:c r="F542" s="21" t="str">
        <x:f>IFERROR(INDEX('Resultados'!$G$5:$G$108,MATCH($B542,'Resultados'!$A$5:$A$108,0)),"")</x:f>
        <x:v>Marrocos</x:v>
      </x:c>
      <x:c r="G542" s="21" t="str">
        <x:f>IFERROR(INDEX('Resultados'!$J$5:$J$108,MATCH($B542,'Resultados'!$A$5:$A$108,0)),"")</x:f>
        <x:v>Haiti</x:v>
      </x:c>
      <x:c r="H542" s="21" t="str">
        <x:v>Não</x:v>
      </x:c>
      <x:c r="I542" s="22"/>
      <x:c r="J542" s="22"/>
      <x:c r="K542" s="23"/>
      <x:c r="L542" s="21" t="str">
        <x:f>IFERROR(INDEX('Resultados'!$H$5:$H$108,MATCH($B542,'Resultados'!$A$5:$A$108,0)),"")</x:f>
      </x:c>
      <x:c r="M542" s="21" t="str">
        <x:f>IFERROR(INDEX('Resultados'!$I$5:$I$108,MATCH($B542,'Resultados'!$A$5:$A$108,0)),"")</x:f>
      </x:c>
      <x:c r="N542" s="21" t="str">
        <x:f>IFERROR(INDEX('Resultados'!$L$5:$L$108,MATCH($B542,'Resultados'!$A$5:$A$108,0)),"")</x:f>
      </x:c>
      <x:c r="O542" s="59" t="str">
        <x:f>IF(OR($I542="",$J542="",$L542="",$M542=""),"",IF(AND($H542="Sim",$L542=$M542),IF($I542&lt;&gt;$J542,0,IF(AND($I542=$L542,$J542=$M542),2,1)),IF(AND($I542=$L542,$J542=$M542),3,IF(AND($I542&lt;&gt;$J542,$I542=$M542,$J542=$L542),-2,IF(SIGN($I542-$J542)=SIGN($L542-$M542),1,0)))))</x:f>
      </x:c>
      <x:c r="P542" s="59" t="str">
        <x:f>IF(OR($H542&lt;&gt;"Sim",$I542="",$J542="",$L542="",$M542=""),"",IF(AND(IF($I542&gt;$J542,$F542,IF($I542&lt;$J542,$G542,$K542))&lt;&gt;"",IF($L542&gt;$M542,$F542,IF($L542&lt;$M542,$G542,$N542))&lt;&gt;"",IF($I542&gt;$J542,$F542,IF($I542&lt;$J542,$G542,$K542))=IF($L542&gt;$M542,$F542,IF($L542&lt;$M542,$G542,$N542))),1,0))</x:f>
      </x:c>
      <x:c r="Q542" s="59" t="str">
        <x:f>IF($O542="","",$O542+$P542)</x:f>
      </x:c>
      <x:c r="R542" s="59" t="str">
        <x:f>IF($Q542="","",IF($O542=3,"Cravada",IF(AND($H542="Sim",$L542=$M542,$I542=$J542,$O542=2),"Empate cravado",IF($O542=1,"Resultado certo",IF($O542=-2,"Invertida",IF($P542=1,"Acertou quem passa","Erro"))))))</x:f>
      </x:c>
      <x:c r="S542" s="59" t="str">
        <x:f>IF($O542="","",--(OR($O542=3,AND($H542="Sim",$L542=$M542,$I542=$J542,$O542=2))))</x:f>
      </x:c>
      <x:c r="T542" s="59" t="str">
        <x:f>IF($O542="","",--($O542=-2))</x:f>
      </x:c>
      <x:c r="U542" s="59" t="str">
        <x:f>IF($O542="","",--($O542=1))</x:f>
      </x:c>
      <x:c r="V542" s="59" t="n">
        <x:f>--(AND($I542&lt;&gt;"",$J542&lt;&gt;""))</x:f>
        <x:v>0</x:v>
      </x:c>
    </x:row>
    <x:row r="543">
      <x:c r="A543" s="21" t="str">
        <x:f>INDEX(Config!$B$10:$B$16,INT((ROW()-5)/104)+1)</x:f>
        <x:v>Vitão</x:v>
      </x:c>
      <x:c r="B543" s="21" t="str">
        <x:v>GD1</x:v>
      </x:c>
      <x:c r="C543" s="21" t="n">
        <x:v>19</x:v>
      </x:c>
      <x:c r="D543" s="21" t="str">
        <x:v>Grupo D</x:v>
      </x:c>
      <x:c r="E543" s="21" t="str">
        <x:v>2026-06-12</x:v>
      </x:c>
      <x:c r="F543" s="21" t="str">
        <x:f>IFERROR(INDEX('Resultados'!$G$5:$G$108,MATCH($B543,'Resultados'!$A$5:$A$108,0)),"")</x:f>
        <x:v>EUA</x:v>
      </x:c>
      <x:c r="G543" s="21" t="str">
        <x:f>IFERROR(INDEX('Resultados'!$J$5:$J$108,MATCH($B543,'Resultados'!$A$5:$A$108,0)),"")</x:f>
        <x:v>Paraguai</x:v>
      </x:c>
      <x:c r="H543" s="21" t="str">
        <x:v>Não</x:v>
      </x:c>
      <x:c r="I543" s="22"/>
      <x:c r="J543" s="22"/>
      <x:c r="K543" s="23"/>
      <x:c r="L543" s="21" t="str">
        <x:f>IFERROR(INDEX('Resultados'!$H$5:$H$108,MATCH($B543,'Resultados'!$A$5:$A$108,0)),"")</x:f>
      </x:c>
      <x:c r="M543" s="21" t="str">
        <x:f>IFERROR(INDEX('Resultados'!$I$5:$I$108,MATCH($B543,'Resultados'!$A$5:$A$108,0)),"")</x:f>
      </x:c>
      <x:c r="N543" s="21" t="str">
        <x:f>IFERROR(INDEX('Resultados'!$L$5:$L$108,MATCH($B543,'Resultados'!$A$5:$A$108,0)),"")</x:f>
      </x:c>
      <x:c r="O543" s="59" t="str">
        <x:f>IF(OR($I543="",$J543="",$L543="",$M543=""),"",IF(AND($H543="Sim",$L543=$M543),IF($I543&lt;&gt;$J543,0,IF(AND($I543=$L543,$J543=$M543),2,1)),IF(AND($I543=$L543,$J543=$M543),3,IF(AND($I543&lt;&gt;$J543,$I543=$M543,$J543=$L543),-2,IF(SIGN($I543-$J543)=SIGN($L543-$M543),1,0)))))</x:f>
      </x:c>
      <x:c r="P543" s="59" t="str">
        <x:f>IF(OR($H543&lt;&gt;"Sim",$I543="",$J543="",$L543="",$M543=""),"",IF(AND(IF($I543&gt;$J543,$F543,IF($I543&lt;$J543,$G543,$K543))&lt;&gt;"",IF($L543&gt;$M543,$F543,IF($L543&lt;$M543,$G543,$N543))&lt;&gt;"",IF($I543&gt;$J543,$F543,IF($I543&lt;$J543,$G543,$K543))=IF($L543&gt;$M543,$F543,IF($L543&lt;$M543,$G543,$N543))),1,0))</x:f>
      </x:c>
      <x:c r="Q543" s="59" t="str">
        <x:f>IF($O543="","",$O543+$P543)</x:f>
      </x:c>
      <x:c r="R543" s="59" t="str">
        <x:f>IF($Q543="","",IF($O543=3,"Cravada",IF(AND($H543="Sim",$L543=$M543,$I543=$J543,$O543=2),"Empate cravado",IF($O543=1,"Resultado certo",IF($O543=-2,"Invertida",IF($P543=1,"Acertou quem passa","Erro"))))))</x:f>
      </x:c>
      <x:c r="S543" s="59" t="str">
        <x:f>IF($O543="","",--(OR($O543=3,AND($H543="Sim",$L543=$M543,$I543=$J543,$O543=2))))</x:f>
      </x:c>
      <x:c r="T543" s="59" t="str">
        <x:f>IF($O543="","",--($O543=-2))</x:f>
      </x:c>
      <x:c r="U543" s="59" t="str">
        <x:f>IF($O543="","",--($O543=1))</x:f>
      </x:c>
      <x:c r="V543" s="59" t="n">
        <x:f>--(AND($I543&lt;&gt;"",$J543&lt;&gt;""))</x:f>
        <x:v>0</x:v>
      </x:c>
    </x:row>
    <x:row r="544">
      <x:c r="A544" s="21" t="str">
        <x:f>INDEX(Config!$B$10:$B$16,INT((ROW()-5)/104)+1)</x:f>
        <x:v>Vitão</x:v>
      </x:c>
      <x:c r="B544" s="21" t="str">
        <x:v>GD2</x:v>
      </x:c>
      <x:c r="C544" s="21" t="n">
        <x:v>20</x:v>
      </x:c>
      <x:c r="D544" s="21" t="str">
        <x:v>Grupo D</x:v>
      </x:c>
      <x:c r="E544" s="21" t="str">
        <x:v>2026-06-14</x:v>
      </x:c>
      <x:c r="F544" s="21" t="str">
        <x:f>IFERROR(INDEX('Resultados'!$G$5:$G$108,MATCH($B544,'Resultados'!$A$5:$A$108,0)),"")</x:f>
        <x:v>Austrália</x:v>
      </x:c>
      <x:c r="G544" s="21" t="str">
        <x:f>IFERROR(INDEX('Resultados'!$J$5:$J$108,MATCH($B544,'Resultados'!$A$5:$A$108,0)),"")</x:f>
        <x:v>Turquia</x:v>
      </x:c>
      <x:c r="H544" s="21" t="str">
        <x:v>Não</x:v>
      </x:c>
      <x:c r="I544" s="22"/>
      <x:c r="J544" s="22"/>
      <x:c r="K544" s="23"/>
      <x:c r="L544" s="21" t="str">
        <x:f>IFERROR(INDEX('Resultados'!$H$5:$H$108,MATCH($B544,'Resultados'!$A$5:$A$108,0)),"")</x:f>
      </x:c>
      <x:c r="M544" s="21" t="str">
        <x:f>IFERROR(INDEX('Resultados'!$I$5:$I$108,MATCH($B544,'Resultados'!$A$5:$A$108,0)),"")</x:f>
      </x:c>
      <x:c r="N544" s="21" t="str">
        <x:f>IFERROR(INDEX('Resultados'!$L$5:$L$108,MATCH($B544,'Resultados'!$A$5:$A$108,0)),"")</x:f>
      </x:c>
      <x:c r="O544" s="59" t="str">
        <x:f>IF(OR($I544="",$J544="",$L544="",$M544=""),"",IF(AND($H544="Sim",$L544=$M544),IF($I544&lt;&gt;$J544,0,IF(AND($I544=$L544,$J544=$M544),2,1)),IF(AND($I544=$L544,$J544=$M544),3,IF(AND($I544&lt;&gt;$J544,$I544=$M544,$J544=$L544),-2,IF(SIGN($I544-$J544)=SIGN($L544-$M544),1,0)))))</x:f>
      </x:c>
      <x:c r="P544" s="59" t="str">
        <x:f>IF(OR($H544&lt;&gt;"Sim",$I544="",$J544="",$L544="",$M544=""),"",IF(AND(IF($I544&gt;$J544,$F544,IF($I544&lt;$J544,$G544,$K544))&lt;&gt;"",IF($L544&gt;$M544,$F544,IF($L544&lt;$M544,$G544,$N544))&lt;&gt;"",IF($I544&gt;$J544,$F544,IF($I544&lt;$J544,$G544,$K544))=IF($L544&gt;$M544,$F544,IF($L544&lt;$M544,$G544,$N544))),1,0))</x:f>
      </x:c>
      <x:c r="Q544" s="59" t="str">
        <x:f>IF($O544="","",$O544+$P544)</x:f>
      </x:c>
      <x:c r="R544" s="59" t="str">
        <x:f>IF($Q544="","",IF($O544=3,"Cravada",IF(AND($H544="Sim",$L544=$M544,$I544=$J544,$O544=2),"Empate cravado",IF($O544=1,"Resultado certo",IF($O544=-2,"Invertida",IF($P544=1,"Acertou quem passa","Erro"))))))</x:f>
      </x:c>
      <x:c r="S544" s="59" t="str">
        <x:f>IF($O544="","",--(OR($O544=3,AND($H544="Sim",$L544=$M544,$I544=$J544,$O544=2))))</x:f>
      </x:c>
      <x:c r="T544" s="59" t="str">
        <x:f>IF($O544="","",--($O544=-2))</x:f>
      </x:c>
      <x:c r="U544" s="59" t="str">
        <x:f>IF($O544="","",--($O544=1))</x:f>
      </x:c>
      <x:c r="V544" s="59" t="n">
        <x:f>--(AND($I544&lt;&gt;"",$J544&lt;&gt;""))</x:f>
        <x:v>0</x:v>
      </x:c>
    </x:row>
    <x:row r="545">
      <x:c r="A545" s="21" t="str">
        <x:f>INDEX(Config!$B$10:$B$16,INT((ROW()-5)/104)+1)</x:f>
        <x:v>Vitão</x:v>
      </x:c>
      <x:c r="B545" s="21" t="str">
        <x:v>GD3</x:v>
      </x:c>
      <x:c r="C545" s="21" t="n">
        <x:v>21</x:v>
      </x:c>
      <x:c r="D545" s="21" t="str">
        <x:v>Grupo D</x:v>
      </x:c>
      <x:c r="E545" s="21" t="str">
        <x:v>2026-06-19</x:v>
      </x:c>
      <x:c r="F545" s="21" t="str">
        <x:f>IFERROR(INDEX('Resultados'!$G$5:$G$108,MATCH($B545,'Resultados'!$A$5:$A$108,0)),"")</x:f>
        <x:v>EUA</x:v>
      </x:c>
      <x:c r="G545" s="21" t="str">
        <x:f>IFERROR(INDEX('Resultados'!$J$5:$J$108,MATCH($B545,'Resultados'!$A$5:$A$108,0)),"")</x:f>
        <x:v>Austrália</x:v>
      </x:c>
      <x:c r="H545" s="21" t="str">
        <x:v>Não</x:v>
      </x:c>
      <x:c r="I545" s="22"/>
      <x:c r="J545" s="22"/>
      <x:c r="K545" s="23"/>
      <x:c r="L545" s="21" t="str">
        <x:f>IFERROR(INDEX('Resultados'!$H$5:$H$108,MATCH($B545,'Resultados'!$A$5:$A$108,0)),"")</x:f>
      </x:c>
      <x:c r="M545" s="21" t="str">
        <x:f>IFERROR(INDEX('Resultados'!$I$5:$I$108,MATCH($B545,'Resultados'!$A$5:$A$108,0)),"")</x:f>
      </x:c>
      <x:c r="N545" s="21" t="str">
        <x:f>IFERROR(INDEX('Resultados'!$L$5:$L$108,MATCH($B545,'Resultados'!$A$5:$A$108,0)),"")</x:f>
      </x:c>
      <x:c r="O545" s="59" t="str">
        <x:f>IF(OR($I545="",$J545="",$L545="",$M545=""),"",IF(AND($H545="Sim",$L545=$M545),IF($I545&lt;&gt;$J545,0,IF(AND($I545=$L545,$J545=$M545),2,1)),IF(AND($I545=$L545,$J545=$M545),3,IF(AND($I545&lt;&gt;$J545,$I545=$M545,$J545=$L545),-2,IF(SIGN($I545-$J545)=SIGN($L545-$M545),1,0)))))</x:f>
      </x:c>
      <x:c r="P545" s="59" t="str">
        <x:f>IF(OR($H545&lt;&gt;"Sim",$I545="",$J545="",$L545="",$M545=""),"",IF(AND(IF($I545&gt;$J545,$F545,IF($I545&lt;$J545,$G545,$K545))&lt;&gt;"",IF($L545&gt;$M545,$F545,IF($L545&lt;$M545,$G545,$N545))&lt;&gt;"",IF($I545&gt;$J545,$F545,IF($I545&lt;$J545,$G545,$K545))=IF($L545&gt;$M545,$F545,IF($L545&lt;$M545,$G545,$N545))),1,0))</x:f>
      </x:c>
      <x:c r="Q545" s="59" t="str">
        <x:f>IF($O545="","",$O545+$P545)</x:f>
      </x:c>
      <x:c r="R545" s="59" t="str">
        <x:f>IF($Q545="","",IF($O545=3,"Cravada",IF(AND($H545="Sim",$L545=$M545,$I545=$J545,$O545=2),"Empate cravado",IF($O545=1,"Resultado certo",IF($O545=-2,"Invertida",IF($P545=1,"Acertou quem passa","Erro"))))))</x:f>
      </x:c>
      <x:c r="S545" s="59" t="str">
        <x:f>IF($O545="","",--(OR($O545=3,AND($H545="Sim",$L545=$M545,$I545=$J545,$O545=2))))</x:f>
      </x:c>
      <x:c r="T545" s="59" t="str">
        <x:f>IF($O545="","",--($O545=-2))</x:f>
      </x:c>
      <x:c r="U545" s="59" t="str">
        <x:f>IF($O545="","",--($O545=1))</x:f>
      </x:c>
      <x:c r="V545" s="59" t="n">
        <x:f>--(AND($I545&lt;&gt;"",$J545&lt;&gt;""))</x:f>
        <x:v>0</x:v>
      </x:c>
    </x:row>
    <x:row r="546">
      <x:c r="A546" s="21" t="str">
        <x:f>INDEX(Config!$B$10:$B$16,INT((ROW()-5)/104)+1)</x:f>
        <x:v>Vitão</x:v>
      </x:c>
      <x:c r="B546" s="21" t="str">
        <x:v>GD4</x:v>
      </x:c>
      <x:c r="C546" s="21" t="n">
        <x:v>22</x:v>
      </x:c>
      <x:c r="D546" s="21" t="str">
        <x:v>Grupo D</x:v>
      </x:c>
      <x:c r="E546" s="21" t="str">
        <x:v>2026-06-20</x:v>
      </x:c>
      <x:c r="F546" s="21" t="str">
        <x:f>IFERROR(INDEX('Resultados'!$G$5:$G$108,MATCH($B546,'Resultados'!$A$5:$A$108,0)),"")</x:f>
        <x:v>Paraguai</x:v>
      </x:c>
      <x:c r="G546" s="21" t="str">
        <x:f>IFERROR(INDEX('Resultados'!$J$5:$J$108,MATCH($B546,'Resultados'!$A$5:$A$108,0)),"")</x:f>
        <x:v>Turquia</x:v>
      </x:c>
      <x:c r="H546" s="21" t="str">
        <x:v>Não</x:v>
      </x:c>
      <x:c r="I546" s="22"/>
      <x:c r="J546" s="22"/>
      <x:c r="K546" s="23"/>
      <x:c r="L546" s="21" t="str">
        <x:f>IFERROR(INDEX('Resultados'!$H$5:$H$108,MATCH($B546,'Resultados'!$A$5:$A$108,0)),"")</x:f>
      </x:c>
      <x:c r="M546" s="21" t="str">
        <x:f>IFERROR(INDEX('Resultados'!$I$5:$I$108,MATCH($B546,'Resultados'!$A$5:$A$108,0)),"")</x:f>
      </x:c>
      <x:c r="N546" s="21" t="str">
        <x:f>IFERROR(INDEX('Resultados'!$L$5:$L$108,MATCH($B546,'Resultados'!$A$5:$A$108,0)),"")</x:f>
      </x:c>
      <x:c r="O546" s="59" t="str">
        <x:f>IF(OR($I546="",$J546="",$L546="",$M546=""),"",IF(AND($H546="Sim",$L546=$M546),IF($I546&lt;&gt;$J546,0,IF(AND($I546=$L546,$J546=$M546),2,1)),IF(AND($I546=$L546,$J546=$M546),3,IF(AND($I546&lt;&gt;$J546,$I546=$M546,$J546=$L546),-2,IF(SIGN($I546-$J546)=SIGN($L546-$M546),1,0)))))</x:f>
      </x:c>
      <x:c r="P546" s="59" t="str">
        <x:f>IF(OR($H546&lt;&gt;"Sim",$I546="",$J546="",$L546="",$M546=""),"",IF(AND(IF($I546&gt;$J546,$F546,IF($I546&lt;$J546,$G546,$K546))&lt;&gt;"",IF($L546&gt;$M546,$F546,IF($L546&lt;$M546,$G546,$N546))&lt;&gt;"",IF($I546&gt;$J546,$F546,IF($I546&lt;$J546,$G546,$K546))=IF($L546&gt;$M546,$F546,IF($L546&lt;$M546,$G546,$N546))),1,0))</x:f>
      </x:c>
      <x:c r="Q546" s="59" t="str">
        <x:f>IF($O546="","",$O546+$P546)</x:f>
      </x:c>
      <x:c r="R546" s="59" t="str">
        <x:f>IF($Q546="","",IF($O546=3,"Cravada",IF(AND($H546="Sim",$L546=$M546,$I546=$J546,$O546=2),"Empate cravado",IF($O546=1,"Resultado certo",IF($O546=-2,"Invertida",IF($P546=1,"Acertou quem passa","Erro"))))))</x:f>
      </x:c>
      <x:c r="S546" s="59" t="str">
        <x:f>IF($O546="","",--(OR($O546=3,AND($H546="Sim",$L546=$M546,$I546=$J546,$O546=2))))</x:f>
      </x:c>
      <x:c r="T546" s="59" t="str">
        <x:f>IF($O546="","",--($O546=-2))</x:f>
      </x:c>
      <x:c r="U546" s="59" t="str">
        <x:f>IF($O546="","",--($O546=1))</x:f>
      </x:c>
      <x:c r="V546" s="59" t="n">
        <x:f>--(AND($I546&lt;&gt;"",$J546&lt;&gt;""))</x:f>
        <x:v>0</x:v>
      </x:c>
    </x:row>
    <x:row r="547">
      <x:c r="A547" s="21" t="str">
        <x:f>INDEX(Config!$B$10:$B$16,INT((ROW()-5)/104)+1)</x:f>
        <x:v>Vitão</x:v>
      </x:c>
      <x:c r="B547" s="21" t="str">
        <x:v>GD5</x:v>
      </x:c>
      <x:c r="C547" s="21" t="n">
        <x:v>23</x:v>
      </x:c>
      <x:c r="D547" s="21" t="str">
        <x:v>Grupo D</x:v>
      </x:c>
      <x:c r="E547" s="21" t="str">
        <x:v>2026-06-25</x:v>
      </x:c>
      <x:c r="F547" s="21" t="str">
        <x:f>IFERROR(INDEX('Resultados'!$G$5:$G$108,MATCH($B547,'Resultados'!$A$5:$A$108,0)),"")</x:f>
        <x:v>EUA</x:v>
      </x:c>
      <x:c r="G547" s="21" t="str">
        <x:f>IFERROR(INDEX('Resultados'!$J$5:$J$108,MATCH($B547,'Resultados'!$A$5:$A$108,0)),"")</x:f>
        <x:v>Turquia</x:v>
      </x:c>
      <x:c r="H547" s="21" t="str">
        <x:v>Não</x:v>
      </x:c>
      <x:c r="I547" s="22"/>
      <x:c r="J547" s="22"/>
      <x:c r="K547" s="23"/>
      <x:c r="L547" s="21" t="str">
        <x:f>IFERROR(INDEX('Resultados'!$H$5:$H$108,MATCH($B547,'Resultados'!$A$5:$A$108,0)),"")</x:f>
      </x:c>
      <x:c r="M547" s="21" t="str">
        <x:f>IFERROR(INDEX('Resultados'!$I$5:$I$108,MATCH($B547,'Resultados'!$A$5:$A$108,0)),"")</x:f>
      </x:c>
      <x:c r="N547" s="21" t="str">
        <x:f>IFERROR(INDEX('Resultados'!$L$5:$L$108,MATCH($B547,'Resultados'!$A$5:$A$108,0)),"")</x:f>
      </x:c>
      <x:c r="O547" s="59" t="str">
        <x:f>IF(OR($I547="",$J547="",$L547="",$M547=""),"",IF(AND($H547="Sim",$L547=$M547),IF($I547&lt;&gt;$J547,0,IF(AND($I547=$L547,$J547=$M547),2,1)),IF(AND($I547=$L547,$J547=$M547),3,IF(AND($I547&lt;&gt;$J547,$I547=$M547,$J547=$L547),-2,IF(SIGN($I547-$J547)=SIGN($L547-$M547),1,0)))))</x:f>
      </x:c>
      <x:c r="P547" s="59" t="str">
        <x:f>IF(OR($H547&lt;&gt;"Sim",$I547="",$J547="",$L547="",$M547=""),"",IF(AND(IF($I547&gt;$J547,$F547,IF($I547&lt;$J547,$G547,$K547))&lt;&gt;"",IF($L547&gt;$M547,$F547,IF($L547&lt;$M547,$G547,$N547))&lt;&gt;"",IF($I547&gt;$J547,$F547,IF($I547&lt;$J547,$G547,$K547))=IF($L547&gt;$M547,$F547,IF($L547&lt;$M547,$G547,$N547))),1,0))</x:f>
      </x:c>
      <x:c r="Q547" s="59" t="str">
        <x:f>IF($O547="","",$O547+$P547)</x:f>
      </x:c>
      <x:c r="R547" s="59" t="str">
        <x:f>IF($Q547="","",IF($O547=3,"Cravada",IF(AND($H547="Sim",$L547=$M547,$I547=$J547,$O547=2),"Empate cravado",IF($O547=1,"Resultado certo",IF($O547=-2,"Invertida",IF($P547=1,"Acertou quem passa","Erro"))))))</x:f>
      </x:c>
      <x:c r="S547" s="59" t="str">
        <x:f>IF($O547="","",--(OR($O547=3,AND($H547="Sim",$L547=$M547,$I547=$J547,$O547=2))))</x:f>
      </x:c>
      <x:c r="T547" s="59" t="str">
        <x:f>IF($O547="","",--($O547=-2))</x:f>
      </x:c>
      <x:c r="U547" s="59" t="str">
        <x:f>IF($O547="","",--($O547=1))</x:f>
      </x:c>
      <x:c r="V547" s="59" t="n">
        <x:f>--(AND($I547&lt;&gt;"",$J547&lt;&gt;""))</x:f>
        <x:v>0</x:v>
      </x:c>
    </x:row>
    <x:row r="548">
      <x:c r="A548" s="21" t="str">
        <x:f>INDEX(Config!$B$10:$B$16,INT((ROW()-5)/104)+1)</x:f>
        <x:v>Vitão</x:v>
      </x:c>
      <x:c r="B548" s="21" t="str">
        <x:v>GD6</x:v>
      </x:c>
      <x:c r="C548" s="21" t="n">
        <x:v>24</x:v>
      </x:c>
      <x:c r="D548" s="21" t="str">
        <x:v>Grupo D</x:v>
      </x:c>
      <x:c r="E548" s="21" t="str">
        <x:v>2026-06-25</x:v>
      </x:c>
      <x:c r="F548" s="21" t="str">
        <x:f>IFERROR(INDEX('Resultados'!$G$5:$G$108,MATCH($B548,'Resultados'!$A$5:$A$108,0)),"")</x:f>
        <x:v>Paraguai</x:v>
      </x:c>
      <x:c r="G548" s="21" t="str">
        <x:f>IFERROR(INDEX('Resultados'!$J$5:$J$108,MATCH($B548,'Resultados'!$A$5:$A$108,0)),"")</x:f>
        <x:v>Austrália</x:v>
      </x:c>
      <x:c r="H548" s="21" t="str">
        <x:v>Não</x:v>
      </x:c>
      <x:c r="I548" s="22"/>
      <x:c r="J548" s="22"/>
      <x:c r="K548" s="23"/>
      <x:c r="L548" s="21" t="str">
        <x:f>IFERROR(INDEX('Resultados'!$H$5:$H$108,MATCH($B548,'Resultados'!$A$5:$A$108,0)),"")</x:f>
      </x:c>
      <x:c r="M548" s="21" t="str">
        <x:f>IFERROR(INDEX('Resultados'!$I$5:$I$108,MATCH($B548,'Resultados'!$A$5:$A$108,0)),"")</x:f>
      </x:c>
      <x:c r="N548" s="21" t="str">
        <x:f>IFERROR(INDEX('Resultados'!$L$5:$L$108,MATCH($B548,'Resultados'!$A$5:$A$108,0)),"")</x:f>
      </x:c>
      <x:c r="O548" s="59" t="str">
        <x:f>IF(OR($I548="",$J548="",$L548="",$M548=""),"",IF(AND($H548="Sim",$L548=$M548),IF($I548&lt;&gt;$J548,0,IF(AND($I548=$L548,$J548=$M548),2,1)),IF(AND($I548=$L548,$J548=$M548),3,IF(AND($I548&lt;&gt;$J548,$I548=$M548,$J548=$L548),-2,IF(SIGN($I548-$J548)=SIGN($L548-$M548),1,0)))))</x:f>
      </x:c>
      <x:c r="P548" s="59" t="str">
        <x:f>IF(OR($H548&lt;&gt;"Sim",$I548="",$J548="",$L548="",$M548=""),"",IF(AND(IF($I548&gt;$J548,$F548,IF($I548&lt;$J548,$G548,$K548))&lt;&gt;"",IF($L548&gt;$M548,$F548,IF($L548&lt;$M548,$G548,$N548))&lt;&gt;"",IF($I548&gt;$J548,$F548,IF($I548&lt;$J548,$G548,$K548))=IF($L548&gt;$M548,$F548,IF($L548&lt;$M548,$G548,$N548))),1,0))</x:f>
      </x:c>
      <x:c r="Q548" s="59" t="str">
        <x:f>IF($O548="","",$O548+$P548)</x:f>
      </x:c>
      <x:c r="R548" s="59" t="str">
        <x:f>IF($Q548="","",IF($O548=3,"Cravada",IF(AND($H548="Sim",$L548=$M548,$I548=$J548,$O548=2),"Empate cravado",IF($O548=1,"Resultado certo",IF($O548=-2,"Invertida",IF($P548=1,"Acertou quem passa","Erro"))))))</x:f>
      </x:c>
      <x:c r="S548" s="59" t="str">
        <x:f>IF($O548="","",--(OR($O548=3,AND($H548="Sim",$L548=$M548,$I548=$J548,$O548=2))))</x:f>
      </x:c>
      <x:c r="T548" s="59" t="str">
        <x:f>IF($O548="","",--($O548=-2))</x:f>
      </x:c>
      <x:c r="U548" s="59" t="str">
        <x:f>IF($O548="","",--($O548=1))</x:f>
      </x:c>
      <x:c r="V548" s="59" t="n">
        <x:f>--(AND($I548&lt;&gt;"",$J548&lt;&gt;""))</x:f>
        <x:v>0</x:v>
      </x:c>
    </x:row>
    <x:row r="549">
      <x:c r="A549" s="21" t="str">
        <x:f>INDEX(Config!$B$10:$B$16,INT((ROW()-5)/104)+1)</x:f>
        <x:v>Vitão</x:v>
      </x:c>
      <x:c r="B549" s="21" t="str">
        <x:v>GE1</x:v>
      </x:c>
      <x:c r="C549" s="21" t="n">
        <x:v>25</x:v>
      </x:c>
      <x:c r="D549" s="21" t="str">
        <x:v>Grupo E</x:v>
      </x:c>
      <x:c r="E549" s="21" t="str">
        <x:v>2026-06-14</x:v>
      </x:c>
      <x:c r="F549" s="21" t="str">
        <x:f>IFERROR(INDEX('Resultados'!$G$5:$G$108,MATCH($B549,'Resultados'!$A$5:$A$108,0)),"")</x:f>
        <x:v>Alemanha</x:v>
      </x:c>
      <x:c r="G549" s="21" t="str">
        <x:f>IFERROR(INDEX('Resultados'!$J$5:$J$108,MATCH($B549,'Resultados'!$A$5:$A$108,0)),"")</x:f>
        <x:v>Curaçau</x:v>
      </x:c>
      <x:c r="H549" s="21" t="str">
        <x:v>Não</x:v>
      </x:c>
      <x:c r="I549" s="22"/>
      <x:c r="J549" s="22"/>
      <x:c r="K549" s="23"/>
      <x:c r="L549" s="21" t="str">
        <x:f>IFERROR(INDEX('Resultados'!$H$5:$H$108,MATCH($B549,'Resultados'!$A$5:$A$108,0)),"")</x:f>
      </x:c>
      <x:c r="M549" s="21" t="str">
        <x:f>IFERROR(INDEX('Resultados'!$I$5:$I$108,MATCH($B549,'Resultados'!$A$5:$A$108,0)),"")</x:f>
      </x:c>
      <x:c r="N549" s="21" t="str">
        <x:f>IFERROR(INDEX('Resultados'!$L$5:$L$108,MATCH($B549,'Resultados'!$A$5:$A$108,0)),"")</x:f>
      </x:c>
      <x:c r="O549" s="59" t="str">
        <x:f>IF(OR($I549="",$J549="",$L549="",$M549=""),"",IF(AND($H549="Sim",$L549=$M549),IF($I549&lt;&gt;$J549,0,IF(AND($I549=$L549,$J549=$M549),2,1)),IF(AND($I549=$L549,$J549=$M549),3,IF(AND($I549&lt;&gt;$J549,$I549=$M549,$J549=$L549),-2,IF(SIGN($I549-$J549)=SIGN($L549-$M549),1,0)))))</x:f>
      </x:c>
      <x:c r="P549" s="59" t="str">
        <x:f>IF(OR($H549&lt;&gt;"Sim",$I549="",$J549="",$L549="",$M549=""),"",IF(AND(IF($I549&gt;$J549,$F549,IF($I549&lt;$J549,$G549,$K549))&lt;&gt;"",IF($L549&gt;$M549,$F549,IF($L549&lt;$M549,$G549,$N549))&lt;&gt;"",IF($I549&gt;$J549,$F549,IF($I549&lt;$J549,$G549,$K549))=IF($L549&gt;$M549,$F549,IF($L549&lt;$M549,$G549,$N549))),1,0))</x:f>
      </x:c>
      <x:c r="Q549" s="59" t="str">
        <x:f>IF($O549="","",$O549+$P549)</x:f>
      </x:c>
      <x:c r="R549" s="59" t="str">
        <x:f>IF($Q549="","",IF($O549=3,"Cravada",IF(AND($H549="Sim",$L549=$M549,$I549=$J549,$O549=2),"Empate cravado",IF($O549=1,"Resultado certo",IF($O549=-2,"Invertida",IF($P549=1,"Acertou quem passa","Erro"))))))</x:f>
      </x:c>
      <x:c r="S549" s="59" t="str">
        <x:f>IF($O549="","",--(OR($O549=3,AND($H549="Sim",$L549=$M549,$I549=$J549,$O549=2))))</x:f>
      </x:c>
      <x:c r="T549" s="59" t="str">
        <x:f>IF($O549="","",--($O549=-2))</x:f>
      </x:c>
      <x:c r="U549" s="59" t="str">
        <x:f>IF($O549="","",--($O549=1))</x:f>
      </x:c>
      <x:c r="V549" s="59" t="n">
        <x:f>--(AND($I549&lt;&gt;"",$J549&lt;&gt;""))</x:f>
        <x:v>0</x:v>
      </x:c>
    </x:row>
    <x:row r="550">
      <x:c r="A550" s="21" t="str">
        <x:f>INDEX(Config!$B$10:$B$16,INT((ROW()-5)/104)+1)</x:f>
        <x:v>Vitão</x:v>
      </x:c>
      <x:c r="B550" s="21" t="str">
        <x:v>GE2</x:v>
      </x:c>
      <x:c r="C550" s="21" t="n">
        <x:v>26</x:v>
      </x:c>
      <x:c r="D550" s="21" t="str">
        <x:v>Grupo E</x:v>
      </x:c>
      <x:c r="E550" s="21" t="str">
        <x:v>2026-06-14</x:v>
      </x:c>
      <x:c r="F550" s="21" t="str">
        <x:f>IFERROR(INDEX('Resultados'!$G$5:$G$108,MATCH($B550,'Resultados'!$A$5:$A$108,0)),"")</x:f>
        <x:v>Costa do Marfim</x:v>
      </x:c>
      <x:c r="G550" s="21" t="str">
        <x:f>IFERROR(INDEX('Resultados'!$J$5:$J$108,MATCH($B550,'Resultados'!$A$5:$A$108,0)),"")</x:f>
        <x:v>Equador</x:v>
      </x:c>
      <x:c r="H550" s="21" t="str">
        <x:v>Não</x:v>
      </x:c>
      <x:c r="I550" s="22"/>
      <x:c r="J550" s="22"/>
      <x:c r="K550" s="23"/>
      <x:c r="L550" s="21" t="str">
        <x:f>IFERROR(INDEX('Resultados'!$H$5:$H$108,MATCH($B550,'Resultados'!$A$5:$A$108,0)),"")</x:f>
      </x:c>
      <x:c r="M550" s="21" t="str">
        <x:f>IFERROR(INDEX('Resultados'!$I$5:$I$108,MATCH($B550,'Resultados'!$A$5:$A$108,0)),"")</x:f>
      </x:c>
      <x:c r="N550" s="21" t="str">
        <x:f>IFERROR(INDEX('Resultados'!$L$5:$L$108,MATCH($B550,'Resultados'!$A$5:$A$108,0)),"")</x:f>
      </x:c>
      <x:c r="O550" s="59" t="str">
        <x:f>IF(OR($I550="",$J550="",$L550="",$M550=""),"",IF(AND($H550="Sim",$L550=$M550),IF($I550&lt;&gt;$J550,0,IF(AND($I550=$L550,$J550=$M550),2,1)),IF(AND($I550=$L550,$J550=$M550),3,IF(AND($I550&lt;&gt;$J550,$I550=$M550,$J550=$L550),-2,IF(SIGN($I550-$J550)=SIGN($L550-$M550),1,0)))))</x:f>
      </x:c>
      <x:c r="P550" s="59" t="str">
        <x:f>IF(OR($H550&lt;&gt;"Sim",$I550="",$J550="",$L550="",$M550=""),"",IF(AND(IF($I550&gt;$J550,$F550,IF($I550&lt;$J550,$G550,$K550))&lt;&gt;"",IF($L550&gt;$M550,$F550,IF($L550&lt;$M550,$G550,$N550))&lt;&gt;"",IF($I550&gt;$J550,$F550,IF($I550&lt;$J550,$G550,$K550))=IF($L550&gt;$M550,$F550,IF($L550&lt;$M550,$G550,$N550))),1,0))</x:f>
      </x:c>
      <x:c r="Q550" s="59" t="str">
        <x:f>IF($O550="","",$O550+$P550)</x:f>
      </x:c>
      <x:c r="R550" s="59" t="str">
        <x:f>IF($Q550="","",IF($O550=3,"Cravada",IF(AND($H550="Sim",$L550=$M550,$I550=$J550,$O550=2),"Empate cravado",IF($O550=1,"Resultado certo",IF($O550=-2,"Invertida",IF($P550=1,"Acertou quem passa","Erro"))))))</x:f>
      </x:c>
      <x:c r="S550" s="59" t="str">
        <x:f>IF($O550="","",--(OR($O550=3,AND($H550="Sim",$L550=$M550,$I550=$J550,$O550=2))))</x:f>
      </x:c>
      <x:c r="T550" s="59" t="str">
        <x:f>IF($O550="","",--($O550=-2))</x:f>
      </x:c>
      <x:c r="U550" s="59" t="str">
        <x:f>IF($O550="","",--($O550=1))</x:f>
      </x:c>
      <x:c r="V550" s="59" t="n">
        <x:f>--(AND($I550&lt;&gt;"",$J550&lt;&gt;""))</x:f>
        <x:v>0</x:v>
      </x:c>
    </x:row>
    <x:row r="551">
      <x:c r="A551" s="21" t="str">
        <x:f>INDEX(Config!$B$10:$B$16,INT((ROW()-5)/104)+1)</x:f>
        <x:v>Vitão</x:v>
      </x:c>
      <x:c r="B551" s="21" t="str">
        <x:v>GE3</x:v>
      </x:c>
      <x:c r="C551" s="21" t="n">
        <x:v>27</x:v>
      </x:c>
      <x:c r="D551" s="21" t="str">
        <x:v>Grupo E</x:v>
      </x:c>
      <x:c r="E551" s="21" t="str">
        <x:v>2026-06-20</x:v>
      </x:c>
      <x:c r="F551" s="21" t="str">
        <x:f>IFERROR(INDEX('Resultados'!$G$5:$G$108,MATCH($B551,'Resultados'!$A$5:$A$108,0)),"")</x:f>
        <x:v>Alemanha</x:v>
      </x:c>
      <x:c r="G551" s="21" t="str">
        <x:f>IFERROR(INDEX('Resultados'!$J$5:$J$108,MATCH($B551,'Resultados'!$A$5:$A$108,0)),"")</x:f>
        <x:v>Costa do Marfim</x:v>
      </x:c>
      <x:c r="H551" s="21" t="str">
        <x:v>Não</x:v>
      </x:c>
      <x:c r="I551" s="22"/>
      <x:c r="J551" s="22"/>
      <x:c r="K551" s="23"/>
      <x:c r="L551" s="21" t="str">
        <x:f>IFERROR(INDEX('Resultados'!$H$5:$H$108,MATCH($B551,'Resultados'!$A$5:$A$108,0)),"")</x:f>
      </x:c>
      <x:c r="M551" s="21" t="str">
        <x:f>IFERROR(INDEX('Resultados'!$I$5:$I$108,MATCH($B551,'Resultados'!$A$5:$A$108,0)),"")</x:f>
      </x:c>
      <x:c r="N551" s="21" t="str">
        <x:f>IFERROR(INDEX('Resultados'!$L$5:$L$108,MATCH($B551,'Resultados'!$A$5:$A$108,0)),"")</x:f>
      </x:c>
      <x:c r="O551" s="59" t="str">
        <x:f>IF(OR($I551="",$J551="",$L551="",$M551=""),"",IF(AND($H551="Sim",$L551=$M551),IF($I551&lt;&gt;$J551,0,IF(AND($I551=$L551,$J551=$M551),2,1)),IF(AND($I551=$L551,$J551=$M551),3,IF(AND($I551&lt;&gt;$J551,$I551=$M551,$J551=$L551),-2,IF(SIGN($I551-$J551)=SIGN($L551-$M551),1,0)))))</x:f>
      </x:c>
      <x:c r="P551" s="59" t="str">
        <x:f>IF(OR($H551&lt;&gt;"Sim",$I551="",$J551="",$L551="",$M551=""),"",IF(AND(IF($I551&gt;$J551,$F551,IF($I551&lt;$J551,$G551,$K551))&lt;&gt;"",IF($L551&gt;$M551,$F551,IF($L551&lt;$M551,$G551,$N551))&lt;&gt;"",IF($I551&gt;$J551,$F551,IF($I551&lt;$J551,$G551,$K551))=IF($L551&gt;$M551,$F551,IF($L551&lt;$M551,$G551,$N551))),1,0))</x:f>
      </x:c>
      <x:c r="Q551" s="59" t="str">
        <x:f>IF($O551="","",$O551+$P551)</x:f>
      </x:c>
      <x:c r="R551" s="59" t="str">
        <x:f>IF($Q551="","",IF($O551=3,"Cravada",IF(AND($H551="Sim",$L551=$M551,$I551=$J551,$O551=2),"Empate cravado",IF($O551=1,"Resultado certo",IF($O551=-2,"Invertida",IF($P551=1,"Acertou quem passa","Erro"))))))</x:f>
      </x:c>
      <x:c r="S551" s="59" t="str">
        <x:f>IF($O551="","",--(OR($O551=3,AND($H551="Sim",$L551=$M551,$I551=$J551,$O551=2))))</x:f>
      </x:c>
      <x:c r="T551" s="59" t="str">
        <x:f>IF($O551="","",--($O551=-2))</x:f>
      </x:c>
      <x:c r="U551" s="59" t="str">
        <x:f>IF($O551="","",--($O551=1))</x:f>
      </x:c>
      <x:c r="V551" s="59" t="n">
        <x:f>--(AND($I551&lt;&gt;"",$J551&lt;&gt;""))</x:f>
        <x:v>0</x:v>
      </x:c>
    </x:row>
    <x:row r="552">
      <x:c r="A552" s="21" t="str">
        <x:f>INDEX(Config!$B$10:$B$16,INT((ROW()-5)/104)+1)</x:f>
        <x:v>Vitão</x:v>
      </x:c>
      <x:c r="B552" s="21" t="str">
        <x:v>GE4</x:v>
      </x:c>
      <x:c r="C552" s="21" t="n">
        <x:v>28</x:v>
      </x:c>
      <x:c r="D552" s="21" t="str">
        <x:v>Grupo E</x:v>
      </x:c>
      <x:c r="E552" s="21" t="str">
        <x:v>2026-06-20</x:v>
      </x:c>
      <x:c r="F552" s="21" t="str">
        <x:f>IFERROR(INDEX('Resultados'!$G$5:$G$108,MATCH($B552,'Resultados'!$A$5:$A$108,0)),"")</x:f>
        <x:v>Curaçau</x:v>
      </x:c>
      <x:c r="G552" s="21" t="str">
        <x:f>IFERROR(INDEX('Resultados'!$J$5:$J$108,MATCH($B552,'Resultados'!$A$5:$A$108,0)),"")</x:f>
        <x:v>Equador</x:v>
      </x:c>
      <x:c r="H552" s="21" t="str">
        <x:v>Não</x:v>
      </x:c>
      <x:c r="I552" s="22"/>
      <x:c r="J552" s="22"/>
      <x:c r="K552" s="23"/>
      <x:c r="L552" s="21" t="str">
        <x:f>IFERROR(INDEX('Resultados'!$H$5:$H$108,MATCH($B552,'Resultados'!$A$5:$A$108,0)),"")</x:f>
      </x:c>
      <x:c r="M552" s="21" t="str">
        <x:f>IFERROR(INDEX('Resultados'!$I$5:$I$108,MATCH($B552,'Resultados'!$A$5:$A$108,0)),"")</x:f>
      </x:c>
      <x:c r="N552" s="21" t="str">
        <x:f>IFERROR(INDEX('Resultados'!$L$5:$L$108,MATCH($B552,'Resultados'!$A$5:$A$108,0)),"")</x:f>
      </x:c>
      <x:c r="O552" s="59" t="str">
        <x:f>IF(OR($I552="",$J552="",$L552="",$M552=""),"",IF(AND($H552="Sim",$L552=$M552),IF($I552&lt;&gt;$J552,0,IF(AND($I552=$L552,$J552=$M552),2,1)),IF(AND($I552=$L552,$J552=$M552),3,IF(AND($I552&lt;&gt;$J552,$I552=$M552,$J552=$L552),-2,IF(SIGN($I552-$J552)=SIGN($L552-$M552),1,0)))))</x:f>
      </x:c>
      <x:c r="P552" s="59" t="str">
        <x:f>IF(OR($H552&lt;&gt;"Sim",$I552="",$J552="",$L552="",$M552=""),"",IF(AND(IF($I552&gt;$J552,$F552,IF($I552&lt;$J552,$G552,$K552))&lt;&gt;"",IF($L552&gt;$M552,$F552,IF($L552&lt;$M552,$G552,$N552))&lt;&gt;"",IF($I552&gt;$J552,$F552,IF($I552&lt;$J552,$G552,$K552))=IF($L552&gt;$M552,$F552,IF($L552&lt;$M552,$G552,$N552))),1,0))</x:f>
      </x:c>
      <x:c r="Q552" s="59" t="str">
        <x:f>IF($O552="","",$O552+$P552)</x:f>
      </x:c>
      <x:c r="R552" s="59" t="str">
        <x:f>IF($Q552="","",IF($O552=3,"Cravada",IF(AND($H552="Sim",$L552=$M552,$I552=$J552,$O552=2),"Empate cravado",IF($O552=1,"Resultado certo",IF($O552=-2,"Invertida",IF($P552=1,"Acertou quem passa","Erro"))))))</x:f>
      </x:c>
      <x:c r="S552" s="59" t="str">
        <x:f>IF($O552="","",--(OR($O552=3,AND($H552="Sim",$L552=$M552,$I552=$J552,$O552=2))))</x:f>
      </x:c>
      <x:c r="T552" s="59" t="str">
        <x:f>IF($O552="","",--($O552=-2))</x:f>
      </x:c>
      <x:c r="U552" s="59" t="str">
        <x:f>IF($O552="","",--($O552=1))</x:f>
      </x:c>
      <x:c r="V552" s="59" t="n">
        <x:f>--(AND($I552&lt;&gt;"",$J552&lt;&gt;""))</x:f>
        <x:v>0</x:v>
      </x:c>
    </x:row>
    <x:row r="553">
      <x:c r="A553" s="21" t="str">
        <x:f>INDEX(Config!$B$10:$B$16,INT((ROW()-5)/104)+1)</x:f>
        <x:v>Vitão</x:v>
      </x:c>
      <x:c r="B553" s="21" t="str">
        <x:v>GE5</x:v>
      </x:c>
      <x:c r="C553" s="21" t="n">
        <x:v>29</x:v>
      </x:c>
      <x:c r="D553" s="21" t="str">
        <x:v>Grupo E</x:v>
      </x:c>
      <x:c r="E553" s="21" t="str">
        <x:v>2026-06-25</x:v>
      </x:c>
      <x:c r="F553" s="21" t="str">
        <x:f>IFERROR(INDEX('Resultados'!$G$5:$G$108,MATCH($B553,'Resultados'!$A$5:$A$108,0)),"")</x:f>
        <x:v>Alemanha</x:v>
      </x:c>
      <x:c r="G553" s="21" t="str">
        <x:f>IFERROR(INDEX('Resultados'!$J$5:$J$108,MATCH($B553,'Resultados'!$A$5:$A$108,0)),"")</x:f>
        <x:v>Equador</x:v>
      </x:c>
      <x:c r="H553" s="21" t="str">
        <x:v>Não</x:v>
      </x:c>
      <x:c r="I553" s="22"/>
      <x:c r="J553" s="22"/>
      <x:c r="K553" s="23"/>
      <x:c r="L553" s="21" t="str">
        <x:f>IFERROR(INDEX('Resultados'!$H$5:$H$108,MATCH($B553,'Resultados'!$A$5:$A$108,0)),"")</x:f>
      </x:c>
      <x:c r="M553" s="21" t="str">
        <x:f>IFERROR(INDEX('Resultados'!$I$5:$I$108,MATCH($B553,'Resultados'!$A$5:$A$108,0)),"")</x:f>
      </x:c>
      <x:c r="N553" s="21" t="str">
        <x:f>IFERROR(INDEX('Resultados'!$L$5:$L$108,MATCH($B553,'Resultados'!$A$5:$A$108,0)),"")</x:f>
      </x:c>
      <x:c r="O553" s="59" t="str">
        <x:f>IF(OR($I553="",$J553="",$L553="",$M553=""),"",IF(AND($H553="Sim",$L553=$M553),IF($I553&lt;&gt;$J553,0,IF(AND($I553=$L553,$J553=$M553),2,1)),IF(AND($I553=$L553,$J553=$M553),3,IF(AND($I553&lt;&gt;$J553,$I553=$M553,$J553=$L553),-2,IF(SIGN($I553-$J553)=SIGN($L553-$M553),1,0)))))</x:f>
      </x:c>
      <x:c r="P553" s="59" t="str">
        <x:f>IF(OR($H553&lt;&gt;"Sim",$I553="",$J553="",$L553="",$M553=""),"",IF(AND(IF($I553&gt;$J553,$F553,IF($I553&lt;$J553,$G553,$K553))&lt;&gt;"",IF($L553&gt;$M553,$F553,IF($L553&lt;$M553,$G553,$N553))&lt;&gt;"",IF($I553&gt;$J553,$F553,IF($I553&lt;$J553,$G553,$K553))=IF($L553&gt;$M553,$F553,IF($L553&lt;$M553,$G553,$N553))),1,0))</x:f>
      </x:c>
      <x:c r="Q553" s="59" t="str">
        <x:f>IF($O553="","",$O553+$P553)</x:f>
      </x:c>
      <x:c r="R553" s="59" t="str">
        <x:f>IF($Q553="","",IF($O553=3,"Cravada",IF(AND($H553="Sim",$L553=$M553,$I553=$J553,$O553=2),"Empate cravado",IF($O553=1,"Resultado certo",IF($O553=-2,"Invertida",IF($P553=1,"Acertou quem passa","Erro"))))))</x:f>
      </x:c>
      <x:c r="S553" s="59" t="str">
        <x:f>IF($O553="","",--(OR($O553=3,AND($H553="Sim",$L553=$M553,$I553=$J553,$O553=2))))</x:f>
      </x:c>
      <x:c r="T553" s="59" t="str">
        <x:f>IF($O553="","",--($O553=-2))</x:f>
      </x:c>
      <x:c r="U553" s="59" t="str">
        <x:f>IF($O553="","",--($O553=1))</x:f>
      </x:c>
      <x:c r="V553" s="59" t="n">
        <x:f>--(AND($I553&lt;&gt;"",$J553&lt;&gt;""))</x:f>
        <x:v>0</x:v>
      </x:c>
    </x:row>
    <x:row r="554">
      <x:c r="A554" s="21" t="str">
        <x:f>INDEX(Config!$B$10:$B$16,INT((ROW()-5)/104)+1)</x:f>
        <x:v>Vitão</x:v>
      </x:c>
      <x:c r="B554" s="21" t="str">
        <x:v>GE6</x:v>
      </x:c>
      <x:c r="C554" s="21" t="n">
        <x:v>30</x:v>
      </x:c>
      <x:c r="D554" s="21" t="str">
        <x:v>Grupo E</x:v>
      </x:c>
      <x:c r="E554" s="21" t="str">
        <x:v>2026-06-25</x:v>
      </x:c>
      <x:c r="F554" s="21" t="str">
        <x:f>IFERROR(INDEX('Resultados'!$G$5:$G$108,MATCH($B554,'Resultados'!$A$5:$A$108,0)),"")</x:f>
        <x:v>Curaçau</x:v>
      </x:c>
      <x:c r="G554" s="21" t="str">
        <x:f>IFERROR(INDEX('Resultados'!$J$5:$J$108,MATCH($B554,'Resultados'!$A$5:$A$108,0)),"")</x:f>
        <x:v>Costa do Marfim</x:v>
      </x:c>
      <x:c r="H554" s="21" t="str">
        <x:v>Não</x:v>
      </x:c>
      <x:c r="I554" s="22"/>
      <x:c r="J554" s="22"/>
      <x:c r="K554" s="23"/>
      <x:c r="L554" s="21" t="str">
        <x:f>IFERROR(INDEX('Resultados'!$H$5:$H$108,MATCH($B554,'Resultados'!$A$5:$A$108,0)),"")</x:f>
      </x:c>
      <x:c r="M554" s="21" t="str">
        <x:f>IFERROR(INDEX('Resultados'!$I$5:$I$108,MATCH($B554,'Resultados'!$A$5:$A$108,0)),"")</x:f>
      </x:c>
      <x:c r="N554" s="21" t="str">
        <x:f>IFERROR(INDEX('Resultados'!$L$5:$L$108,MATCH($B554,'Resultados'!$A$5:$A$108,0)),"")</x:f>
      </x:c>
      <x:c r="O554" s="59" t="str">
        <x:f>IF(OR($I554="",$J554="",$L554="",$M554=""),"",IF(AND($H554="Sim",$L554=$M554),IF($I554&lt;&gt;$J554,0,IF(AND($I554=$L554,$J554=$M554),2,1)),IF(AND($I554=$L554,$J554=$M554),3,IF(AND($I554&lt;&gt;$J554,$I554=$M554,$J554=$L554),-2,IF(SIGN($I554-$J554)=SIGN($L554-$M554),1,0)))))</x:f>
      </x:c>
      <x:c r="P554" s="59" t="str">
        <x:f>IF(OR($H554&lt;&gt;"Sim",$I554="",$J554="",$L554="",$M554=""),"",IF(AND(IF($I554&gt;$J554,$F554,IF($I554&lt;$J554,$G554,$K554))&lt;&gt;"",IF($L554&gt;$M554,$F554,IF($L554&lt;$M554,$G554,$N554))&lt;&gt;"",IF($I554&gt;$J554,$F554,IF($I554&lt;$J554,$G554,$K554))=IF($L554&gt;$M554,$F554,IF($L554&lt;$M554,$G554,$N554))),1,0))</x:f>
      </x:c>
      <x:c r="Q554" s="59" t="str">
        <x:f>IF($O554="","",$O554+$P554)</x:f>
      </x:c>
      <x:c r="R554" s="59" t="str">
        <x:f>IF($Q554="","",IF($O554=3,"Cravada",IF(AND($H554="Sim",$L554=$M554,$I554=$J554,$O554=2),"Empate cravado",IF($O554=1,"Resultado certo",IF($O554=-2,"Invertida",IF($P554=1,"Acertou quem passa","Erro"))))))</x:f>
      </x:c>
      <x:c r="S554" s="59" t="str">
        <x:f>IF($O554="","",--(OR($O554=3,AND($H554="Sim",$L554=$M554,$I554=$J554,$O554=2))))</x:f>
      </x:c>
      <x:c r="T554" s="59" t="str">
        <x:f>IF($O554="","",--($O554=-2))</x:f>
      </x:c>
      <x:c r="U554" s="59" t="str">
        <x:f>IF($O554="","",--($O554=1))</x:f>
      </x:c>
      <x:c r="V554" s="59" t="n">
        <x:f>--(AND($I554&lt;&gt;"",$J554&lt;&gt;""))</x:f>
        <x:v>0</x:v>
      </x:c>
    </x:row>
    <x:row r="555">
      <x:c r="A555" s="21" t="str">
        <x:f>INDEX(Config!$B$10:$B$16,INT((ROW()-5)/104)+1)</x:f>
        <x:v>Vitão</x:v>
      </x:c>
      <x:c r="B555" s="21" t="str">
        <x:v>GF1</x:v>
      </x:c>
      <x:c r="C555" s="21" t="n">
        <x:v>31</x:v>
      </x:c>
      <x:c r="D555" s="21" t="str">
        <x:v>Grupo F</x:v>
      </x:c>
      <x:c r="E555" s="21" t="str">
        <x:v>2026-06-14</x:v>
      </x:c>
      <x:c r="F555" s="21" t="str">
        <x:f>IFERROR(INDEX('Resultados'!$G$5:$G$108,MATCH($B555,'Resultados'!$A$5:$A$108,0)),"")</x:f>
        <x:v>Holanda</x:v>
      </x:c>
      <x:c r="G555" s="21" t="str">
        <x:f>IFERROR(INDEX('Resultados'!$J$5:$J$108,MATCH($B555,'Resultados'!$A$5:$A$108,0)),"")</x:f>
        <x:v>Japão</x:v>
      </x:c>
      <x:c r="H555" s="21" t="str">
        <x:v>Não</x:v>
      </x:c>
      <x:c r="I555" s="22"/>
      <x:c r="J555" s="22"/>
      <x:c r="K555" s="23"/>
      <x:c r="L555" s="21" t="str">
        <x:f>IFERROR(INDEX('Resultados'!$H$5:$H$108,MATCH($B555,'Resultados'!$A$5:$A$108,0)),"")</x:f>
      </x:c>
      <x:c r="M555" s="21" t="str">
        <x:f>IFERROR(INDEX('Resultados'!$I$5:$I$108,MATCH($B555,'Resultados'!$A$5:$A$108,0)),"")</x:f>
      </x:c>
      <x:c r="N555" s="21" t="str">
        <x:f>IFERROR(INDEX('Resultados'!$L$5:$L$108,MATCH($B555,'Resultados'!$A$5:$A$108,0)),"")</x:f>
      </x:c>
      <x:c r="O555" s="59" t="str">
        <x:f>IF(OR($I555="",$J555="",$L555="",$M555=""),"",IF(AND($H555="Sim",$L555=$M555),IF($I555&lt;&gt;$J555,0,IF(AND($I555=$L555,$J555=$M555),2,1)),IF(AND($I555=$L555,$J555=$M555),3,IF(AND($I555&lt;&gt;$J555,$I555=$M555,$J555=$L555),-2,IF(SIGN($I555-$J555)=SIGN($L555-$M555),1,0)))))</x:f>
      </x:c>
      <x:c r="P555" s="59" t="str">
        <x:f>IF(OR($H555&lt;&gt;"Sim",$I555="",$J555="",$L555="",$M555=""),"",IF(AND(IF($I555&gt;$J555,$F555,IF($I555&lt;$J555,$G555,$K555))&lt;&gt;"",IF($L555&gt;$M555,$F555,IF($L555&lt;$M555,$G555,$N555))&lt;&gt;"",IF($I555&gt;$J555,$F555,IF($I555&lt;$J555,$G555,$K555))=IF($L555&gt;$M555,$F555,IF($L555&lt;$M555,$G555,$N555))),1,0))</x:f>
      </x:c>
      <x:c r="Q555" s="59" t="str">
        <x:f>IF($O555="","",$O555+$P555)</x:f>
      </x:c>
      <x:c r="R555" s="59" t="str">
        <x:f>IF($Q555="","",IF($O555=3,"Cravada",IF(AND($H555="Sim",$L555=$M555,$I555=$J555,$O555=2),"Empate cravado",IF($O555=1,"Resultado certo",IF($O555=-2,"Invertida",IF($P555=1,"Acertou quem passa","Erro"))))))</x:f>
      </x:c>
      <x:c r="S555" s="59" t="str">
        <x:f>IF($O555="","",--(OR($O555=3,AND($H555="Sim",$L555=$M555,$I555=$J555,$O555=2))))</x:f>
      </x:c>
      <x:c r="T555" s="59" t="str">
        <x:f>IF($O555="","",--($O555=-2))</x:f>
      </x:c>
      <x:c r="U555" s="59" t="str">
        <x:f>IF($O555="","",--($O555=1))</x:f>
      </x:c>
      <x:c r="V555" s="59" t="n">
        <x:f>--(AND($I555&lt;&gt;"",$J555&lt;&gt;""))</x:f>
        <x:v>0</x:v>
      </x:c>
    </x:row>
    <x:row r="556">
      <x:c r="A556" s="21" t="str">
        <x:f>INDEX(Config!$B$10:$B$16,INT((ROW()-5)/104)+1)</x:f>
        <x:v>Vitão</x:v>
      </x:c>
      <x:c r="B556" s="21" t="str">
        <x:v>GF2</x:v>
      </x:c>
      <x:c r="C556" s="21" t="n">
        <x:v>32</x:v>
      </x:c>
      <x:c r="D556" s="21" t="str">
        <x:v>Grupo F</x:v>
      </x:c>
      <x:c r="E556" s="21" t="str">
        <x:v>2026-06-14</x:v>
      </x:c>
      <x:c r="F556" s="21" t="str">
        <x:f>IFERROR(INDEX('Resultados'!$G$5:$G$108,MATCH($B556,'Resultados'!$A$5:$A$108,0)),"")</x:f>
        <x:v>Suécia</x:v>
      </x:c>
      <x:c r="G556" s="21" t="str">
        <x:f>IFERROR(INDEX('Resultados'!$J$5:$J$108,MATCH($B556,'Resultados'!$A$5:$A$108,0)),"")</x:f>
        <x:v>Tunísia</x:v>
      </x:c>
      <x:c r="H556" s="21" t="str">
        <x:v>Não</x:v>
      </x:c>
      <x:c r="I556" s="22"/>
      <x:c r="J556" s="22"/>
      <x:c r="K556" s="23"/>
      <x:c r="L556" s="21" t="str">
        <x:f>IFERROR(INDEX('Resultados'!$H$5:$H$108,MATCH($B556,'Resultados'!$A$5:$A$108,0)),"")</x:f>
      </x:c>
      <x:c r="M556" s="21" t="str">
        <x:f>IFERROR(INDEX('Resultados'!$I$5:$I$108,MATCH($B556,'Resultados'!$A$5:$A$108,0)),"")</x:f>
      </x:c>
      <x:c r="N556" s="21" t="str">
        <x:f>IFERROR(INDEX('Resultados'!$L$5:$L$108,MATCH($B556,'Resultados'!$A$5:$A$108,0)),"")</x:f>
      </x:c>
      <x:c r="O556" s="59" t="str">
        <x:f>IF(OR($I556="",$J556="",$L556="",$M556=""),"",IF(AND($H556="Sim",$L556=$M556),IF($I556&lt;&gt;$J556,0,IF(AND($I556=$L556,$J556=$M556),2,1)),IF(AND($I556=$L556,$J556=$M556),3,IF(AND($I556&lt;&gt;$J556,$I556=$M556,$J556=$L556),-2,IF(SIGN($I556-$J556)=SIGN($L556-$M556),1,0)))))</x:f>
      </x:c>
      <x:c r="P556" s="59" t="str">
        <x:f>IF(OR($H556&lt;&gt;"Sim",$I556="",$J556="",$L556="",$M556=""),"",IF(AND(IF($I556&gt;$J556,$F556,IF($I556&lt;$J556,$G556,$K556))&lt;&gt;"",IF($L556&gt;$M556,$F556,IF($L556&lt;$M556,$G556,$N556))&lt;&gt;"",IF($I556&gt;$J556,$F556,IF($I556&lt;$J556,$G556,$K556))=IF($L556&gt;$M556,$F556,IF($L556&lt;$M556,$G556,$N556))),1,0))</x:f>
      </x:c>
      <x:c r="Q556" s="59" t="str">
        <x:f>IF($O556="","",$O556+$P556)</x:f>
      </x:c>
      <x:c r="R556" s="59" t="str">
        <x:f>IF($Q556="","",IF($O556=3,"Cravada",IF(AND($H556="Sim",$L556=$M556,$I556=$J556,$O556=2),"Empate cravado",IF($O556=1,"Resultado certo",IF($O556=-2,"Invertida",IF($P556=1,"Acertou quem passa","Erro"))))))</x:f>
      </x:c>
      <x:c r="S556" s="59" t="str">
        <x:f>IF($O556="","",--(OR($O556=3,AND($H556="Sim",$L556=$M556,$I556=$J556,$O556=2))))</x:f>
      </x:c>
      <x:c r="T556" s="59" t="str">
        <x:f>IF($O556="","",--($O556=-2))</x:f>
      </x:c>
      <x:c r="U556" s="59" t="str">
        <x:f>IF($O556="","",--($O556=1))</x:f>
      </x:c>
      <x:c r="V556" s="59" t="n">
        <x:f>--(AND($I556&lt;&gt;"",$J556&lt;&gt;""))</x:f>
        <x:v>0</x:v>
      </x:c>
    </x:row>
    <x:row r="557">
      <x:c r="A557" s="21" t="str">
        <x:f>INDEX(Config!$B$10:$B$16,INT((ROW()-5)/104)+1)</x:f>
        <x:v>Vitão</x:v>
      </x:c>
      <x:c r="B557" s="21" t="str">
        <x:v>GF3</x:v>
      </x:c>
      <x:c r="C557" s="21" t="n">
        <x:v>33</x:v>
      </x:c>
      <x:c r="D557" s="21" t="str">
        <x:v>Grupo F</x:v>
      </x:c>
      <x:c r="E557" s="21" t="str">
        <x:v>2026-06-20</x:v>
      </x:c>
      <x:c r="F557" s="21" t="str">
        <x:f>IFERROR(INDEX('Resultados'!$G$5:$G$108,MATCH($B557,'Resultados'!$A$5:$A$108,0)),"")</x:f>
        <x:v>Holanda</x:v>
      </x:c>
      <x:c r="G557" s="21" t="str">
        <x:f>IFERROR(INDEX('Resultados'!$J$5:$J$108,MATCH($B557,'Resultados'!$A$5:$A$108,0)),"")</x:f>
        <x:v>Suécia</x:v>
      </x:c>
      <x:c r="H557" s="21" t="str">
        <x:v>Não</x:v>
      </x:c>
      <x:c r="I557" s="22"/>
      <x:c r="J557" s="22"/>
      <x:c r="K557" s="23"/>
      <x:c r="L557" s="21" t="str">
        <x:f>IFERROR(INDEX('Resultados'!$H$5:$H$108,MATCH($B557,'Resultados'!$A$5:$A$108,0)),"")</x:f>
      </x:c>
      <x:c r="M557" s="21" t="str">
        <x:f>IFERROR(INDEX('Resultados'!$I$5:$I$108,MATCH($B557,'Resultados'!$A$5:$A$108,0)),"")</x:f>
      </x:c>
      <x:c r="N557" s="21" t="str">
        <x:f>IFERROR(INDEX('Resultados'!$L$5:$L$108,MATCH($B557,'Resultados'!$A$5:$A$108,0)),"")</x:f>
      </x:c>
      <x:c r="O557" s="59" t="str">
        <x:f>IF(OR($I557="",$J557="",$L557="",$M557=""),"",IF(AND($H557="Sim",$L557=$M557),IF($I557&lt;&gt;$J557,0,IF(AND($I557=$L557,$J557=$M557),2,1)),IF(AND($I557=$L557,$J557=$M557),3,IF(AND($I557&lt;&gt;$J557,$I557=$M557,$J557=$L557),-2,IF(SIGN($I557-$J557)=SIGN($L557-$M557),1,0)))))</x:f>
      </x:c>
      <x:c r="P557" s="59" t="str">
        <x:f>IF(OR($H557&lt;&gt;"Sim",$I557="",$J557="",$L557="",$M557=""),"",IF(AND(IF($I557&gt;$J557,$F557,IF($I557&lt;$J557,$G557,$K557))&lt;&gt;"",IF($L557&gt;$M557,$F557,IF($L557&lt;$M557,$G557,$N557))&lt;&gt;"",IF($I557&gt;$J557,$F557,IF($I557&lt;$J557,$G557,$K557))=IF($L557&gt;$M557,$F557,IF($L557&lt;$M557,$G557,$N557))),1,0))</x:f>
      </x:c>
      <x:c r="Q557" s="59" t="str">
        <x:f>IF($O557="","",$O557+$P557)</x:f>
      </x:c>
      <x:c r="R557" s="59" t="str">
        <x:f>IF($Q557="","",IF($O557=3,"Cravada",IF(AND($H557="Sim",$L557=$M557,$I557=$J557,$O557=2),"Empate cravado",IF($O557=1,"Resultado certo",IF($O557=-2,"Invertida",IF($P557=1,"Acertou quem passa","Erro"))))))</x:f>
      </x:c>
      <x:c r="S557" s="59" t="str">
        <x:f>IF($O557="","",--(OR($O557=3,AND($H557="Sim",$L557=$M557,$I557=$J557,$O557=2))))</x:f>
      </x:c>
      <x:c r="T557" s="59" t="str">
        <x:f>IF($O557="","",--($O557=-2))</x:f>
      </x:c>
      <x:c r="U557" s="59" t="str">
        <x:f>IF($O557="","",--($O557=1))</x:f>
      </x:c>
      <x:c r="V557" s="59" t="n">
        <x:f>--(AND($I557&lt;&gt;"",$J557&lt;&gt;""))</x:f>
        <x:v>0</x:v>
      </x:c>
    </x:row>
    <x:row r="558">
      <x:c r="A558" s="21" t="str">
        <x:f>INDEX(Config!$B$10:$B$16,INT((ROW()-5)/104)+1)</x:f>
        <x:v>Vitão</x:v>
      </x:c>
      <x:c r="B558" s="21" t="str">
        <x:v>GF4</x:v>
      </x:c>
      <x:c r="C558" s="21" t="n">
        <x:v>34</x:v>
      </x:c>
      <x:c r="D558" s="21" t="str">
        <x:v>Grupo F</x:v>
      </x:c>
      <x:c r="E558" s="21" t="str">
        <x:v>2026-06-21</x:v>
      </x:c>
      <x:c r="F558" s="21" t="str">
        <x:f>IFERROR(INDEX('Resultados'!$G$5:$G$108,MATCH($B558,'Resultados'!$A$5:$A$108,0)),"")</x:f>
        <x:v>Japão</x:v>
      </x:c>
      <x:c r="G558" s="21" t="str">
        <x:f>IFERROR(INDEX('Resultados'!$J$5:$J$108,MATCH($B558,'Resultados'!$A$5:$A$108,0)),"")</x:f>
        <x:v>Tunísia</x:v>
      </x:c>
      <x:c r="H558" s="21" t="str">
        <x:v>Não</x:v>
      </x:c>
      <x:c r="I558" s="22"/>
      <x:c r="J558" s="22"/>
      <x:c r="K558" s="23"/>
      <x:c r="L558" s="21" t="str">
        <x:f>IFERROR(INDEX('Resultados'!$H$5:$H$108,MATCH($B558,'Resultados'!$A$5:$A$108,0)),"")</x:f>
      </x:c>
      <x:c r="M558" s="21" t="str">
        <x:f>IFERROR(INDEX('Resultados'!$I$5:$I$108,MATCH($B558,'Resultados'!$A$5:$A$108,0)),"")</x:f>
      </x:c>
      <x:c r="N558" s="21" t="str">
        <x:f>IFERROR(INDEX('Resultados'!$L$5:$L$108,MATCH($B558,'Resultados'!$A$5:$A$108,0)),"")</x:f>
      </x:c>
      <x:c r="O558" s="59" t="str">
        <x:f>IF(OR($I558="",$J558="",$L558="",$M558=""),"",IF(AND($H558="Sim",$L558=$M558),IF($I558&lt;&gt;$J558,0,IF(AND($I558=$L558,$J558=$M558),2,1)),IF(AND($I558=$L558,$J558=$M558),3,IF(AND($I558&lt;&gt;$J558,$I558=$M558,$J558=$L558),-2,IF(SIGN($I558-$J558)=SIGN($L558-$M558),1,0)))))</x:f>
      </x:c>
      <x:c r="P558" s="59" t="str">
        <x:f>IF(OR($H558&lt;&gt;"Sim",$I558="",$J558="",$L558="",$M558=""),"",IF(AND(IF($I558&gt;$J558,$F558,IF($I558&lt;$J558,$G558,$K558))&lt;&gt;"",IF($L558&gt;$M558,$F558,IF($L558&lt;$M558,$G558,$N558))&lt;&gt;"",IF($I558&gt;$J558,$F558,IF($I558&lt;$J558,$G558,$K558))=IF($L558&gt;$M558,$F558,IF($L558&lt;$M558,$G558,$N558))),1,0))</x:f>
      </x:c>
      <x:c r="Q558" s="59" t="str">
        <x:f>IF($O558="","",$O558+$P558)</x:f>
      </x:c>
      <x:c r="R558" s="59" t="str">
        <x:f>IF($Q558="","",IF($O558=3,"Cravada",IF(AND($H558="Sim",$L558=$M558,$I558=$J558,$O558=2),"Empate cravado",IF($O558=1,"Resultado certo",IF($O558=-2,"Invertida",IF($P558=1,"Acertou quem passa","Erro"))))))</x:f>
      </x:c>
      <x:c r="S558" s="59" t="str">
        <x:f>IF($O558="","",--(OR($O558=3,AND($H558="Sim",$L558=$M558,$I558=$J558,$O558=2))))</x:f>
      </x:c>
      <x:c r="T558" s="59" t="str">
        <x:f>IF($O558="","",--($O558=-2))</x:f>
      </x:c>
      <x:c r="U558" s="59" t="str">
        <x:f>IF($O558="","",--($O558=1))</x:f>
      </x:c>
      <x:c r="V558" s="59" t="n">
        <x:f>--(AND($I558&lt;&gt;"",$J558&lt;&gt;""))</x:f>
        <x:v>0</x:v>
      </x:c>
    </x:row>
    <x:row r="559">
      <x:c r="A559" s="21" t="str">
        <x:f>INDEX(Config!$B$10:$B$16,INT((ROW()-5)/104)+1)</x:f>
        <x:v>Vitão</x:v>
      </x:c>
      <x:c r="B559" s="21" t="str">
        <x:v>GF5</x:v>
      </x:c>
      <x:c r="C559" s="21" t="n">
        <x:v>35</x:v>
      </x:c>
      <x:c r="D559" s="21" t="str">
        <x:v>Grupo F</x:v>
      </x:c>
      <x:c r="E559" s="21" t="str">
        <x:v>2026-06-25</x:v>
      </x:c>
      <x:c r="F559" s="21" t="str">
        <x:f>IFERROR(INDEX('Resultados'!$G$5:$G$108,MATCH($B559,'Resultados'!$A$5:$A$108,0)),"")</x:f>
        <x:v>Holanda</x:v>
      </x:c>
      <x:c r="G559" s="21" t="str">
        <x:f>IFERROR(INDEX('Resultados'!$J$5:$J$108,MATCH($B559,'Resultados'!$A$5:$A$108,0)),"")</x:f>
        <x:v>Tunísia</x:v>
      </x:c>
      <x:c r="H559" s="21" t="str">
        <x:v>Não</x:v>
      </x:c>
      <x:c r="I559" s="22"/>
      <x:c r="J559" s="22"/>
      <x:c r="K559" s="23"/>
      <x:c r="L559" s="21" t="str">
        <x:f>IFERROR(INDEX('Resultados'!$H$5:$H$108,MATCH($B559,'Resultados'!$A$5:$A$108,0)),"")</x:f>
      </x:c>
      <x:c r="M559" s="21" t="str">
        <x:f>IFERROR(INDEX('Resultados'!$I$5:$I$108,MATCH($B559,'Resultados'!$A$5:$A$108,0)),"")</x:f>
      </x:c>
      <x:c r="N559" s="21" t="str">
        <x:f>IFERROR(INDEX('Resultados'!$L$5:$L$108,MATCH($B559,'Resultados'!$A$5:$A$108,0)),"")</x:f>
      </x:c>
      <x:c r="O559" s="59" t="str">
        <x:f>IF(OR($I559="",$J559="",$L559="",$M559=""),"",IF(AND($H559="Sim",$L559=$M559),IF($I559&lt;&gt;$J559,0,IF(AND($I559=$L559,$J559=$M559),2,1)),IF(AND($I559=$L559,$J559=$M559),3,IF(AND($I559&lt;&gt;$J559,$I559=$M559,$J559=$L559),-2,IF(SIGN($I559-$J559)=SIGN($L559-$M559),1,0)))))</x:f>
      </x:c>
      <x:c r="P559" s="59" t="str">
        <x:f>IF(OR($H559&lt;&gt;"Sim",$I559="",$J559="",$L559="",$M559=""),"",IF(AND(IF($I559&gt;$J559,$F559,IF($I559&lt;$J559,$G559,$K559))&lt;&gt;"",IF($L559&gt;$M559,$F559,IF($L559&lt;$M559,$G559,$N559))&lt;&gt;"",IF($I559&gt;$J559,$F559,IF($I559&lt;$J559,$G559,$K559))=IF($L559&gt;$M559,$F559,IF($L559&lt;$M559,$G559,$N559))),1,0))</x:f>
      </x:c>
      <x:c r="Q559" s="59" t="str">
        <x:f>IF($O559="","",$O559+$P559)</x:f>
      </x:c>
      <x:c r="R559" s="59" t="str">
        <x:f>IF($Q559="","",IF($O559=3,"Cravada",IF(AND($H559="Sim",$L559=$M559,$I559=$J559,$O559=2),"Empate cravado",IF($O559=1,"Resultado certo",IF($O559=-2,"Invertida",IF($P559=1,"Acertou quem passa","Erro"))))))</x:f>
      </x:c>
      <x:c r="S559" s="59" t="str">
        <x:f>IF($O559="","",--(OR($O559=3,AND($H559="Sim",$L559=$M559,$I559=$J559,$O559=2))))</x:f>
      </x:c>
      <x:c r="T559" s="59" t="str">
        <x:f>IF($O559="","",--($O559=-2))</x:f>
      </x:c>
      <x:c r="U559" s="59" t="str">
        <x:f>IF($O559="","",--($O559=1))</x:f>
      </x:c>
      <x:c r="V559" s="59" t="n">
        <x:f>--(AND($I559&lt;&gt;"",$J559&lt;&gt;""))</x:f>
        <x:v>0</x:v>
      </x:c>
    </x:row>
    <x:row r="560">
      <x:c r="A560" s="21" t="str">
        <x:f>INDEX(Config!$B$10:$B$16,INT((ROW()-5)/104)+1)</x:f>
        <x:v>Vitão</x:v>
      </x:c>
      <x:c r="B560" s="21" t="str">
        <x:v>GF6</x:v>
      </x:c>
      <x:c r="C560" s="21" t="n">
        <x:v>36</x:v>
      </x:c>
      <x:c r="D560" s="21" t="str">
        <x:v>Grupo F</x:v>
      </x:c>
      <x:c r="E560" s="21" t="str">
        <x:v>2026-06-25</x:v>
      </x:c>
      <x:c r="F560" s="21" t="str">
        <x:f>IFERROR(INDEX('Resultados'!$G$5:$G$108,MATCH($B560,'Resultados'!$A$5:$A$108,0)),"")</x:f>
        <x:v>Japão</x:v>
      </x:c>
      <x:c r="G560" s="21" t="str">
        <x:f>IFERROR(INDEX('Resultados'!$J$5:$J$108,MATCH($B560,'Resultados'!$A$5:$A$108,0)),"")</x:f>
        <x:v>Suécia</x:v>
      </x:c>
      <x:c r="H560" s="21" t="str">
        <x:v>Não</x:v>
      </x:c>
      <x:c r="I560" s="22"/>
      <x:c r="J560" s="22"/>
      <x:c r="K560" s="23"/>
      <x:c r="L560" s="21" t="str">
        <x:f>IFERROR(INDEX('Resultados'!$H$5:$H$108,MATCH($B560,'Resultados'!$A$5:$A$108,0)),"")</x:f>
      </x:c>
      <x:c r="M560" s="21" t="str">
        <x:f>IFERROR(INDEX('Resultados'!$I$5:$I$108,MATCH($B560,'Resultados'!$A$5:$A$108,0)),"")</x:f>
      </x:c>
      <x:c r="N560" s="21" t="str">
        <x:f>IFERROR(INDEX('Resultados'!$L$5:$L$108,MATCH($B560,'Resultados'!$A$5:$A$108,0)),"")</x:f>
      </x:c>
      <x:c r="O560" s="59" t="str">
        <x:f>IF(OR($I560="",$J560="",$L560="",$M560=""),"",IF(AND($H560="Sim",$L560=$M560),IF($I560&lt;&gt;$J560,0,IF(AND($I560=$L560,$J560=$M560),2,1)),IF(AND($I560=$L560,$J560=$M560),3,IF(AND($I560&lt;&gt;$J560,$I560=$M560,$J560=$L560),-2,IF(SIGN($I560-$J560)=SIGN($L560-$M560),1,0)))))</x:f>
      </x:c>
      <x:c r="P560" s="59" t="str">
        <x:f>IF(OR($H560&lt;&gt;"Sim",$I560="",$J560="",$L560="",$M560=""),"",IF(AND(IF($I560&gt;$J560,$F560,IF($I560&lt;$J560,$G560,$K560))&lt;&gt;"",IF($L560&gt;$M560,$F560,IF($L560&lt;$M560,$G560,$N560))&lt;&gt;"",IF($I560&gt;$J560,$F560,IF($I560&lt;$J560,$G560,$K560))=IF($L560&gt;$M560,$F560,IF($L560&lt;$M560,$G560,$N560))),1,0))</x:f>
      </x:c>
      <x:c r="Q560" s="59" t="str">
        <x:f>IF($O560="","",$O560+$P560)</x:f>
      </x:c>
      <x:c r="R560" s="59" t="str">
        <x:f>IF($Q560="","",IF($O560=3,"Cravada",IF(AND($H560="Sim",$L560=$M560,$I560=$J560,$O560=2),"Empate cravado",IF($O560=1,"Resultado certo",IF($O560=-2,"Invertida",IF($P560=1,"Acertou quem passa","Erro"))))))</x:f>
      </x:c>
      <x:c r="S560" s="59" t="str">
        <x:f>IF($O560="","",--(OR($O560=3,AND($H560="Sim",$L560=$M560,$I560=$J560,$O560=2))))</x:f>
      </x:c>
      <x:c r="T560" s="59" t="str">
        <x:f>IF($O560="","",--($O560=-2))</x:f>
      </x:c>
      <x:c r="U560" s="59" t="str">
        <x:f>IF($O560="","",--($O560=1))</x:f>
      </x:c>
      <x:c r="V560" s="59" t="n">
        <x:f>--(AND($I560&lt;&gt;"",$J560&lt;&gt;""))</x:f>
        <x:v>0</x:v>
      </x:c>
    </x:row>
    <x:row r="561">
      <x:c r="A561" s="21" t="str">
        <x:f>INDEX(Config!$B$10:$B$16,INT((ROW()-5)/104)+1)</x:f>
        <x:v>Vitão</x:v>
      </x:c>
      <x:c r="B561" s="21" t="str">
        <x:v>GG1</x:v>
      </x:c>
      <x:c r="C561" s="21" t="n">
        <x:v>37</x:v>
      </x:c>
      <x:c r="D561" s="21" t="str">
        <x:v>Grupo G</x:v>
      </x:c>
      <x:c r="E561" s="21" t="str">
        <x:v>2026-06-15</x:v>
      </x:c>
      <x:c r="F561" s="21" t="str">
        <x:f>IFERROR(INDEX('Resultados'!$G$5:$G$108,MATCH($B561,'Resultados'!$A$5:$A$108,0)),"")</x:f>
        <x:v>Bélgica</x:v>
      </x:c>
      <x:c r="G561" s="21" t="str">
        <x:f>IFERROR(INDEX('Resultados'!$J$5:$J$108,MATCH($B561,'Resultados'!$A$5:$A$108,0)),"")</x:f>
        <x:v>Egito</x:v>
      </x:c>
      <x:c r="H561" s="21" t="str">
        <x:v>Não</x:v>
      </x:c>
      <x:c r="I561" s="22"/>
      <x:c r="J561" s="22"/>
      <x:c r="K561" s="23"/>
      <x:c r="L561" s="21" t="str">
        <x:f>IFERROR(INDEX('Resultados'!$H$5:$H$108,MATCH($B561,'Resultados'!$A$5:$A$108,0)),"")</x:f>
      </x:c>
      <x:c r="M561" s="21" t="str">
        <x:f>IFERROR(INDEX('Resultados'!$I$5:$I$108,MATCH($B561,'Resultados'!$A$5:$A$108,0)),"")</x:f>
      </x:c>
      <x:c r="N561" s="21" t="str">
        <x:f>IFERROR(INDEX('Resultados'!$L$5:$L$108,MATCH($B561,'Resultados'!$A$5:$A$108,0)),"")</x:f>
      </x:c>
      <x:c r="O561" s="59" t="str">
        <x:f>IF(OR($I561="",$J561="",$L561="",$M561=""),"",IF(AND($H561="Sim",$L561=$M561),IF($I561&lt;&gt;$J561,0,IF(AND($I561=$L561,$J561=$M561),2,1)),IF(AND($I561=$L561,$J561=$M561),3,IF(AND($I561&lt;&gt;$J561,$I561=$M561,$J561=$L561),-2,IF(SIGN($I561-$J561)=SIGN($L561-$M561),1,0)))))</x:f>
      </x:c>
      <x:c r="P561" s="59" t="str">
        <x:f>IF(OR($H561&lt;&gt;"Sim",$I561="",$J561="",$L561="",$M561=""),"",IF(AND(IF($I561&gt;$J561,$F561,IF($I561&lt;$J561,$G561,$K561))&lt;&gt;"",IF($L561&gt;$M561,$F561,IF($L561&lt;$M561,$G561,$N561))&lt;&gt;"",IF($I561&gt;$J561,$F561,IF($I561&lt;$J561,$G561,$K561))=IF($L561&gt;$M561,$F561,IF($L561&lt;$M561,$G561,$N561))),1,0))</x:f>
      </x:c>
      <x:c r="Q561" s="59" t="str">
        <x:f>IF($O561="","",$O561+$P561)</x:f>
      </x:c>
      <x:c r="R561" s="59" t="str">
        <x:f>IF($Q561="","",IF($O561=3,"Cravada",IF(AND($H561="Sim",$L561=$M561,$I561=$J561,$O561=2),"Empate cravado",IF($O561=1,"Resultado certo",IF($O561=-2,"Invertida",IF($P561=1,"Acertou quem passa","Erro"))))))</x:f>
      </x:c>
      <x:c r="S561" s="59" t="str">
        <x:f>IF($O561="","",--(OR($O561=3,AND($H561="Sim",$L561=$M561,$I561=$J561,$O561=2))))</x:f>
      </x:c>
      <x:c r="T561" s="59" t="str">
        <x:f>IF($O561="","",--($O561=-2))</x:f>
      </x:c>
      <x:c r="U561" s="59" t="str">
        <x:f>IF($O561="","",--($O561=1))</x:f>
      </x:c>
      <x:c r="V561" s="59" t="n">
        <x:f>--(AND($I561&lt;&gt;"",$J561&lt;&gt;""))</x:f>
        <x:v>0</x:v>
      </x:c>
    </x:row>
    <x:row r="562">
      <x:c r="A562" s="21" t="str">
        <x:f>INDEX(Config!$B$10:$B$16,INT((ROW()-5)/104)+1)</x:f>
        <x:v>Vitão</x:v>
      </x:c>
      <x:c r="B562" s="21" t="str">
        <x:v>GG2</x:v>
      </x:c>
      <x:c r="C562" s="21" t="n">
        <x:v>38</x:v>
      </x:c>
      <x:c r="D562" s="21" t="str">
        <x:v>Grupo G</x:v>
      </x:c>
      <x:c r="E562" s="21" t="str">
        <x:v>2026-06-15</x:v>
      </x:c>
      <x:c r="F562" s="21" t="str">
        <x:f>IFERROR(INDEX('Resultados'!$G$5:$G$108,MATCH($B562,'Resultados'!$A$5:$A$108,0)),"")</x:f>
        <x:v>Irã</x:v>
      </x:c>
      <x:c r="G562" s="21" t="str">
        <x:f>IFERROR(INDEX('Resultados'!$J$5:$J$108,MATCH($B562,'Resultados'!$A$5:$A$108,0)),"")</x:f>
        <x:v>Nova Zelândia</x:v>
      </x:c>
      <x:c r="H562" s="21" t="str">
        <x:v>Não</x:v>
      </x:c>
      <x:c r="I562" s="22"/>
      <x:c r="J562" s="22"/>
      <x:c r="K562" s="23"/>
      <x:c r="L562" s="21" t="str">
        <x:f>IFERROR(INDEX('Resultados'!$H$5:$H$108,MATCH($B562,'Resultados'!$A$5:$A$108,0)),"")</x:f>
      </x:c>
      <x:c r="M562" s="21" t="str">
        <x:f>IFERROR(INDEX('Resultados'!$I$5:$I$108,MATCH($B562,'Resultados'!$A$5:$A$108,0)),"")</x:f>
      </x:c>
      <x:c r="N562" s="21" t="str">
        <x:f>IFERROR(INDEX('Resultados'!$L$5:$L$108,MATCH($B562,'Resultados'!$A$5:$A$108,0)),"")</x:f>
      </x:c>
      <x:c r="O562" s="59" t="str">
        <x:f>IF(OR($I562="",$J562="",$L562="",$M562=""),"",IF(AND($H562="Sim",$L562=$M562),IF($I562&lt;&gt;$J562,0,IF(AND($I562=$L562,$J562=$M562),2,1)),IF(AND($I562=$L562,$J562=$M562),3,IF(AND($I562&lt;&gt;$J562,$I562=$M562,$J562=$L562),-2,IF(SIGN($I562-$J562)=SIGN($L562-$M562),1,0)))))</x:f>
      </x:c>
      <x:c r="P562" s="59" t="str">
        <x:f>IF(OR($H562&lt;&gt;"Sim",$I562="",$J562="",$L562="",$M562=""),"",IF(AND(IF($I562&gt;$J562,$F562,IF($I562&lt;$J562,$G562,$K562))&lt;&gt;"",IF($L562&gt;$M562,$F562,IF($L562&lt;$M562,$G562,$N562))&lt;&gt;"",IF($I562&gt;$J562,$F562,IF($I562&lt;$J562,$G562,$K562))=IF($L562&gt;$M562,$F562,IF($L562&lt;$M562,$G562,$N562))),1,0))</x:f>
      </x:c>
      <x:c r="Q562" s="59" t="str">
        <x:f>IF($O562="","",$O562+$P562)</x:f>
      </x:c>
      <x:c r="R562" s="59" t="str">
        <x:f>IF($Q562="","",IF($O562=3,"Cravada",IF(AND($H562="Sim",$L562=$M562,$I562=$J562,$O562=2),"Empate cravado",IF($O562=1,"Resultado certo",IF($O562=-2,"Invertida",IF($P562=1,"Acertou quem passa","Erro"))))))</x:f>
      </x:c>
      <x:c r="S562" s="59" t="str">
        <x:f>IF($O562="","",--(OR($O562=3,AND($H562="Sim",$L562=$M562,$I562=$J562,$O562=2))))</x:f>
      </x:c>
      <x:c r="T562" s="59" t="str">
        <x:f>IF($O562="","",--($O562=-2))</x:f>
      </x:c>
      <x:c r="U562" s="59" t="str">
        <x:f>IF($O562="","",--($O562=1))</x:f>
      </x:c>
      <x:c r="V562" s="59" t="n">
        <x:f>--(AND($I562&lt;&gt;"",$J562&lt;&gt;""))</x:f>
        <x:v>0</x:v>
      </x:c>
    </x:row>
    <x:row r="563">
      <x:c r="A563" s="21" t="str">
        <x:f>INDEX(Config!$B$10:$B$16,INT((ROW()-5)/104)+1)</x:f>
        <x:v>Vitão</x:v>
      </x:c>
      <x:c r="B563" s="21" t="str">
        <x:v>GG3</x:v>
      </x:c>
      <x:c r="C563" s="21" t="n">
        <x:v>39</x:v>
      </x:c>
      <x:c r="D563" s="21" t="str">
        <x:v>Grupo G</x:v>
      </x:c>
      <x:c r="E563" s="21" t="str">
        <x:v>2026-06-21</x:v>
      </x:c>
      <x:c r="F563" s="21" t="str">
        <x:f>IFERROR(INDEX('Resultados'!$G$5:$G$108,MATCH($B563,'Resultados'!$A$5:$A$108,0)),"")</x:f>
        <x:v>Bélgica</x:v>
      </x:c>
      <x:c r="G563" s="21" t="str">
        <x:f>IFERROR(INDEX('Resultados'!$J$5:$J$108,MATCH($B563,'Resultados'!$A$5:$A$108,0)),"")</x:f>
        <x:v>Irã</x:v>
      </x:c>
      <x:c r="H563" s="21" t="str">
        <x:v>Não</x:v>
      </x:c>
      <x:c r="I563" s="22"/>
      <x:c r="J563" s="22"/>
      <x:c r="K563" s="23"/>
      <x:c r="L563" s="21" t="str">
        <x:f>IFERROR(INDEX('Resultados'!$H$5:$H$108,MATCH($B563,'Resultados'!$A$5:$A$108,0)),"")</x:f>
      </x:c>
      <x:c r="M563" s="21" t="str">
        <x:f>IFERROR(INDEX('Resultados'!$I$5:$I$108,MATCH($B563,'Resultados'!$A$5:$A$108,0)),"")</x:f>
      </x:c>
      <x:c r="N563" s="21" t="str">
        <x:f>IFERROR(INDEX('Resultados'!$L$5:$L$108,MATCH($B563,'Resultados'!$A$5:$A$108,0)),"")</x:f>
      </x:c>
      <x:c r="O563" s="59" t="str">
        <x:f>IF(OR($I563="",$J563="",$L563="",$M563=""),"",IF(AND($H563="Sim",$L563=$M563),IF($I563&lt;&gt;$J563,0,IF(AND($I563=$L563,$J563=$M563),2,1)),IF(AND($I563=$L563,$J563=$M563),3,IF(AND($I563&lt;&gt;$J563,$I563=$M563,$J563=$L563),-2,IF(SIGN($I563-$J563)=SIGN($L563-$M563),1,0)))))</x:f>
      </x:c>
      <x:c r="P563" s="59" t="str">
        <x:f>IF(OR($H563&lt;&gt;"Sim",$I563="",$J563="",$L563="",$M563=""),"",IF(AND(IF($I563&gt;$J563,$F563,IF($I563&lt;$J563,$G563,$K563))&lt;&gt;"",IF($L563&gt;$M563,$F563,IF($L563&lt;$M563,$G563,$N563))&lt;&gt;"",IF($I563&gt;$J563,$F563,IF($I563&lt;$J563,$G563,$K563))=IF($L563&gt;$M563,$F563,IF($L563&lt;$M563,$G563,$N563))),1,0))</x:f>
      </x:c>
      <x:c r="Q563" s="59" t="str">
        <x:f>IF($O563="","",$O563+$P563)</x:f>
      </x:c>
      <x:c r="R563" s="59" t="str">
        <x:f>IF($Q563="","",IF($O563=3,"Cravada",IF(AND($H563="Sim",$L563=$M563,$I563=$J563,$O563=2),"Empate cravado",IF($O563=1,"Resultado certo",IF($O563=-2,"Invertida",IF($P563=1,"Acertou quem passa","Erro"))))))</x:f>
      </x:c>
      <x:c r="S563" s="59" t="str">
        <x:f>IF($O563="","",--(OR($O563=3,AND($H563="Sim",$L563=$M563,$I563=$J563,$O563=2))))</x:f>
      </x:c>
      <x:c r="T563" s="59" t="str">
        <x:f>IF($O563="","",--($O563=-2))</x:f>
      </x:c>
      <x:c r="U563" s="59" t="str">
        <x:f>IF($O563="","",--($O563=1))</x:f>
      </x:c>
      <x:c r="V563" s="59" t="n">
        <x:f>--(AND($I563&lt;&gt;"",$J563&lt;&gt;""))</x:f>
        <x:v>0</x:v>
      </x:c>
    </x:row>
    <x:row r="564">
      <x:c r="A564" s="21" t="str">
        <x:f>INDEX(Config!$B$10:$B$16,INT((ROW()-5)/104)+1)</x:f>
        <x:v>Vitão</x:v>
      </x:c>
      <x:c r="B564" s="21" t="str">
        <x:v>GG4</x:v>
      </x:c>
      <x:c r="C564" s="21" t="n">
        <x:v>40</x:v>
      </x:c>
      <x:c r="D564" s="21" t="str">
        <x:v>Grupo G</x:v>
      </x:c>
      <x:c r="E564" s="21" t="str">
        <x:v>2026-06-21</x:v>
      </x:c>
      <x:c r="F564" s="21" t="str">
        <x:f>IFERROR(INDEX('Resultados'!$G$5:$G$108,MATCH($B564,'Resultados'!$A$5:$A$108,0)),"")</x:f>
        <x:v>Egito</x:v>
      </x:c>
      <x:c r="G564" s="21" t="str">
        <x:f>IFERROR(INDEX('Resultados'!$J$5:$J$108,MATCH($B564,'Resultados'!$A$5:$A$108,0)),"")</x:f>
        <x:v>Nova Zelândia</x:v>
      </x:c>
      <x:c r="H564" s="21" t="str">
        <x:v>Não</x:v>
      </x:c>
      <x:c r="I564" s="22"/>
      <x:c r="J564" s="22"/>
      <x:c r="K564" s="23"/>
      <x:c r="L564" s="21" t="str">
        <x:f>IFERROR(INDEX('Resultados'!$H$5:$H$108,MATCH($B564,'Resultados'!$A$5:$A$108,0)),"")</x:f>
      </x:c>
      <x:c r="M564" s="21" t="str">
        <x:f>IFERROR(INDEX('Resultados'!$I$5:$I$108,MATCH($B564,'Resultados'!$A$5:$A$108,0)),"")</x:f>
      </x:c>
      <x:c r="N564" s="21" t="str">
        <x:f>IFERROR(INDEX('Resultados'!$L$5:$L$108,MATCH($B564,'Resultados'!$A$5:$A$108,0)),"")</x:f>
      </x:c>
      <x:c r="O564" s="59" t="str">
        <x:f>IF(OR($I564="",$J564="",$L564="",$M564=""),"",IF(AND($H564="Sim",$L564=$M564),IF($I564&lt;&gt;$J564,0,IF(AND($I564=$L564,$J564=$M564),2,1)),IF(AND($I564=$L564,$J564=$M564),3,IF(AND($I564&lt;&gt;$J564,$I564=$M564,$J564=$L564),-2,IF(SIGN($I564-$J564)=SIGN($L564-$M564),1,0)))))</x:f>
      </x:c>
      <x:c r="P564" s="59" t="str">
        <x:f>IF(OR($H564&lt;&gt;"Sim",$I564="",$J564="",$L564="",$M564=""),"",IF(AND(IF($I564&gt;$J564,$F564,IF($I564&lt;$J564,$G564,$K564))&lt;&gt;"",IF($L564&gt;$M564,$F564,IF($L564&lt;$M564,$G564,$N564))&lt;&gt;"",IF($I564&gt;$J564,$F564,IF($I564&lt;$J564,$G564,$K564))=IF($L564&gt;$M564,$F564,IF($L564&lt;$M564,$G564,$N564))),1,0))</x:f>
      </x:c>
      <x:c r="Q564" s="59" t="str">
        <x:f>IF($O564="","",$O564+$P564)</x:f>
      </x:c>
      <x:c r="R564" s="59" t="str">
        <x:f>IF($Q564="","",IF($O564=3,"Cravada",IF(AND($H564="Sim",$L564=$M564,$I564=$J564,$O564=2),"Empate cravado",IF($O564=1,"Resultado certo",IF($O564=-2,"Invertida",IF($P564=1,"Acertou quem passa","Erro"))))))</x:f>
      </x:c>
      <x:c r="S564" s="59" t="str">
        <x:f>IF($O564="","",--(OR($O564=3,AND($H564="Sim",$L564=$M564,$I564=$J564,$O564=2))))</x:f>
      </x:c>
      <x:c r="T564" s="59" t="str">
        <x:f>IF($O564="","",--($O564=-2))</x:f>
      </x:c>
      <x:c r="U564" s="59" t="str">
        <x:f>IF($O564="","",--($O564=1))</x:f>
      </x:c>
      <x:c r="V564" s="59" t="n">
        <x:f>--(AND($I564&lt;&gt;"",$J564&lt;&gt;""))</x:f>
        <x:v>0</x:v>
      </x:c>
    </x:row>
    <x:row r="565">
      <x:c r="A565" s="21" t="str">
        <x:f>INDEX(Config!$B$10:$B$16,INT((ROW()-5)/104)+1)</x:f>
        <x:v>Vitão</x:v>
      </x:c>
      <x:c r="B565" s="21" t="str">
        <x:v>GG5</x:v>
      </x:c>
      <x:c r="C565" s="21" t="n">
        <x:v>41</x:v>
      </x:c>
      <x:c r="D565" s="21" t="str">
        <x:v>Grupo G</x:v>
      </x:c>
      <x:c r="E565" s="21" t="str">
        <x:v>2026-06-27</x:v>
      </x:c>
      <x:c r="F565" s="21" t="str">
        <x:f>IFERROR(INDEX('Resultados'!$G$5:$G$108,MATCH($B565,'Resultados'!$A$5:$A$108,0)),"")</x:f>
        <x:v>Bélgica</x:v>
      </x:c>
      <x:c r="G565" s="21" t="str">
        <x:f>IFERROR(INDEX('Resultados'!$J$5:$J$108,MATCH($B565,'Resultados'!$A$5:$A$108,0)),"")</x:f>
        <x:v>Nova Zelândia</x:v>
      </x:c>
      <x:c r="H565" s="21" t="str">
        <x:v>Não</x:v>
      </x:c>
      <x:c r="I565" s="22"/>
      <x:c r="J565" s="22"/>
      <x:c r="K565" s="23"/>
      <x:c r="L565" s="21" t="str">
        <x:f>IFERROR(INDEX('Resultados'!$H$5:$H$108,MATCH($B565,'Resultados'!$A$5:$A$108,0)),"")</x:f>
      </x:c>
      <x:c r="M565" s="21" t="str">
        <x:f>IFERROR(INDEX('Resultados'!$I$5:$I$108,MATCH($B565,'Resultados'!$A$5:$A$108,0)),"")</x:f>
      </x:c>
      <x:c r="N565" s="21" t="str">
        <x:f>IFERROR(INDEX('Resultados'!$L$5:$L$108,MATCH($B565,'Resultados'!$A$5:$A$108,0)),"")</x:f>
      </x:c>
      <x:c r="O565" s="59" t="str">
        <x:f>IF(OR($I565="",$J565="",$L565="",$M565=""),"",IF(AND($H565="Sim",$L565=$M565),IF($I565&lt;&gt;$J565,0,IF(AND($I565=$L565,$J565=$M565),2,1)),IF(AND($I565=$L565,$J565=$M565),3,IF(AND($I565&lt;&gt;$J565,$I565=$M565,$J565=$L565),-2,IF(SIGN($I565-$J565)=SIGN($L565-$M565),1,0)))))</x:f>
      </x:c>
      <x:c r="P565" s="59" t="str">
        <x:f>IF(OR($H565&lt;&gt;"Sim",$I565="",$J565="",$L565="",$M565=""),"",IF(AND(IF($I565&gt;$J565,$F565,IF($I565&lt;$J565,$G565,$K565))&lt;&gt;"",IF($L565&gt;$M565,$F565,IF($L565&lt;$M565,$G565,$N565))&lt;&gt;"",IF($I565&gt;$J565,$F565,IF($I565&lt;$J565,$G565,$K565))=IF($L565&gt;$M565,$F565,IF($L565&lt;$M565,$G565,$N565))),1,0))</x:f>
      </x:c>
      <x:c r="Q565" s="59" t="str">
        <x:f>IF($O565="","",$O565+$P565)</x:f>
      </x:c>
      <x:c r="R565" s="59" t="str">
        <x:f>IF($Q565="","",IF($O565=3,"Cravada",IF(AND($H565="Sim",$L565=$M565,$I565=$J565,$O565=2),"Empate cravado",IF($O565=1,"Resultado certo",IF($O565=-2,"Invertida",IF($P565=1,"Acertou quem passa","Erro"))))))</x:f>
      </x:c>
      <x:c r="S565" s="59" t="str">
        <x:f>IF($O565="","",--(OR($O565=3,AND($H565="Sim",$L565=$M565,$I565=$J565,$O565=2))))</x:f>
      </x:c>
      <x:c r="T565" s="59" t="str">
        <x:f>IF($O565="","",--($O565=-2))</x:f>
      </x:c>
      <x:c r="U565" s="59" t="str">
        <x:f>IF($O565="","",--($O565=1))</x:f>
      </x:c>
      <x:c r="V565" s="59" t="n">
        <x:f>--(AND($I565&lt;&gt;"",$J565&lt;&gt;""))</x:f>
        <x:v>0</x:v>
      </x:c>
    </x:row>
    <x:row r="566">
      <x:c r="A566" s="21" t="str">
        <x:f>INDEX(Config!$B$10:$B$16,INT((ROW()-5)/104)+1)</x:f>
        <x:v>Vitão</x:v>
      </x:c>
      <x:c r="B566" s="21" t="str">
        <x:v>GG6</x:v>
      </x:c>
      <x:c r="C566" s="21" t="n">
        <x:v>42</x:v>
      </x:c>
      <x:c r="D566" s="21" t="str">
        <x:v>Grupo G</x:v>
      </x:c>
      <x:c r="E566" s="21" t="str">
        <x:v>2026-06-27</x:v>
      </x:c>
      <x:c r="F566" s="21" t="str">
        <x:f>IFERROR(INDEX('Resultados'!$G$5:$G$108,MATCH($B566,'Resultados'!$A$5:$A$108,0)),"")</x:f>
        <x:v>Egito</x:v>
      </x:c>
      <x:c r="G566" s="21" t="str">
        <x:f>IFERROR(INDEX('Resultados'!$J$5:$J$108,MATCH($B566,'Resultados'!$A$5:$A$108,0)),"")</x:f>
        <x:v>Irã</x:v>
      </x:c>
      <x:c r="H566" s="21" t="str">
        <x:v>Não</x:v>
      </x:c>
      <x:c r="I566" s="22"/>
      <x:c r="J566" s="22"/>
      <x:c r="K566" s="23"/>
      <x:c r="L566" s="21" t="str">
        <x:f>IFERROR(INDEX('Resultados'!$H$5:$H$108,MATCH($B566,'Resultados'!$A$5:$A$108,0)),"")</x:f>
      </x:c>
      <x:c r="M566" s="21" t="str">
        <x:f>IFERROR(INDEX('Resultados'!$I$5:$I$108,MATCH($B566,'Resultados'!$A$5:$A$108,0)),"")</x:f>
      </x:c>
      <x:c r="N566" s="21" t="str">
        <x:f>IFERROR(INDEX('Resultados'!$L$5:$L$108,MATCH($B566,'Resultados'!$A$5:$A$108,0)),"")</x:f>
      </x:c>
      <x:c r="O566" s="59" t="str">
        <x:f>IF(OR($I566="",$J566="",$L566="",$M566=""),"",IF(AND($H566="Sim",$L566=$M566),IF($I566&lt;&gt;$J566,0,IF(AND($I566=$L566,$J566=$M566),2,1)),IF(AND($I566=$L566,$J566=$M566),3,IF(AND($I566&lt;&gt;$J566,$I566=$M566,$J566=$L566),-2,IF(SIGN($I566-$J566)=SIGN($L566-$M566),1,0)))))</x:f>
      </x:c>
      <x:c r="P566" s="59" t="str">
        <x:f>IF(OR($H566&lt;&gt;"Sim",$I566="",$J566="",$L566="",$M566=""),"",IF(AND(IF($I566&gt;$J566,$F566,IF($I566&lt;$J566,$G566,$K566))&lt;&gt;"",IF($L566&gt;$M566,$F566,IF($L566&lt;$M566,$G566,$N566))&lt;&gt;"",IF($I566&gt;$J566,$F566,IF($I566&lt;$J566,$G566,$K566))=IF($L566&gt;$M566,$F566,IF($L566&lt;$M566,$G566,$N566))),1,0))</x:f>
      </x:c>
      <x:c r="Q566" s="59" t="str">
        <x:f>IF($O566="","",$O566+$P566)</x:f>
      </x:c>
      <x:c r="R566" s="59" t="str">
        <x:f>IF($Q566="","",IF($O566=3,"Cravada",IF(AND($H566="Sim",$L566=$M566,$I566=$J566,$O566=2),"Empate cravado",IF($O566=1,"Resultado certo",IF($O566=-2,"Invertida",IF($P566=1,"Acertou quem passa","Erro"))))))</x:f>
      </x:c>
      <x:c r="S566" s="59" t="str">
        <x:f>IF($O566="","",--(OR($O566=3,AND($H566="Sim",$L566=$M566,$I566=$J566,$O566=2))))</x:f>
      </x:c>
      <x:c r="T566" s="59" t="str">
        <x:f>IF($O566="","",--($O566=-2))</x:f>
      </x:c>
      <x:c r="U566" s="59" t="str">
        <x:f>IF($O566="","",--($O566=1))</x:f>
      </x:c>
      <x:c r="V566" s="59" t="n">
        <x:f>--(AND($I566&lt;&gt;"",$J566&lt;&gt;""))</x:f>
        <x:v>0</x:v>
      </x:c>
    </x:row>
    <x:row r="567">
      <x:c r="A567" s="21" t="str">
        <x:f>INDEX(Config!$B$10:$B$16,INT((ROW()-5)/104)+1)</x:f>
        <x:v>Vitão</x:v>
      </x:c>
      <x:c r="B567" s="21" t="str">
        <x:v>GH1</x:v>
      </x:c>
      <x:c r="C567" s="21" t="n">
        <x:v>43</x:v>
      </x:c>
      <x:c r="D567" s="21" t="str">
        <x:v>Grupo H</x:v>
      </x:c>
      <x:c r="E567" s="21" t="str">
        <x:v>2026-06-15</x:v>
      </x:c>
      <x:c r="F567" s="21" t="str">
        <x:f>IFERROR(INDEX('Resultados'!$G$5:$G$108,MATCH($B567,'Resultados'!$A$5:$A$108,0)),"")</x:f>
        <x:v>Espanha</x:v>
      </x:c>
      <x:c r="G567" s="21" t="str">
        <x:f>IFERROR(INDEX('Resultados'!$J$5:$J$108,MATCH($B567,'Resultados'!$A$5:$A$108,0)),"")</x:f>
        <x:v>Cabo Verde</x:v>
      </x:c>
      <x:c r="H567" s="21" t="str">
        <x:v>Não</x:v>
      </x:c>
      <x:c r="I567" s="22"/>
      <x:c r="J567" s="22"/>
      <x:c r="K567" s="23"/>
      <x:c r="L567" s="21" t="str">
        <x:f>IFERROR(INDEX('Resultados'!$H$5:$H$108,MATCH($B567,'Resultados'!$A$5:$A$108,0)),"")</x:f>
      </x:c>
      <x:c r="M567" s="21" t="str">
        <x:f>IFERROR(INDEX('Resultados'!$I$5:$I$108,MATCH($B567,'Resultados'!$A$5:$A$108,0)),"")</x:f>
      </x:c>
      <x:c r="N567" s="21" t="str">
        <x:f>IFERROR(INDEX('Resultados'!$L$5:$L$108,MATCH($B567,'Resultados'!$A$5:$A$108,0)),"")</x:f>
      </x:c>
      <x:c r="O567" s="59" t="str">
        <x:f>IF(OR($I567="",$J567="",$L567="",$M567=""),"",IF(AND($H567="Sim",$L567=$M567),IF($I567&lt;&gt;$J567,0,IF(AND($I567=$L567,$J567=$M567),2,1)),IF(AND($I567=$L567,$J567=$M567),3,IF(AND($I567&lt;&gt;$J567,$I567=$M567,$J567=$L567),-2,IF(SIGN($I567-$J567)=SIGN($L567-$M567),1,0)))))</x:f>
      </x:c>
      <x:c r="P567" s="59" t="str">
        <x:f>IF(OR($H567&lt;&gt;"Sim",$I567="",$J567="",$L567="",$M567=""),"",IF(AND(IF($I567&gt;$J567,$F567,IF($I567&lt;$J567,$G567,$K567))&lt;&gt;"",IF($L567&gt;$M567,$F567,IF($L567&lt;$M567,$G567,$N567))&lt;&gt;"",IF($I567&gt;$J567,$F567,IF($I567&lt;$J567,$G567,$K567))=IF($L567&gt;$M567,$F567,IF($L567&lt;$M567,$G567,$N567))),1,0))</x:f>
      </x:c>
      <x:c r="Q567" s="59" t="str">
        <x:f>IF($O567="","",$O567+$P567)</x:f>
      </x:c>
      <x:c r="R567" s="59" t="str">
        <x:f>IF($Q567="","",IF($O567=3,"Cravada",IF(AND($H567="Sim",$L567=$M567,$I567=$J567,$O567=2),"Empate cravado",IF($O567=1,"Resultado certo",IF($O567=-2,"Invertida",IF($P567=1,"Acertou quem passa","Erro"))))))</x:f>
      </x:c>
      <x:c r="S567" s="59" t="str">
        <x:f>IF($O567="","",--(OR($O567=3,AND($H567="Sim",$L567=$M567,$I567=$J567,$O567=2))))</x:f>
      </x:c>
      <x:c r="T567" s="59" t="str">
        <x:f>IF($O567="","",--($O567=-2))</x:f>
      </x:c>
      <x:c r="U567" s="59" t="str">
        <x:f>IF($O567="","",--($O567=1))</x:f>
      </x:c>
      <x:c r="V567" s="59" t="n">
        <x:f>--(AND($I567&lt;&gt;"",$J567&lt;&gt;""))</x:f>
        <x:v>0</x:v>
      </x:c>
    </x:row>
    <x:row r="568">
      <x:c r="A568" s="21" t="str">
        <x:f>INDEX(Config!$B$10:$B$16,INT((ROW()-5)/104)+1)</x:f>
        <x:v>Vitão</x:v>
      </x:c>
      <x:c r="B568" s="21" t="str">
        <x:v>GH2</x:v>
      </x:c>
      <x:c r="C568" s="21" t="n">
        <x:v>44</x:v>
      </x:c>
      <x:c r="D568" s="21" t="str">
        <x:v>Grupo H</x:v>
      </x:c>
      <x:c r="E568" s="21" t="str">
        <x:v>2026-06-15</x:v>
      </x:c>
      <x:c r="F568" s="21" t="str">
        <x:f>IFERROR(INDEX('Resultados'!$G$5:$G$108,MATCH($B568,'Resultados'!$A$5:$A$108,0)),"")</x:f>
        <x:v>Arábia Saudita</x:v>
      </x:c>
      <x:c r="G568" s="21" t="str">
        <x:f>IFERROR(INDEX('Resultados'!$J$5:$J$108,MATCH($B568,'Resultados'!$A$5:$A$108,0)),"")</x:f>
        <x:v>Uruguai</x:v>
      </x:c>
      <x:c r="H568" s="21" t="str">
        <x:v>Não</x:v>
      </x:c>
      <x:c r="I568" s="22"/>
      <x:c r="J568" s="22"/>
      <x:c r="K568" s="23"/>
      <x:c r="L568" s="21" t="str">
        <x:f>IFERROR(INDEX('Resultados'!$H$5:$H$108,MATCH($B568,'Resultados'!$A$5:$A$108,0)),"")</x:f>
      </x:c>
      <x:c r="M568" s="21" t="str">
        <x:f>IFERROR(INDEX('Resultados'!$I$5:$I$108,MATCH($B568,'Resultados'!$A$5:$A$108,0)),"")</x:f>
      </x:c>
      <x:c r="N568" s="21" t="str">
        <x:f>IFERROR(INDEX('Resultados'!$L$5:$L$108,MATCH($B568,'Resultados'!$A$5:$A$108,0)),"")</x:f>
      </x:c>
      <x:c r="O568" s="59" t="str">
        <x:f>IF(OR($I568="",$J568="",$L568="",$M568=""),"",IF(AND($H568="Sim",$L568=$M568),IF($I568&lt;&gt;$J568,0,IF(AND($I568=$L568,$J568=$M568),2,1)),IF(AND($I568=$L568,$J568=$M568),3,IF(AND($I568&lt;&gt;$J568,$I568=$M568,$J568=$L568),-2,IF(SIGN($I568-$J568)=SIGN($L568-$M568),1,0)))))</x:f>
      </x:c>
      <x:c r="P568" s="59" t="str">
        <x:f>IF(OR($H568&lt;&gt;"Sim",$I568="",$J568="",$L568="",$M568=""),"",IF(AND(IF($I568&gt;$J568,$F568,IF($I568&lt;$J568,$G568,$K568))&lt;&gt;"",IF($L568&gt;$M568,$F568,IF($L568&lt;$M568,$G568,$N568))&lt;&gt;"",IF($I568&gt;$J568,$F568,IF($I568&lt;$J568,$G568,$K568))=IF($L568&gt;$M568,$F568,IF($L568&lt;$M568,$G568,$N568))),1,0))</x:f>
      </x:c>
      <x:c r="Q568" s="59" t="str">
        <x:f>IF($O568="","",$O568+$P568)</x:f>
      </x:c>
      <x:c r="R568" s="59" t="str">
        <x:f>IF($Q568="","",IF($O568=3,"Cravada",IF(AND($H568="Sim",$L568=$M568,$I568=$J568,$O568=2),"Empate cravado",IF($O568=1,"Resultado certo",IF($O568=-2,"Invertida",IF($P568=1,"Acertou quem passa","Erro"))))))</x:f>
      </x:c>
      <x:c r="S568" s="59" t="str">
        <x:f>IF($O568="","",--(OR($O568=3,AND($H568="Sim",$L568=$M568,$I568=$J568,$O568=2))))</x:f>
      </x:c>
      <x:c r="T568" s="59" t="str">
        <x:f>IF($O568="","",--($O568=-2))</x:f>
      </x:c>
      <x:c r="U568" s="59" t="str">
        <x:f>IF($O568="","",--($O568=1))</x:f>
      </x:c>
      <x:c r="V568" s="59" t="n">
        <x:f>--(AND($I568&lt;&gt;"",$J568&lt;&gt;""))</x:f>
        <x:v>0</x:v>
      </x:c>
    </x:row>
    <x:row r="569">
      <x:c r="A569" s="21" t="str">
        <x:f>INDEX(Config!$B$10:$B$16,INT((ROW()-5)/104)+1)</x:f>
        <x:v>Vitão</x:v>
      </x:c>
      <x:c r="B569" s="21" t="str">
        <x:v>GH3</x:v>
      </x:c>
      <x:c r="C569" s="21" t="n">
        <x:v>45</x:v>
      </x:c>
      <x:c r="D569" s="21" t="str">
        <x:v>Grupo H</x:v>
      </x:c>
      <x:c r="E569" s="21" t="str">
        <x:v>2026-06-21</x:v>
      </x:c>
      <x:c r="F569" s="21" t="str">
        <x:f>IFERROR(INDEX('Resultados'!$G$5:$G$108,MATCH($B569,'Resultados'!$A$5:$A$108,0)),"")</x:f>
        <x:v>Espanha</x:v>
      </x:c>
      <x:c r="G569" s="21" t="str">
        <x:f>IFERROR(INDEX('Resultados'!$J$5:$J$108,MATCH($B569,'Resultados'!$A$5:$A$108,0)),"")</x:f>
        <x:v>Arábia Saudita</x:v>
      </x:c>
      <x:c r="H569" s="21" t="str">
        <x:v>Não</x:v>
      </x:c>
      <x:c r="I569" s="22"/>
      <x:c r="J569" s="22"/>
      <x:c r="K569" s="23"/>
      <x:c r="L569" s="21" t="str">
        <x:f>IFERROR(INDEX('Resultados'!$H$5:$H$108,MATCH($B569,'Resultados'!$A$5:$A$108,0)),"")</x:f>
      </x:c>
      <x:c r="M569" s="21" t="str">
        <x:f>IFERROR(INDEX('Resultados'!$I$5:$I$108,MATCH($B569,'Resultados'!$A$5:$A$108,0)),"")</x:f>
      </x:c>
      <x:c r="N569" s="21" t="str">
        <x:f>IFERROR(INDEX('Resultados'!$L$5:$L$108,MATCH($B569,'Resultados'!$A$5:$A$108,0)),"")</x:f>
      </x:c>
      <x:c r="O569" s="59" t="str">
        <x:f>IF(OR($I569="",$J569="",$L569="",$M569=""),"",IF(AND($H569="Sim",$L569=$M569),IF($I569&lt;&gt;$J569,0,IF(AND($I569=$L569,$J569=$M569),2,1)),IF(AND($I569=$L569,$J569=$M569),3,IF(AND($I569&lt;&gt;$J569,$I569=$M569,$J569=$L569),-2,IF(SIGN($I569-$J569)=SIGN($L569-$M569),1,0)))))</x:f>
      </x:c>
      <x:c r="P569" s="59" t="str">
        <x:f>IF(OR($H569&lt;&gt;"Sim",$I569="",$J569="",$L569="",$M569=""),"",IF(AND(IF($I569&gt;$J569,$F569,IF($I569&lt;$J569,$G569,$K569))&lt;&gt;"",IF($L569&gt;$M569,$F569,IF($L569&lt;$M569,$G569,$N569))&lt;&gt;"",IF($I569&gt;$J569,$F569,IF($I569&lt;$J569,$G569,$K569))=IF($L569&gt;$M569,$F569,IF($L569&lt;$M569,$G569,$N569))),1,0))</x:f>
      </x:c>
      <x:c r="Q569" s="59" t="str">
        <x:f>IF($O569="","",$O569+$P569)</x:f>
      </x:c>
      <x:c r="R569" s="59" t="str">
        <x:f>IF($Q569="","",IF($O569=3,"Cravada",IF(AND($H569="Sim",$L569=$M569,$I569=$J569,$O569=2),"Empate cravado",IF($O569=1,"Resultado certo",IF($O569=-2,"Invertida",IF($P569=1,"Acertou quem passa","Erro"))))))</x:f>
      </x:c>
      <x:c r="S569" s="59" t="str">
        <x:f>IF($O569="","",--(OR($O569=3,AND($H569="Sim",$L569=$M569,$I569=$J569,$O569=2))))</x:f>
      </x:c>
      <x:c r="T569" s="59" t="str">
        <x:f>IF($O569="","",--($O569=-2))</x:f>
      </x:c>
      <x:c r="U569" s="59" t="str">
        <x:f>IF($O569="","",--($O569=1))</x:f>
      </x:c>
      <x:c r="V569" s="59" t="n">
        <x:f>--(AND($I569&lt;&gt;"",$J569&lt;&gt;""))</x:f>
        <x:v>0</x:v>
      </x:c>
    </x:row>
    <x:row r="570">
      <x:c r="A570" s="21" t="str">
        <x:f>INDEX(Config!$B$10:$B$16,INT((ROW()-5)/104)+1)</x:f>
        <x:v>Vitão</x:v>
      </x:c>
      <x:c r="B570" s="21" t="str">
        <x:v>GH4</x:v>
      </x:c>
      <x:c r="C570" s="21" t="n">
        <x:v>46</x:v>
      </x:c>
      <x:c r="D570" s="21" t="str">
        <x:v>Grupo H</x:v>
      </x:c>
      <x:c r="E570" s="21" t="str">
        <x:v>2026-06-21</x:v>
      </x:c>
      <x:c r="F570" s="21" t="str">
        <x:f>IFERROR(INDEX('Resultados'!$G$5:$G$108,MATCH($B570,'Resultados'!$A$5:$A$108,0)),"")</x:f>
        <x:v>Cabo Verde</x:v>
      </x:c>
      <x:c r="G570" s="21" t="str">
        <x:f>IFERROR(INDEX('Resultados'!$J$5:$J$108,MATCH($B570,'Resultados'!$A$5:$A$108,0)),"")</x:f>
        <x:v>Uruguai</x:v>
      </x:c>
      <x:c r="H570" s="21" t="str">
        <x:v>Não</x:v>
      </x:c>
      <x:c r="I570" s="22"/>
      <x:c r="J570" s="22"/>
      <x:c r="K570" s="23"/>
      <x:c r="L570" s="21" t="str">
        <x:f>IFERROR(INDEX('Resultados'!$H$5:$H$108,MATCH($B570,'Resultados'!$A$5:$A$108,0)),"")</x:f>
      </x:c>
      <x:c r="M570" s="21" t="str">
        <x:f>IFERROR(INDEX('Resultados'!$I$5:$I$108,MATCH($B570,'Resultados'!$A$5:$A$108,0)),"")</x:f>
      </x:c>
      <x:c r="N570" s="21" t="str">
        <x:f>IFERROR(INDEX('Resultados'!$L$5:$L$108,MATCH($B570,'Resultados'!$A$5:$A$108,0)),"")</x:f>
      </x:c>
      <x:c r="O570" s="59" t="str">
        <x:f>IF(OR($I570="",$J570="",$L570="",$M570=""),"",IF(AND($H570="Sim",$L570=$M570),IF($I570&lt;&gt;$J570,0,IF(AND($I570=$L570,$J570=$M570),2,1)),IF(AND($I570=$L570,$J570=$M570),3,IF(AND($I570&lt;&gt;$J570,$I570=$M570,$J570=$L570),-2,IF(SIGN($I570-$J570)=SIGN($L570-$M570),1,0)))))</x:f>
      </x:c>
      <x:c r="P570" s="59" t="str">
        <x:f>IF(OR($H570&lt;&gt;"Sim",$I570="",$J570="",$L570="",$M570=""),"",IF(AND(IF($I570&gt;$J570,$F570,IF($I570&lt;$J570,$G570,$K570))&lt;&gt;"",IF($L570&gt;$M570,$F570,IF($L570&lt;$M570,$G570,$N570))&lt;&gt;"",IF($I570&gt;$J570,$F570,IF($I570&lt;$J570,$G570,$K570))=IF($L570&gt;$M570,$F570,IF($L570&lt;$M570,$G570,$N570))),1,0))</x:f>
      </x:c>
      <x:c r="Q570" s="59" t="str">
        <x:f>IF($O570="","",$O570+$P570)</x:f>
      </x:c>
      <x:c r="R570" s="59" t="str">
        <x:f>IF($Q570="","",IF($O570=3,"Cravada",IF(AND($H570="Sim",$L570=$M570,$I570=$J570,$O570=2),"Empate cravado",IF($O570=1,"Resultado certo",IF($O570=-2,"Invertida",IF($P570=1,"Acertou quem passa","Erro"))))))</x:f>
      </x:c>
      <x:c r="S570" s="59" t="str">
        <x:f>IF($O570="","",--(OR($O570=3,AND($H570="Sim",$L570=$M570,$I570=$J570,$O570=2))))</x:f>
      </x:c>
      <x:c r="T570" s="59" t="str">
        <x:f>IF($O570="","",--($O570=-2))</x:f>
      </x:c>
      <x:c r="U570" s="59" t="str">
        <x:f>IF($O570="","",--($O570=1))</x:f>
      </x:c>
      <x:c r="V570" s="59" t="n">
        <x:f>--(AND($I570&lt;&gt;"",$J570&lt;&gt;""))</x:f>
        <x:v>0</x:v>
      </x:c>
    </x:row>
    <x:row r="571">
      <x:c r="A571" s="21" t="str">
        <x:f>INDEX(Config!$B$10:$B$16,INT((ROW()-5)/104)+1)</x:f>
        <x:v>Vitão</x:v>
      </x:c>
      <x:c r="B571" s="21" t="str">
        <x:v>GH5</x:v>
      </x:c>
      <x:c r="C571" s="21" t="n">
        <x:v>47</x:v>
      </x:c>
      <x:c r="D571" s="21" t="str">
        <x:v>Grupo H</x:v>
      </x:c>
      <x:c r="E571" s="21" t="str">
        <x:v>2026-06-26</x:v>
      </x:c>
      <x:c r="F571" s="21" t="str">
        <x:f>IFERROR(INDEX('Resultados'!$G$5:$G$108,MATCH($B571,'Resultados'!$A$5:$A$108,0)),"")</x:f>
        <x:v>Espanha</x:v>
      </x:c>
      <x:c r="G571" s="21" t="str">
        <x:f>IFERROR(INDEX('Resultados'!$J$5:$J$108,MATCH($B571,'Resultados'!$A$5:$A$108,0)),"")</x:f>
        <x:v>Uruguai</x:v>
      </x:c>
      <x:c r="H571" s="21" t="str">
        <x:v>Não</x:v>
      </x:c>
      <x:c r="I571" s="22"/>
      <x:c r="J571" s="22"/>
      <x:c r="K571" s="23"/>
      <x:c r="L571" s="21" t="str">
        <x:f>IFERROR(INDEX('Resultados'!$H$5:$H$108,MATCH($B571,'Resultados'!$A$5:$A$108,0)),"")</x:f>
      </x:c>
      <x:c r="M571" s="21" t="str">
        <x:f>IFERROR(INDEX('Resultados'!$I$5:$I$108,MATCH($B571,'Resultados'!$A$5:$A$108,0)),"")</x:f>
      </x:c>
      <x:c r="N571" s="21" t="str">
        <x:f>IFERROR(INDEX('Resultados'!$L$5:$L$108,MATCH($B571,'Resultados'!$A$5:$A$108,0)),"")</x:f>
      </x:c>
      <x:c r="O571" s="59" t="str">
        <x:f>IF(OR($I571="",$J571="",$L571="",$M571=""),"",IF(AND($H571="Sim",$L571=$M571),IF($I571&lt;&gt;$J571,0,IF(AND($I571=$L571,$J571=$M571),2,1)),IF(AND($I571=$L571,$J571=$M571),3,IF(AND($I571&lt;&gt;$J571,$I571=$M571,$J571=$L571),-2,IF(SIGN($I571-$J571)=SIGN($L571-$M571),1,0)))))</x:f>
      </x:c>
      <x:c r="P571" s="59" t="str">
        <x:f>IF(OR($H571&lt;&gt;"Sim",$I571="",$J571="",$L571="",$M571=""),"",IF(AND(IF($I571&gt;$J571,$F571,IF($I571&lt;$J571,$G571,$K571))&lt;&gt;"",IF($L571&gt;$M571,$F571,IF($L571&lt;$M571,$G571,$N571))&lt;&gt;"",IF($I571&gt;$J571,$F571,IF($I571&lt;$J571,$G571,$K571))=IF($L571&gt;$M571,$F571,IF($L571&lt;$M571,$G571,$N571))),1,0))</x:f>
      </x:c>
      <x:c r="Q571" s="59" t="str">
        <x:f>IF($O571="","",$O571+$P571)</x:f>
      </x:c>
      <x:c r="R571" s="59" t="str">
        <x:f>IF($Q571="","",IF($O571=3,"Cravada",IF(AND($H571="Sim",$L571=$M571,$I571=$J571,$O571=2),"Empate cravado",IF($O571=1,"Resultado certo",IF($O571=-2,"Invertida",IF($P571=1,"Acertou quem passa","Erro"))))))</x:f>
      </x:c>
      <x:c r="S571" s="59" t="str">
        <x:f>IF($O571="","",--(OR($O571=3,AND($H571="Sim",$L571=$M571,$I571=$J571,$O571=2))))</x:f>
      </x:c>
      <x:c r="T571" s="59" t="str">
        <x:f>IF($O571="","",--($O571=-2))</x:f>
      </x:c>
      <x:c r="U571" s="59" t="str">
        <x:f>IF($O571="","",--($O571=1))</x:f>
      </x:c>
      <x:c r="V571" s="59" t="n">
        <x:f>--(AND($I571&lt;&gt;"",$J571&lt;&gt;""))</x:f>
        <x:v>0</x:v>
      </x:c>
    </x:row>
    <x:row r="572">
      <x:c r="A572" s="21" t="str">
        <x:f>INDEX(Config!$B$10:$B$16,INT((ROW()-5)/104)+1)</x:f>
        <x:v>Vitão</x:v>
      </x:c>
      <x:c r="B572" s="21" t="str">
        <x:v>GH6</x:v>
      </x:c>
      <x:c r="C572" s="21" t="n">
        <x:v>48</x:v>
      </x:c>
      <x:c r="D572" s="21" t="str">
        <x:v>Grupo H</x:v>
      </x:c>
      <x:c r="E572" s="21" t="str">
        <x:v>2026-06-26</x:v>
      </x:c>
      <x:c r="F572" s="21" t="str">
        <x:f>IFERROR(INDEX('Resultados'!$G$5:$G$108,MATCH($B572,'Resultados'!$A$5:$A$108,0)),"")</x:f>
        <x:v>Cabo Verde</x:v>
      </x:c>
      <x:c r="G572" s="21" t="str">
        <x:f>IFERROR(INDEX('Resultados'!$J$5:$J$108,MATCH($B572,'Resultados'!$A$5:$A$108,0)),"")</x:f>
        <x:v>Arábia Saudita</x:v>
      </x:c>
      <x:c r="H572" s="21" t="str">
        <x:v>Não</x:v>
      </x:c>
      <x:c r="I572" s="22"/>
      <x:c r="J572" s="22"/>
      <x:c r="K572" s="23"/>
      <x:c r="L572" s="21" t="str">
        <x:f>IFERROR(INDEX('Resultados'!$H$5:$H$108,MATCH($B572,'Resultados'!$A$5:$A$108,0)),"")</x:f>
      </x:c>
      <x:c r="M572" s="21" t="str">
        <x:f>IFERROR(INDEX('Resultados'!$I$5:$I$108,MATCH($B572,'Resultados'!$A$5:$A$108,0)),"")</x:f>
      </x:c>
      <x:c r="N572" s="21" t="str">
        <x:f>IFERROR(INDEX('Resultados'!$L$5:$L$108,MATCH($B572,'Resultados'!$A$5:$A$108,0)),"")</x:f>
      </x:c>
      <x:c r="O572" s="59" t="str">
        <x:f>IF(OR($I572="",$J572="",$L572="",$M572=""),"",IF(AND($H572="Sim",$L572=$M572),IF($I572&lt;&gt;$J572,0,IF(AND($I572=$L572,$J572=$M572),2,1)),IF(AND($I572=$L572,$J572=$M572),3,IF(AND($I572&lt;&gt;$J572,$I572=$M572,$J572=$L572),-2,IF(SIGN($I572-$J572)=SIGN($L572-$M572),1,0)))))</x:f>
      </x:c>
      <x:c r="P572" s="59" t="str">
        <x:f>IF(OR($H572&lt;&gt;"Sim",$I572="",$J572="",$L572="",$M572=""),"",IF(AND(IF($I572&gt;$J572,$F572,IF($I572&lt;$J572,$G572,$K572))&lt;&gt;"",IF($L572&gt;$M572,$F572,IF($L572&lt;$M572,$G572,$N572))&lt;&gt;"",IF($I572&gt;$J572,$F572,IF($I572&lt;$J572,$G572,$K572))=IF($L572&gt;$M572,$F572,IF($L572&lt;$M572,$G572,$N572))),1,0))</x:f>
      </x:c>
      <x:c r="Q572" s="59" t="str">
        <x:f>IF($O572="","",$O572+$P572)</x:f>
      </x:c>
      <x:c r="R572" s="59" t="str">
        <x:f>IF($Q572="","",IF($O572=3,"Cravada",IF(AND($H572="Sim",$L572=$M572,$I572=$J572,$O572=2),"Empate cravado",IF($O572=1,"Resultado certo",IF($O572=-2,"Invertida",IF($P572=1,"Acertou quem passa","Erro"))))))</x:f>
      </x:c>
      <x:c r="S572" s="59" t="str">
        <x:f>IF($O572="","",--(OR($O572=3,AND($H572="Sim",$L572=$M572,$I572=$J572,$O572=2))))</x:f>
      </x:c>
      <x:c r="T572" s="59" t="str">
        <x:f>IF($O572="","",--($O572=-2))</x:f>
      </x:c>
      <x:c r="U572" s="59" t="str">
        <x:f>IF($O572="","",--($O572=1))</x:f>
      </x:c>
      <x:c r="V572" s="59" t="n">
        <x:f>--(AND($I572&lt;&gt;"",$J572&lt;&gt;""))</x:f>
        <x:v>0</x:v>
      </x:c>
    </x:row>
    <x:row r="573">
      <x:c r="A573" s="21" t="str">
        <x:f>INDEX(Config!$B$10:$B$16,INT((ROW()-5)/104)+1)</x:f>
        <x:v>Vitão</x:v>
      </x:c>
      <x:c r="B573" s="21" t="str">
        <x:v>GI1</x:v>
      </x:c>
      <x:c r="C573" s="21" t="n">
        <x:v>49</x:v>
      </x:c>
      <x:c r="D573" s="21" t="str">
        <x:v>Grupo I</x:v>
      </x:c>
      <x:c r="E573" s="21" t="str">
        <x:v>2026-06-16</x:v>
      </x:c>
      <x:c r="F573" s="21" t="str">
        <x:f>IFERROR(INDEX('Resultados'!$G$5:$G$108,MATCH($B573,'Resultados'!$A$5:$A$108,0)),"")</x:f>
        <x:v>França</x:v>
      </x:c>
      <x:c r="G573" s="21" t="str">
        <x:f>IFERROR(INDEX('Resultados'!$J$5:$J$108,MATCH($B573,'Resultados'!$A$5:$A$108,0)),"")</x:f>
        <x:v>Senegal</x:v>
      </x:c>
      <x:c r="H573" s="21" t="str">
        <x:v>Não</x:v>
      </x:c>
      <x:c r="I573" s="22"/>
      <x:c r="J573" s="22"/>
      <x:c r="K573" s="23"/>
      <x:c r="L573" s="21" t="str">
        <x:f>IFERROR(INDEX('Resultados'!$H$5:$H$108,MATCH($B573,'Resultados'!$A$5:$A$108,0)),"")</x:f>
      </x:c>
      <x:c r="M573" s="21" t="str">
        <x:f>IFERROR(INDEX('Resultados'!$I$5:$I$108,MATCH($B573,'Resultados'!$A$5:$A$108,0)),"")</x:f>
      </x:c>
      <x:c r="N573" s="21" t="str">
        <x:f>IFERROR(INDEX('Resultados'!$L$5:$L$108,MATCH($B573,'Resultados'!$A$5:$A$108,0)),"")</x:f>
      </x:c>
      <x:c r="O573" s="59" t="str">
        <x:f>IF(OR($I573="",$J573="",$L573="",$M573=""),"",IF(AND($H573="Sim",$L573=$M573),IF($I573&lt;&gt;$J573,0,IF(AND($I573=$L573,$J573=$M573),2,1)),IF(AND($I573=$L573,$J573=$M573),3,IF(AND($I573&lt;&gt;$J573,$I573=$M573,$J573=$L573),-2,IF(SIGN($I573-$J573)=SIGN($L573-$M573),1,0)))))</x:f>
      </x:c>
      <x:c r="P573" s="59" t="str">
        <x:f>IF(OR($H573&lt;&gt;"Sim",$I573="",$J573="",$L573="",$M573=""),"",IF(AND(IF($I573&gt;$J573,$F573,IF($I573&lt;$J573,$G573,$K573))&lt;&gt;"",IF($L573&gt;$M573,$F573,IF($L573&lt;$M573,$G573,$N573))&lt;&gt;"",IF($I573&gt;$J573,$F573,IF($I573&lt;$J573,$G573,$K573))=IF($L573&gt;$M573,$F573,IF($L573&lt;$M573,$G573,$N573))),1,0))</x:f>
      </x:c>
      <x:c r="Q573" s="59" t="str">
        <x:f>IF($O573="","",$O573+$P573)</x:f>
      </x:c>
      <x:c r="R573" s="59" t="str">
        <x:f>IF($Q573="","",IF($O573=3,"Cravada",IF(AND($H573="Sim",$L573=$M573,$I573=$J573,$O573=2),"Empate cravado",IF($O573=1,"Resultado certo",IF($O573=-2,"Invertida",IF($P573=1,"Acertou quem passa","Erro"))))))</x:f>
      </x:c>
      <x:c r="S573" s="59" t="str">
        <x:f>IF($O573="","",--(OR($O573=3,AND($H573="Sim",$L573=$M573,$I573=$J573,$O573=2))))</x:f>
      </x:c>
      <x:c r="T573" s="59" t="str">
        <x:f>IF($O573="","",--($O573=-2))</x:f>
      </x:c>
      <x:c r="U573" s="59" t="str">
        <x:f>IF($O573="","",--($O573=1))</x:f>
      </x:c>
      <x:c r="V573" s="59" t="n">
        <x:f>--(AND($I573&lt;&gt;"",$J573&lt;&gt;""))</x:f>
        <x:v>0</x:v>
      </x:c>
    </x:row>
    <x:row r="574">
      <x:c r="A574" s="21" t="str">
        <x:f>INDEX(Config!$B$10:$B$16,INT((ROW()-5)/104)+1)</x:f>
        <x:v>Vitão</x:v>
      </x:c>
      <x:c r="B574" s="21" t="str">
        <x:v>GI2</x:v>
      </x:c>
      <x:c r="C574" s="21" t="n">
        <x:v>50</x:v>
      </x:c>
      <x:c r="D574" s="21" t="str">
        <x:v>Grupo I</x:v>
      </x:c>
      <x:c r="E574" s="21" t="str">
        <x:v>2026-06-16</x:v>
      </x:c>
      <x:c r="F574" s="21" t="str">
        <x:f>IFERROR(INDEX('Resultados'!$G$5:$G$108,MATCH($B574,'Resultados'!$A$5:$A$108,0)),"")</x:f>
        <x:v>Iraque</x:v>
      </x:c>
      <x:c r="G574" s="21" t="str">
        <x:f>IFERROR(INDEX('Resultados'!$J$5:$J$108,MATCH($B574,'Resultados'!$A$5:$A$108,0)),"")</x:f>
        <x:v>Noruega</x:v>
      </x:c>
      <x:c r="H574" s="21" t="str">
        <x:v>Não</x:v>
      </x:c>
      <x:c r="I574" s="22"/>
      <x:c r="J574" s="22"/>
      <x:c r="K574" s="23"/>
      <x:c r="L574" s="21" t="str">
        <x:f>IFERROR(INDEX('Resultados'!$H$5:$H$108,MATCH($B574,'Resultados'!$A$5:$A$108,0)),"")</x:f>
      </x:c>
      <x:c r="M574" s="21" t="str">
        <x:f>IFERROR(INDEX('Resultados'!$I$5:$I$108,MATCH($B574,'Resultados'!$A$5:$A$108,0)),"")</x:f>
      </x:c>
      <x:c r="N574" s="21" t="str">
        <x:f>IFERROR(INDEX('Resultados'!$L$5:$L$108,MATCH($B574,'Resultados'!$A$5:$A$108,0)),"")</x:f>
      </x:c>
      <x:c r="O574" s="59" t="str">
        <x:f>IF(OR($I574="",$J574="",$L574="",$M574=""),"",IF(AND($H574="Sim",$L574=$M574),IF($I574&lt;&gt;$J574,0,IF(AND($I574=$L574,$J574=$M574),2,1)),IF(AND($I574=$L574,$J574=$M574),3,IF(AND($I574&lt;&gt;$J574,$I574=$M574,$J574=$L574),-2,IF(SIGN($I574-$J574)=SIGN($L574-$M574),1,0)))))</x:f>
      </x:c>
      <x:c r="P574" s="59" t="str">
        <x:f>IF(OR($H574&lt;&gt;"Sim",$I574="",$J574="",$L574="",$M574=""),"",IF(AND(IF($I574&gt;$J574,$F574,IF($I574&lt;$J574,$G574,$K574))&lt;&gt;"",IF($L574&gt;$M574,$F574,IF($L574&lt;$M574,$G574,$N574))&lt;&gt;"",IF($I574&gt;$J574,$F574,IF($I574&lt;$J574,$G574,$K574))=IF($L574&gt;$M574,$F574,IF($L574&lt;$M574,$G574,$N574))),1,0))</x:f>
      </x:c>
      <x:c r="Q574" s="59" t="str">
        <x:f>IF($O574="","",$O574+$P574)</x:f>
      </x:c>
      <x:c r="R574" s="59" t="str">
        <x:f>IF($Q574="","",IF($O574=3,"Cravada",IF(AND($H574="Sim",$L574=$M574,$I574=$J574,$O574=2),"Empate cravado",IF($O574=1,"Resultado certo",IF($O574=-2,"Invertida",IF($P574=1,"Acertou quem passa","Erro"))))))</x:f>
      </x:c>
      <x:c r="S574" s="59" t="str">
        <x:f>IF($O574="","",--(OR($O574=3,AND($H574="Sim",$L574=$M574,$I574=$J574,$O574=2))))</x:f>
      </x:c>
      <x:c r="T574" s="59" t="str">
        <x:f>IF($O574="","",--($O574=-2))</x:f>
      </x:c>
      <x:c r="U574" s="59" t="str">
        <x:f>IF($O574="","",--($O574=1))</x:f>
      </x:c>
      <x:c r="V574" s="59" t="n">
        <x:f>--(AND($I574&lt;&gt;"",$J574&lt;&gt;""))</x:f>
        <x:v>0</x:v>
      </x:c>
    </x:row>
    <x:row r="575">
      <x:c r="A575" s="21" t="str">
        <x:f>INDEX(Config!$B$10:$B$16,INT((ROW()-5)/104)+1)</x:f>
        <x:v>Vitão</x:v>
      </x:c>
      <x:c r="B575" s="21" t="str">
        <x:v>GI3</x:v>
      </x:c>
      <x:c r="C575" s="21" t="n">
        <x:v>51</x:v>
      </x:c>
      <x:c r="D575" s="21" t="str">
        <x:v>Grupo I</x:v>
      </x:c>
      <x:c r="E575" s="21" t="str">
        <x:v>2026-06-22</x:v>
      </x:c>
      <x:c r="F575" s="21" t="str">
        <x:f>IFERROR(INDEX('Resultados'!$G$5:$G$108,MATCH($B575,'Resultados'!$A$5:$A$108,0)),"")</x:f>
        <x:v>França</x:v>
      </x:c>
      <x:c r="G575" s="21" t="str">
        <x:f>IFERROR(INDEX('Resultados'!$J$5:$J$108,MATCH($B575,'Resultados'!$A$5:$A$108,0)),"")</x:f>
        <x:v>Iraque</x:v>
      </x:c>
      <x:c r="H575" s="21" t="str">
        <x:v>Não</x:v>
      </x:c>
      <x:c r="I575" s="22"/>
      <x:c r="J575" s="22"/>
      <x:c r="K575" s="23"/>
      <x:c r="L575" s="21" t="str">
        <x:f>IFERROR(INDEX('Resultados'!$H$5:$H$108,MATCH($B575,'Resultados'!$A$5:$A$108,0)),"")</x:f>
      </x:c>
      <x:c r="M575" s="21" t="str">
        <x:f>IFERROR(INDEX('Resultados'!$I$5:$I$108,MATCH($B575,'Resultados'!$A$5:$A$108,0)),"")</x:f>
      </x:c>
      <x:c r="N575" s="21" t="str">
        <x:f>IFERROR(INDEX('Resultados'!$L$5:$L$108,MATCH($B575,'Resultados'!$A$5:$A$108,0)),"")</x:f>
      </x:c>
      <x:c r="O575" s="59" t="str">
        <x:f>IF(OR($I575="",$J575="",$L575="",$M575=""),"",IF(AND($H575="Sim",$L575=$M575),IF($I575&lt;&gt;$J575,0,IF(AND($I575=$L575,$J575=$M575),2,1)),IF(AND($I575=$L575,$J575=$M575),3,IF(AND($I575&lt;&gt;$J575,$I575=$M575,$J575=$L575),-2,IF(SIGN($I575-$J575)=SIGN($L575-$M575),1,0)))))</x:f>
      </x:c>
      <x:c r="P575" s="59" t="str">
        <x:f>IF(OR($H575&lt;&gt;"Sim",$I575="",$J575="",$L575="",$M575=""),"",IF(AND(IF($I575&gt;$J575,$F575,IF($I575&lt;$J575,$G575,$K575))&lt;&gt;"",IF($L575&gt;$M575,$F575,IF($L575&lt;$M575,$G575,$N575))&lt;&gt;"",IF($I575&gt;$J575,$F575,IF($I575&lt;$J575,$G575,$K575))=IF($L575&gt;$M575,$F575,IF($L575&lt;$M575,$G575,$N575))),1,0))</x:f>
      </x:c>
      <x:c r="Q575" s="59" t="str">
        <x:f>IF($O575="","",$O575+$P575)</x:f>
      </x:c>
      <x:c r="R575" s="59" t="str">
        <x:f>IF($Q575="","",IF($O575=3,"Cravada",IF(AND($H575="Sim",$L575=$M575,$I575=$J575,$O575=2),"Empate cravado",IF($O575=1,"Resultado certo",IF($O575=-2,"Invertida",IF($P575=1,"Acertou quem passa","Erro"))))))</x:f>
      </x:c>
      <x:c r="S575" s="59" t="str">
        <x:f>IF($O575="","",--(OR($O575=3,AND($H575="Sim",$L575=$M575,$I575=$J575,$O575=2))))</x:f>
      </x:c>
      <x:c r="T575" s="59" t="str">
        <x:f>IF($O575="","",--($O575=-2))</x:f>
      </x:c>
      <x:c r="U575" s="59" t="str">
        <x:f>IF($O575="","",--($O575=1))</x:f>
      </x:c>
      <x:c r="V575" s="59" t="n">
        <x:f>--(AND($I575&lt;&gt;"",$J575&lt;&gt;""))</x:f>
        <x:v>0</x:v>
      </x:c>
    </x:row>
    <x:row r="576">
      <x:c r="A576" s="21" t="str">
        <x:f>INDEX(Config!$B$10:$B$16,INT((ROW()-5)/104)+1)</x:f>
        <x:v>Vitão</x:v>
      </x:c>
      <x:c r="B576" s="21" t="str">
        <x:v>GI4</x:v>
      </x:c>
      <x:c r="C576" s="21" t="n">
        <x:v>52</x:v>
      </x:c>
      <x:c r="D576" s="21" t="str">
        <x:v>Grupo I</x:v>
      </x:c>
      <x:c r="E576" s="21" t="str">
        <x:v>2026-06-22</x:v>
      </x:c>
      <x:c r="F576" s="21" t="str">
        <x:f>IFERROR(INDEX('Resultados'!$G$5:$G$108,MATCH($B576,'Resultados'!$A$5:$A$108,0)),"")</x:f>
        <x:v>Senegal</x:v>
      </x:c>
      <x:c r="G576" s="21" t="str">
        <x:f>IFERROR(INDEX('Resultados'!$J$5:$J$108,MATCH($B576,'Resultados'!$A$5:$A$108,0)),"")</x:f>
        <x:v>Noruega</x:v>
      </x:c>
      <x:c r="H576" s="21" t="str">
        <x:v>Não</x:v>
      </x:c>
      <x:c r="I576" s="22"/>
      <x:c r="J576" s="22"/>
      <x:c r="K576" s="23"/>
      <x:c r="L576" s="21" t="str">
        <x:f>IFERROR(INDEX('Resultados'!$H$5:$H$108,MATCH($B576,'Resultados'!$A$5:$A$108,0)),"")</x:f>
      </x:c>
      <x:c r="M576" s="21" t="str">
        <x:f>IFERROR(INDEX('Resultados'!$I$5:$I$108,MATCH($B576,'Resultados'!$A$5:$A$108,0)),"")</x:f>
      </x:c>
      <x:c r="N576" s="21" t="str">
        <x:f>IFERROR(INDEX('Resultados'!$L$5:$L$108,MATCH($B576,'Resultados'!$A$5:$A$108,0)),"")</x:f>
      </x:c>
      <x:c r="O576" s="59" t="str">
        <x:f>IF(OR($I576="",$J576="",$L576="",$M576=""),"",IF(AND($H576="Sim",$L576=$M576),IF($I576&lt;&gt;$J576,0,IF(AND($I576=$L576,$J576=$M576),2,1)),IF(AND($I576=$L576,$J576=$M576),3,IF(AND($I576&lt;&gt;$J576,$I576=$M576,$J576=$L576),-2,IF(SIGN($I576-$J576)=SIGN($L576-$M576),1,0)))))</x:f>
      </x:c>
      <x:c r="P576" s="59" t="str">
        <x:f>IF(OR($H576&lt;&gt;"Sim",$I576="",$J576="",$L576="",$M576=""),"",IF(AND(IF($I576&gt;$J576,$F576,IF($I576&lt;$J576,$G576,$K576))&lt;&gt;"",IF($L576&gt;$M576,$F576,IF($L576&lt;$M576,$G576,$N576))&lt;&gt;"",IF($I576&gt;$J576,$F576,IF($I576&lt;$J576,$G576,$K576))=IF($L576&gt;$M576,$F576,IF($L576&lt;$M576,$G576,$N576))),1,0))</x:f>
      </x:c>
      <x:c r="Q576" s="59" t="str">
        <x:f>IF($O576="","",$O576+$P576)</x:f>
      </x:c>
      <x:c r="R576" s="59" t="str">
        <x:f>IF($Q576="","",IF($O576=3,"Cravada",IF(AND($H576="Sim",$L576=$M576,$I576=$J576,$O576=2),"Empate cravado",IF($O576=1,"Resultado certo",IF($O576=-2,"Invertida",IF($P576=1,"Acertou quem passa","Erro"))))))</x:f>
      </x:c>
      <x:c r="S576" s="59" t="str">
        <x:f>IF($O576="","",--(OR($O576=3,AND($H576="Sim",$L576=$M576,$I576=$J576,$O576=2))))</x:f>
      </x:c>
      <x:c r="T576" s="59" t="str">
        <x:f>IF($O576="","",--($O576=-2))</x:f>
      </x:c>
      <x:c r="U576" s="59" t="str">
        <x:f>IF($O576="","",--($O576=1))</x:f>
      </x:c>
      <x:c r="V576" s="59" t="n">
        <x:f>--(AND($I576&lt;&gt;"",$J576&lt;&gt;""))</x:f>
        <x:v>0</x:v>
      </x:c>
    </x:row>
    <x:row r="577">
      <x:c r="A577" s="21" t="str">
        <x:f>INDEX(Config!$B$10:$B$16,INT((ROW()-5)/104)+1)</x:f>
        <x:v>Vitão</x:v>
      </x:c>
      <x:c r="B577" s="21" t="str">
        <x:v>GI5</x:v>
      </x:c>
      <x:c r="C577" s="21" t="n">
        <x:v>53</x:v>
      </x:c>
      <x:c r="D577" s="21" t="str">
        <x:v>Grupo I</x:v>
      </x:c>
      <x:c r="E577" s="21" t="str">
        <x:v>2026-06-26</x:v>
      </x:c>
      <x:c r="F577" s="21" t="str">
        <x:f>IFERROR(INDEX('Resultados'!$G$5:$G$108,MATCH($B577,'Resultados'!$A$5:$A$108,0)),"")</x:f>
        <x:v>França</x:v>
      </x:c>
      <x:c r="G577" s="21" t="str">
        <x:f>IFERROR(INDEX('Resultados'!$J$5:$J$108,MATCH($B577,'Resultados'!$A$5:$A$108,0)),"")</x:f>
        <x:v>Noruega</x:v>
      </x:c>
      <x:c r="H577" s="21" t="str">
        <x:v>Não</x:v>
      </x:c>
      <x:c r="I577" s="22"/>
      <x:c r="J577" s="22"/>
      <x:c r="K577" s="23"/>
      <x:c r="L577" s="21" t="str">
        <x:f>IFERROR(INDEX('Resultados'!$H$5:$H$108,MATCH($B577,'Resultados'!$A$5:$A$108,0)),"")</x:f>
      </x:c>
      <x:c r="M577" s="21" t="str">
        <x:f>IFERROR(INDEX('Resultados'!$I$5:$I$108,MATCH($B577,'Resultados'!$A$5:$A$108,0)),"")</x:f>
      </x:c>
      <x:c r="N577" s="21" t="str">
        <x:f>IFERROR(INDEX('Resultados'!$L$5:$L$108,MATCH($B577,'Resultados'!$A$5:$A$108,0)),"")</x:f>
      </x:c>
      <x:c r="O577" s="59" t="str">
        <x:f>IF(OR($I577="",$J577="",$L577="",$M577=""),"",IF(AND($H577="Sim",$L577=$M577),IF($I577&lt;&gt;$J577,0,IF(AND($I577=$L577,$J577=$M577),2,1)),IF(AND($I577=$L577,$J577=$M577),3,IF(AND($I577&lt;&gt;$J577,$I577=$M577,$J577=$L577),-2,IF(SIGN($I577-$J577)=SIGN($L577-$M577),1,0)))))</x:f>
      </x:c>
      <x:c r="P577" s="59" t="str">
        <x:f>IF(OR($H577&lt;&gt;"Sim",$I577="",$J577="",$L577="",$M577=""),"",IF(AND(IF($I577&gt;$J577,$F577,IF($I577&lt;$J577,$G577,$K577))&lt;&gt;"",IF($L577&gt;$M577,$F577,IF($L577&lt;$M577,$G577,$N577))&lt;&gt;"",IF($I577&gt;$J577,$F577,IF($I577&lt;$J577,$G577,$K577))=IF($L577&gt;$M577,$F577,IF($L577&lt;$M577,$G577,$N577))),1,0))</x:f>
      </x:c>
      <x:c r="Q577" s="59" t="str">
        <x:f>IF($O577="","",$O577+$P577)</x:f>
      </x:c>
      <x:c r="R577" s="59" t="str">
        <x:f>IF($Q577="","",IF($O577=3,"Cravada",IF(AND($H577="Sim",$L577=$M577,$I577=$J577,$O577=2),"Empate cravado",IF($O577=1,"Resultado certo",IF($O577=-2,"Invertida",IF($P577=1,"Acertou quem passa","Erro"))))))</x:f>
      </x:c>
      <x:c r="S577" s="59" t="str">
        <x:f>IF($O577="","",--(OR($O577=3,AND($H577="Sim",$L577=$M577,$I577=$J577,$O577=2))))</x:f>
      </x:c>
      <x:c r="T577" s="59" t="str">
        <x:f>IF($O577="","",--($O577=-2))</x:f>
      </x:c>
      <x:c r="U577" s="59" t="str">
        <x:f>IF($O577="","",--($O577=1))</x:f>
      </x:c>
      <x:c r="V577" s="59" t="n">
        <x:f>--(AND($I577&lt;&gt;"",$J577&lt;&gt;""))</x:f>
        <x:v>0</x:v>
      </x:c>
    </x:row>
    <x:row r="578">
      <x:c r="A578" s="21" t="str">
        <x:f>INDEX(Config!$B$10:$B$16,INT((ROW()-5)/104)+1)</x:f>
        <x:v>Vitão</x:v>
      </x:c>
      <x:c r="B578" s="21" t="str">
        <x:v>GI6</x:v>
      </x:c>
      <x:c r="C578" s="21" t="n">
        <x:v>54</x:v>
      </x:c>
      <x:c r="D578" s="21" t="str">
        <x:v>Grupo I</x:v>
      </x:c>
      <x:c r="E578" s="21" t="str">
        <x:v>2026-06-26</x:v>
      </x:c>
      <x:c r="F578" s="21" t="str">
        <x:f>IFERROR(INDEX('Resultados'!$G$5:$G$108,MATCH($B578,'Resultados'!$A$5:$A$108,0)),"")</x:f>
        <x:v>Senegal</x:v>
      </x:c>
      <x:c r="G578" s="21" t="str">
        <x:f>IFERROR(INDEX('Resultados'!$J$5:$J$108,MATCH($B578,'Resultados'!$A$5:$A$108,0)),"")</x:f>
        <x:v>Iraque</x:v>
      </x:c>
      <x:c r="H578" s="21" t="str">
        <x:v>Não</x:v>
      </x:c>
      <x:c r="I578" s="22"/>
      <x:c r="J578" s="22"/>
      <x:c r="K578" s="23"/>
      <x:c r="L578" s="21" t="str">
        <x:f>IFERROR(INDEX('Resultados'!$H$5:$H$108,MATCH($B578,'Resultados'!$A$5:$A$108,0)),"")</x:f>
      </x:c>
      <x:c r="M578" s="21" t="str">
        <x:f>IFERROR(INDEX('Resultados'!$I$5:$I$108,MATCH($B578,'Resultados'!$A$5:$A$108,0)),"")</x:f>
      </x:c>
      <x:c r="N578" s="21" t="str">
        <x:f>IFERROR(INDEX('Resultados'!$L$5:$L$108,MATCH($B578,'Resultados'!$A$5:$A$108,0)),"")</x:f>
      </x:c>
      <x:c r="O578" s="59" t="str">
        <x:f>IF(OR($I578="",$J578="",$L578="",$M578=""),"",IF(AND($H578="Sim",$L578=$M578),IF($I578&lt;&gt;$J578,0,IF(AND($I578=$L578,$J578=$M578),2,1)),IF(AND($I578=$L578,$J578=$M578),3,IF(AND($I578&lt;&gt;$J578,$I578=$M578,$J578=$L578),-2,IF(SIGN($I578-$J578)=SIGN($L578-$M578),1,0)))))</x:f>
      </x:c>
      <x:c r="P578" s="59" t="str">
        <x:f>IF(OR($H578&lt;&gt;"Sim",$I578="",$J578="",$L578="",$M578=""),"",IF(AND(IF($I578&gt;$J578,$F578,IF($I578&lt;$J578,$G578,$K578))&lt;&gt;"",IF($L578&gt;$M578,$F578,IF($L578&lt;$M578,$G578,$N578))&lt;&gt;"",IF($I578&gt;$J578,$F578,IF($I578&lt;$J578,$G578,$K578))=IF($L578&gt;$M578,$F578,IF($L578&lt;$M578,$G578,$N578))),1,0))</x:f>
      </x:c>
      <x:c r="Q578" s="59" t="str">
        <x:f>IF($O578="","",$O578+$P578)</x:f>
      </x:c>
      <x:c r="R578" s="59" t="str">
        <x:f>IF($Q578="","",IF($O578=3,"Cravada",IF(AND($H578="Sim",$L578=$M578,$I578=$J578,$O578=2),"Empate cravado",IF($O578=1,"Resultado certo",IF($O578=-2,"Invertida",IF($P578=1,"Acertou quem passa","Erro"))))))</x:f>
      </x:c>
      <x:c r="S578" s="59" t="str">
        <x:f>IF($O578="","",--(OR($O578=3,AND($H578="Sim",$L578=$M578,$I578=$J578,$O578=2))))</x:f>
      </x:c>
      <x:c r="T578" s="59" t="str">
        <x:f>IF($O578="","",--($O578=-2))</x:f>
      </x:c>
      <x:c r="U578" s="59" t="str">
        <x:f>IF($O578="","",--($O578=1))</x:f>
      </x:c>
      <x:c r="V578" s="59" t="n">
        <x:f>--(AND($I578&lt;&gt;"",$J578&lt;&gt;""))</x:f>
        <x:v>0</x:v>
      </x:c>
    </x:row>
    <x:row r="579">
      <x:c r="A579" s="21" t="str">
        <x:f>INDEX(Config!$B$10:$B$16,INT((ROW()-5)/104)+1)</x:f>
        <x:v>Vitão</x:v>
      </x:c>
      <x:c r="B579" s="21" t="str">
        <x:v>GJ1</x:v>
      </x:c>
      <x:c r="C579" s="21" t="n">
        <x:v>55</x:v>
      </x:c>
      <x:c r="D579" s="21" t="str">
        <x:v>Grupo J</x:v>
      </x:c>
      <x:c r="E579" s="21" t="str">
        <x:v>2026-06-16</x:v>
      </x:c>
      <x:c r="F579" s="21" t="str">
        <x:f>IFERROR(INDEX('Resultados'!$G$5:$G$108,MATCH($B579,'Resultados'!$A$5:$A$108,0)),"")</x:f>
        <x:v>Argentina</x:v>
      </x:c>
      <x:c r="G579" s="21" t="str">
        <x:f>IFERROR(INDEX('Resultados'!$J$5:$J$108,MATCH($B579,'Resultados'!$A$5:$A$108,0)),"")</x:f>
        <x:v>Argélia</x:v>
      </x:c>
      <x:c r="H579" s="21" t="str">
        <x:v>Não</x:v>
      </x:c>
      <x:c r="I579" s="22"/>
      <x:c r="J579" s="22"/>
      <x:c r="K579" s="23"/>
      <x:c r="L579" s="21" t="str">
        <x:f>IFERROR(INDEX('Resultados'!$H$5:$H$108,MATCH($B579,'Resultados'!$A$5:$A$108,0)),"")</x:f>
      </x:c>
      <x:c r="M579" s="21" t="str">
        <x:f>IFERROR(INDEX('Resultados'!$I$5:$I$108,MATCH($B579,'Resultados'!$A$5:$A$108,0)),"")</x:f>
      </x:c>
      <x:c r="N579" s="21" t="str">
        <x:f>IFERROR(INDEX('Resultados'!$L$5:$L$108,MATCH($B579,'Resultados'!$A$5:$A$108,0)),"")</x:f>
      </x:c>
      <x:c r="O579" s="59" t="str">
        <x:f>IF(OR($I579="",$J579="",$L579="",$M579=""),"",IF(AND($H579="Sim",$L579=$M579),IF($I579&lt;&gt;$J579,0,IF(AND($I579=$L579,$J579=$M579),2,1)),IF(AND($I579=$L579,$J579=$M579),3,IF(AND($I579&lt;&gt;$J579,$I579=$M579,$J579=$L579),-2,IF(SIGN($I579-$J579)=SIGN($L579-$M579),1,0)))))</x:f>
      </x:c>
      <x:c r="P579" s="59" t="str">
        <x:f>IF(OR($H579&lt;&gt;"Sim",$I579="",$J579="",$L579="",$M579=""),"",IF(AND(IF($I579&gt;$J579,$F579,IF($I579&lt;$J579,$G579,$K579))&lt;&gt;"",IF($L579&gt;$M579,$F579,IF($L579&lt;$M579,$G579,$N579))&lt;&gt;"",IF($I579&gt;$J579,$F579,IF($I579&lt;$J579,$G579,$K579))=IF($L579&gt;$M579,$F579,IF($L579&lt;$M579,$G579,$N579))),1,0))</x:f>
      </x:c>
      <x:c r="Q579" s="59" t="str">
        <x:f>IF($O579="","",$O579+$P579)</x:f>
      </x:c>
      <x:c r="R579" s="59" t="str">
        <x:f>IF($Q579="","",IF($O579=3,"Cravada",IF(AND($H579="Sim",$L579=$M579,$I579=$J579,$O579=2),"Empate cravado",IF($O579=1,"Resultado certo",IF($O579=-2,"Invertida",IF($P579=1,"Acertou quem passa","Erro"))))))</x:f>
      </x:c>
      <x:c r="S579" s="59" t="str">
        <x:f>IF($O579="","",--(OR($O579=3,AND($H579="Sim",$L579=$M579,$I579=$J579,$O579=2))))</x:f>
      </x:c>
      <x:c r="T579" s="59" t="str">
        <x:f>IF($O579="","",--($O579=-2))</x:f>
      </x:c>
      <x:c r="U579" s="59" t="str">
        <x:f>IF($O579="","",--($O579=1))</x:f>
      </x:c>
      <x:c r="V579" s="59" t="n">
        <x:f>--(AND($I579&lt;&gt;"",$J579&lt;&gt;""))</x:f>
        <x:v>0</x:v>
      </x:c>
    </x:row>
    <x:row r="580">
      <x:c r="A580" s="21" t="str">
        <x:f>INDEX(Config!$B$10:$B$16,INT((ROW()-5)/104)+1)</x:f>
        <x:v>Vitão</x:v>
      </x:c>
      <x:c r="B580" s="21" t="str">
        <x:v>GJ2</x:v>
      </x:c>
      <x:c r="C580" s="21" t="n">
        <x:v>56</x:v>
      </x:c>
      <x:c r="D580" s="21" t="str">
        <x:v>Grupo J</x:v>
      </x:c>
      <x:c r="E580" s="21" t="str">
        <x:v>2026-06-17</x:v>
      </x:c>
      <x:c r="F580" s="21" t="str">
        <x:f>IFERROR(INDEX('Resultados'!$G$5:$G$108,MATCH($B580,'Resultados'!$A$5:$A$108,0)),"")</x:f>
        <x:v>Áustria</x:v>
      </x:c>
      <x:c r="G580" s="21" t="str">
        <x:f>IFERROR(INDEX('Resultados'!$J$5:$J$108,MATCH($B580,'Resultados'!$A$5:$A$108,0)),"")</x:f>
        <x:v>Jordânia</x:v>
      </x:c>
      <x:c r="H580" s="21" t="str">
        <x:v>Não</x:v>
      </x:c>
      <x:c r="I580" s="22"/>
      <x:c r="J580" s="22"/>
      <x:c r="K580" s="23"/>
      <x:c r="L580" s="21" t="str">
        <x:f>IFERROR(INDEX('Resultados'!$H$5:$H$108,MATCH($B580,'Resultados'!$A$5:$A$108,0)),"")</x:f>
      </x:c>
      <x:c r="M580" s="21" t="str">
        <x:f>IFERROR(INDEX('Resultados'!$I$5:$I$108,MATCH($B580,'Resultados'!$A$5:$A$108,0)),"")</x:f>
      </x:c>
      <x:c r="N580" s="21" t="str">
        <x:f>IFERROR(INDEX('Resultados'!$L$5:$L$108,MATCH($B580,'Resultados'!$A$5:$A$108,0)),"")</x:f>
      </x:c>
      <x:c r="O580" s="59" t="str">
        <x:f>IF(OR($I580="",$J580="",$L580="",$M580=""),"",IF(AND($H580="Sim",$L580=$M580),IF($I580&lt;&gt;$J580,0,IF(AND($I580=$L580,$J580=$M580),2,1)),IF(AND($I580=$L580,$J580=$M580),3,IF(AND($I580&lt;&gt;$J580,$I580=$M580,$J580=$L580),-2,IF(SIGN($I580-$J580)=SIGN($L580-$M580),1,0)))))</x:f>
      </x:c>
      <x:c r="P580" s="59" t="str">
        <x:f>IF(OR($H580&lt;&gt;"Sim",$I580="",$J580="",$L580="",$M580=""),"",IF(AND(IF($I580&gt;$J580,$F580,IF($I580&lt;$J580,$G580,$K580))&lt;&gt;"",IF($L580&gt;$M580,$F580,IF($L580&lt;$M580,$G580,$N580))&lt;&gt;"",IF($I580&gt;$J580,$F580,IF($I580&lt;$J580,$G580,$K580))=IF($L580&gt;$M580,$F580,IF($L580&lt;$M580,$G580,$N580))),1,0))</x:f>
      </x:c>
      <x:c r="Q580" s="59" t="str">
        <x:f>IF($O580="","",$O580+$P580)</x:f>
      </x:c>
      <x:c r="R580" s="59" t="str">
        <x:f>IF($Q580="","",IF($O580=3,"Cravada",IF(AND($H580="Sim",$L580=$M580,$I580=$J580,$O580=2),"Empate cravado",IF($O580=1,"Resultado certo",IF($O580=-2,"Invertida",IF($P580=1,"Acertou quem passa","Erro"))))))</x:f>
      </x:c>
      <x:c r="S580" s="59" t="str">
        <x:f>IF($O580="","",--(OR($O580=3,AND($H580="Sim",$L580=$M580,$I580=$J580,$O580=2))))</x:f>
      </x:c>
      <x:c r="T580" s="59" t="str">
        <x:f>IF($O580="","",--($O580=-2))</x:f>
      </x:c>
      <x:c r="U580" s="59" t="str">
        <x:f>IF($O580="","",--($O580=1))</x:f>
      </x:c>
      <x:c r="V580" s="59" t="n">
        <x:f>--(AND($I580&lt;&gt;"",$J580&lt;&gt;""))</x:f>
        <x:v>0</x:v>
      </x:c>
    </x:row>
    <x:row r="581">
      <x:c r="A581" s="21" t="str">
        <x:f>INDEX(Config!$B$10:$B$16,INT((ROW()-5)/104)+1)</x:f>
        <x:v>Vitão</x:v>
      </x:c>
      <x:c r="B581" s="21" t="str">
        <x:v>GJ3</x:v>
      </x:c>
      <x:c r="C581" s="21" t="n">
        <x:v>57</x:v>
      </x:c>
      <x:c r="D581" s="21" t="str">
        <x:v>Grupo J</x:v>
      </x:c>
      <x:c r="E581" s="21" t="str">
        <x:v>2026-06-22</x:v>
      </x:c>
      <x:c r="F581" s="21" t="str">
        <x:f>IFERROR(INDEX('Resultados'!$G$5:$G$108,MATCH($B581,'Resultados'!$A$5:$A$108,0)),"")</x:f>
        <x:v>Argentina</x:v>
      </x:c>
      <x:c r="G581" s="21" t="str">
        <x:f>IFERROR(INDEX('Resultados'!$J$5:$J$108,MATCH($B581,'Resultados'!$A$5:$A$108,0)),"")</x:f>
        <x:v>Áustria</x:v>
      </x:c>
      <x:c r="H581" s="21" t="str">
        <x:v>Não</x:v>
      </x:c>
      <x:c r="I581" s="22"/>
      <x:c r="J581" s="22"/>
      <x:c r="K581" s="23"/>
      <x:c r="L581" s="21" t="str">
        <x:f>IFERROR(INDEX('Resultados'!$H$5:$H$108,MATCH($B581,'Resultados'!$A$5:$A$108,0)),"")</x:f>
      </x:c>
      <x:c r="M581" s="21" t="str">
        <x:f>IFERROR(INDEX('Resultados'!$I$5:$I$108,MATCH($B581,'Resultados'!$A$5:$A$108,0)),"")</x:f>
      </x:c>
      <x:c r="N581" s="21" t="str">
        <x:f>IFERROR(INDEX('Resultados'!$L$5:$L$108,MATCH($B581,'Resultados'!$A$5:$A$108,0)),"")</x:f>
      </x:c>
      <x:c r="O581" s="59" t="str">
        <x:f>IF(OR($I581="",$J581="",$L581="",$M581=""),"",IF(AND($H581="Sim",$L581=$M581),IF($I581&lt;&gt;$J581,0,IF(AND($I581=$L581,$J581=$M581),2,1)),IF(AND($I581=$L581,$J581=$M581),3,IF(AND($I581&lt;&gt;$J581,$I581=$M581,$J581=$L581),-2,IF(SIGN($I581-$J581)=SIGN($L581-$M581),1,0)))))</x:f>
      </x:c>
      <x:c r="P581" s="59" t="str">
        <x:f>IF(OR($H581&lt;&gt;"Sim",$I581="",$J581="",$L581="",$M581=""),"",IF(AND(IF($I581&gt;$J581,$F581,IF($I581&lt;$J581,$G581,$K581))&lt;&gt;"",IF($L581&gt;$M581,$F581,IF($L581&lt;$M581,$G581,$N581))&lt;&gt;"",IF($I581&gt;$J581,$F581,IF($I581&lt;$J581,$G581,$K581))=IF($L581&gt;$M581,$F581,IF($L581&lt;$M581,$G581,$N581))),1,0))</x:f>
      </x:c>
      <x:c r="Q581" s="59" t="str">
        <x:f>IF($O581="","",$O581+$P581)</x:f>
      </x:c>
      <x:c r="R581" s="59" t="str">
        <x:f>IF($Q581="","",IF($O581=3,"Cravada",IF(AND($H581="Sim",$L581=$M581,$I581=$J581,$O581=2),"Empate cravado",IF($O581=1,"Resultado certo",IF($O581=-2,"Invertida",IF($P581=1,"Acertou quem passa","Erro"))))))</x:f>
      </x:c>
      <x:c r="S581" s="59" t="str">
        <x:f>IF($O581="","",--(OR($O581=3,AND($H581="Sim",$L581=$M581,$I581=$J581,$O581=2))))</x:f>
      </x:c>
      <x:c r="T581" s="59" t="str">
        <x:f>IF($O581="","",--($O581=-2))</x:f>
      </x:c>
      <x:c r="U581" s="59" t="str">
        <x:f>IF($O581="","",--($O581=1))</x:f>
      </x:c>
      <x:c r="V581" s="59" t="n">
        <x:f>--(AND($I581&lt;&gt;"",$J581&lt;&gt;""))</x:f>
        <x:v>0</x:v>
      </x:c>
    </x:row>
    <x:row r="582">
      <x:c r="A582" s="21" t="str">
        <x:f>INDEX(Config!$B$10:$B$16,INT((ROW()-5)/104)+1)</x:f>
        <x:v>Vitão</x:v>
      </x:c>
      <x:c r="B582" s="21" t="str">
        <x:v>GJ4</x:v>
      </x:c>
      <x:c r="C582" s="21" t="n">
        <x:v>58</x:v>
      </x:c>
      <x:c r="D582" s="21" t="str">
        <x:v>Grupo J</x:v>
      </x:c>
      <x:c r="E582" s="21" t="str">
        <x:v>2026-06-23</x:v>
      </x:c>
      <x:c r="F582" s="21" t="str">
        <x:f>IFERROR(INDEX('Resultados'!$G$5:$G$108,MATCH($B582,'Resultados'!$A$5:$A$108,0)),"")</x:f>
        <x:v>Argélia</x:v>
      </x:c>
      <x:c r="G582" s="21" t="str">
        <x:f>IFERROR(INDEX('Resultados'!$J$5:$J$108,MATCH($B582,'Resultados'!$A$5:$A$108,0)),"")</x:f>
        <x:v>Jordânia</x:v>
      </x:c>
      <x:c r="H582" s="21" t="str">
        <x:v>Não</x:v>
      </x:c>
      <x:c r="I582" s="22"/>
      <x:c r="J582" s="22"/>
      <x:c r="K582" s="23"/>
      <x:c r="L582" s="21" t="str">
        <x:f>IFERROR(INDEX('Resultados'!$H$5:$H$108,MATCH($B582,'Resultados'!$A$5:$A$108,0)),"")</x:f>
      </x:c>
      <x:c r="M582" s="21" t="str">
        <x:f>IFERROR(INDEX('Resultados'!$I$5:$I$108,MATCH($B582,'Resultados'!$A$5:$A$108,0)),"")</x:f>
      </x:c>
      <x:c r="N582" s="21" t="str">
        <x:f>IFERROR(INDEX('Resultados'!$L$5:$L$108,MATCH($B582,'Resultados'!$A$5:$A$108,0)),"")</x:f>
      </x:c>
      <x:c r="O582" s="59" t="str">
        <x:f>IF(OR($I582="",$J582="",$L582="",$M582=""),"",IF(AND($H582="Sim",$L582=$M582),IF($I582&lt;&gt;$J582,0,IF(AND($I582=$L582,$J582=$M582),2,1)),IF(AND($I582=$L582,$J582=$M582),3,IF(AND($I582&lt;&gt;$J582,$I582=$M582,$J582=$L582),-2,IF(SIGN($I582-$J582)=SIGN($L582-$M582),1,0)))))</x:f>
      </x:c>
      <x:c r="P582" s="59" t="str">
        <x:f>IF(OR($H582&lt;&gt;"Sim",$I582="",$J582="",$L582="",$M582=""),"",IF(AND(IF($I582&gt;$J582,$F582,IF($I582&lt;$J582,$G582,$K582))&lt;&gt;"",IF($L582&gt;$M582,$F582,IF($L582&lt;$M582,$G582,$N582))&lt;&gt;"",IF($I582&gt;$J582,$F582,IF($I582&lt;$J582,$G582,$K582))=IF($L582&gt;$M582,$F582,IF($L582&lt;$M582,$G582,$N582))),1,0))</x:f>
      </x:c>
      <x:c r="Q582" s="59" t="str">
        <x:f>IF($O582="","",$O582+$P582)</x:f>
      </x:c>
      <x:c r="R582" s="59" t="str">
        <x:f>IF($Q582="","",IF($O582=3,"Cravada",IF(AND($H582="Sim",$L582=$M582,$I582=$J582,$O582=2),"Empate cravado",IF($O582=1,"Resultado certo",IF($O582=-2,"Invertida",IF($P582=1,"Acertou quem passa","Erro"))))))</x:f>
      </x:c>
      <x:c r="S582" s="59" t="str">
        <x:f>IF($O582="","",--(OR($O582=3,AND($H582="Sim",$L582=$M582,$I582=$J582,$O582=2))))</x:f>
      </x:c>
      <x:c r="T582" s="59" t="str">
        <x:f>IF($O582="","",--($O582=-2))</x:f>
      </x:c>
      <x:c r="U582" s="59" t="str">
        <x:f>IF($O582="","",--($O582=1))</x:f>
      </x:c>
      <x:c r="V582" s="59" t="n">
        <x:f>--(AND($I582&lt;&gt;"",$J582&lt;&gt;""))</x:f>
        <x:v>0</x:v>
      </x:c>
    </x:row>
    <x:row r="583">
      <x:c r="A583" s="21" t="str">
        <x:f>INDEX(Config!$B$10:$B$16,INT((ROW()-5)/104)+1)</x:f>
        <x:v>Vitão</x:v>
      </x:c>
      <x:c r="B583" s="21" t="str">
        <x:v>GJ5</x:v>
      </x:c>
      <x:c r="C583" s="21" t="n">
        <x:v>59</x:v>
      </x:c>
      <x:c r="D583" s="21" t="str">
        <x:v>Grupo J</x:v>
      </x:c>
      <x:c r="E583" s="21" t="str">
        <x:v>2026-06-27</x:v>
      </x:c>
      <x:c r="F583" s="21" t="str">
        <x:f>IFERROR(INDEX('Resultados'!$G$5:$G$108,MATCH($B583,'Resultados'!$A$5:$A$108,0)),"")</x:f>
        <x:v>Argentina</x:v>
      </x:c>
      <x:c r="G583" s="21" t="str">
        <x:f>IFERROR(INDEX('Resultados'!$J$5:$J$108,MATCH($B583,'Resultados'!$A$5:$A$108,0)),"")</x:f>
        <x:v>Jordânia</x:v>
      </x:c>
      <x:c r="H583" s="21" t="str">
        <x:v>Não</x:v>
      </x:c>
      <x:c r="I583" s="22"/>
      <x:c r="J583" s="22"/>
      <x:c r="K583" s="23"/>
      <x:c r="L583" s="21" t="str">
        <x:f>IFERROR(INDEX('Resultados'!$H$5:$H$108,MATCH($B583,'Resultados'!$A$5:$A$108,0)),"")</x:f>
      </x:c>
      <x:c r="M583" s="21" t="str">
        <x:f>IFERROR(INDEX('Resultados'!$I$5:$I$108,MATCH($B583,'Resultados'!$A$5:$A$108,0)),"")</x:f>
      </x:c>
      <x:c r="N583" s="21" t="str">
        <x:f>IFERROR(INDEX('Resultados'!$L$5:$L$108,MATCH($B583,'Resultados'!$A$5:$A$108,0)),"")</x:f>
      </x:c>
      <x:c r="O583" s="59" t="str">
        <x:f>IF(OR($I583="",$J583="",$L583="",$M583=""),"",IF(AND($H583="Sim",$L583=$M583),IF($I583&lt;&gt;$J583,0,IF(AND($I583=$L583,$J583=$M583),2,1)),IF(AND($I583=$L583,$J583=$M583),3,IF(AND($I583&lt;&gt;$J583,$I583=$M583,$J583=$L583),-2,IF(SIGN($I583-$J583)=SIGN($L583-$M583),1,0)))))</x:f>
      </x:c>
      <x:c r="P583" s="59" t="str">
        <x:f>IF(OR($H583&lt;&gt;"Sim",$I583="",$J583="",$L583="",$M583=""),"",IF(AND(IF($I583&gt;$J583,$F583,IF($I583&lt;$J583,$G583,$K583))&lt;&gt;"",IF($L583&gt;$M583,$F583,IF($L583&lt;$M583,$G583,$N583))&lt;&gt;"",IF($I583&gt;$J583,$F583,IF($I583&lt;$J583,$G583,$K583))=IF($L583&gt;$M583,$F583,IF($L583&lt;$M583,$G583,$N583))),1,0))</x:f>
      </x:c>
      <x:c r="Q583" s="59" t="str">
        <x:f>IF($O583="","",$O583+$P583)</x:f>
      </x:c>
      <x:c r="R583" s="59" t="str">
        <x:f>IF($Q583="","",IF($O583=3,"Cravada",IF(AND($H583="Sim",$L583=$M583,$I583=$J583,$O583=2),"Empate cravado",IF($O583=1,"Resultado certo",IF($O583=-2,"Invertida",IF($P583=1,"Acertou quem passa","Erro"))))))</x:f>
      </x:c>
      <x:c r="S583" s="59" t="str">
        <x:f>IF($O583="","",--(OR($O583=3,AND($H583="Sim",$L583=$M583,$I583=$J583,$O583=2))))</x:f>
      </x:c>
      <x:c r="T583" s="59" t="str">
        <x:f>IF($O583="","",--($O583=-2))</x:f>
      </x:c>
      <x:c r="U583" s="59" t="str">
        <x:f>IF($O583="","",--($O583=1))</x:f>
      </x:c>
      <x:c r="V583" s="59" t="n">
        <x:f>--(AND($I583&lt;&gt;"",$J583&lt;&gt;""))</x:f>
        <x:v>0</x:v>
      </x:c>
    </x:row>
    <x:row r="584">
      <x:c r="A584" s="21" t="str">
        <x:f>INDEX(Config!$B$10:$B$16,INT((ROW()-5)/104)+1)</x:f>
        <x:v>Vitão</x:v>
      </x:c>
      <x:c r="B584" s="21" t="str">
        <x:v>GJ6</x:v>
      </x:c>
      <x:c r="C584" s="21" t="n">
        <x:v>60</x:v>
      </x:c>
      <x:c r="D584" s="21" t="str">
        <x:v>Grupo J</x:v>
      </x:c>
      <x:c r="E584" s="21" t="str">
        <x:v>2026-06-27</x:v>
      </x:c>
      <x:c r="F584" s="21" t="str">
        <x:f>IFERROR(INDEX('Resultados'!$G$5:$G$108,MATCH($B584,'Resultados'!$A$5:$A$108,0)),"")</x:f>
        <x:v>Argélia</x:v>
      </x:c>
      <x:c r="G584" s="21" t="str">
        <x:f>IFERROR(INDEX('Resultados'!$J$5:$J$108,MATCH($B584,'Resultados'!$A$5:$A$108,0)),"")</x:f>
        <x:v>Áustria</x:v>
      </x:c>
      <x:c r="H584" s="21" t="str">
        <x:v>Não</x:v>
      </x:c>
      <x:c r="I584" s="22"/>
      <x:c r="J584" s="22"/>
      <x:c r="K584" s="23"/>
      <x:c r="L584" s="21" t="str">
        <x:f>IFERROR(INDEX('Resultados'!$H$5:$H$108,MATCH($B584,'Resultados'!$A$5:$A$108,0)),"")</x:f>
      </x:c>
      <x:c r="M584" s="21" t="str">
        <x:f>IFERROR(INDEX('Resultados'!$I$5:$I$108,MATCH($B584,'Resultados'!$A$5:$A$108,0)),"")</x:f>
      </x:c>
      <x:c r="N584" s="21" t="str">
        <x:f>IFERROR(INDEX('Resultados'!$L$5:$L$108,MATCH($B584,'Resultados'!$A$5:$A$108,0)),"")</x:f>
      </x:c>
      <x:c r="O584" s="59" t="str">
        <x:f>IF(OR($I584="",$J584="",$L584="",$M584=""),"",IF(AND($H584="Sim",$L584=$M584),IF($I584&lt;&gt;$J584,0,IF(AND($I584=$L584,$J584=$M584),2,1)),IF(AND($I584=$L584,$J584=$M584),3,IF(AND($I584&lt;&gt;$J584,$I584=$M584,$J584=$L584),-2,IF(SIGN($I584-$J584)=SIGN($L584-$M584),1,0)))))</x:f>
      </x:c>
      <x:c r="P584" s="59" t="str">
        <x:f>IF(OR($H584&lt;&gt;"Sim",$I584="",$J584="",$L584="",$M584=""),"",IF(AND(IF($I584&gt;$J584,$F584,IF($I584&lt;$J584,$G584,$K584))&lt;&gt;"",IF($L584&gt;$M584,$F584,IF($L584&lt;$M584,$G584,$N584))&lt;&gt;"",IF($I584&gt;$J584,$F584,IF($I584&lt;$J584,$G584,$K584))=IF($L584&gt;$M584,$F584,IF($L584&lt;$M584,$G584,$N584))),1,0))</x:f>
      </x:c>
      <x:c r="Q584" s="59" t="str">
        <x:f>IF($O584="","",$O584+$P584)</x:f>
      </x:c>
      <x:c r="R584" s="59" t="str">
        <x:f>IF($Q584="","",IF($O584=3,"Cravada",IF(AND($H584="Sim",$L584=$M584,$I584=$J584,$O584=2),"Empate cravado",IF($O584=1,"Resultado certo",IF($O584=-2,"Invertida",IF($P584=1,"Acertou quem passa","Erro"))))))</x:f>
      </x:c>
      <x:c r="S584" s="59" t="str">
        <x:f>IF($O584="","",--(OR($O584=3,AND($H584="Sim",$L584=$M584,$I584=$J584,$O584=2))))</x:f>
      </x:c>
      <x:c r="T584" s="59" t="str">
        <x:f>IF($O584="","",--($O584=-2))</x:f>
      </x:c>
      <x:c r="U584" s="59" t="str">
        <x:f>IF($O584="","",--($O584=1))</x:f>
      </x:c>
      <x:c r="V584" s="59" t="n">
        <x:f>--(AND($I584&lt;&gt;"",$J584&lt;&gt;""))</x:f>
        <x:v>0</x:v>
      </x:c>
    </x:row>
    <x:row r="585">
      <x:c r="A585" s="21" t="str">
        <x:f>INDEX(Config!$B$10:$B$16,INT((ROW()-5)/104)+1)</x:f>
        <x:v>Vitão</x:v>
      </x:c>
      <x:c r="B585" s="21" t="str">
        <x:v>GK1</x:v>
      </x:c>
      <x:c r="C585" s="21" t="n">
        <x:v>61</x:v>
      </x:c>
      <x:c r="D585" s="21" t="str">
        <x:v>Grupo K</x:v>
      </x:c>
      <x:c r="E585" s="21" t="str">
        <x:v>2026-06-17</x:v>
      </x:c>
      <x:c r="F585" s="21" t="str">
        <x:f>IFERROR(INDEX('Resultados'!$G$5:$G$108,MATCH($B585,'Resultados'!$A$5:$A$108,0)),"")</x:f>
        <x:v>Portugal</x:v>
      </x:c>
      <x:c r="G585" s="21" t="str">
        <x:f>IFERROR(INDEX('Resultados'!$J$5:$J$108,MATCH($B585,'Resultados'!$A$5:$A$108,0)),"")</x:f>
        <x:v>Rep. D. do Congo</x:v>
      </x:c>
      <x:c r="H585" s="21" t="str">
        <x:v>Não</x:v>
      </x:c>
      <x:c r="I585" s="22"/>
      <x:c r="J585" s="22"/>
      <x:c r="K585" s="23"/>
      <x:c r="L585" s="21" t="str">
        <x:f>IFERROR(INDEX('Resultados'!$H$5:$H$108,MATCH($B585,'Resultados'!$A$5:$A$108,0)),"")</x:f>
      </x:c>
      <x:c r="M585" s="21" t="str">
        <x:f>IFERROR(INDEX('Resultados'!$I$5:$I$108,MATCH($B585,'Resultados'!$A$5:$A$108,0)),"")</x:f>
      </x:c>
      <x:c r="N585" s="21" t="str">
        <x:f>IFERROR(INDEX('Resultados'!$L$5:$L$108,MATCH($B585,'Resultados'!$A$5:$A$108,0)),"")</x:f>
      </x:c>
      <x:c r="O585" s="59" t="str">
        <x:f>IF(OR($I585="",$J585="",$L585="",$M585=""),"",IF(AND($H585="Sim",$L585=$M585),IF($I585&lt;&gt;$J585,0,IF(AND($I585=$L585,$J585=$M585),2,1)),IF(AND($I585=$L585,$J585=$M585),3,IF(AND($I585&lt;&gt;$J585,$I585=$M585,$J585=$L585),-2,IF(SIGN($I585-$J585)=SIGN($L585-$M585),1,0)))))</x:f>
      </x:c>
      <x:c r="P585" s="59" t="str">
        <x:f>IF(OR($H585&lt;&gt;"Sim",$I585="",$J585="",$L585="",$M585=""),"",IF(AND(IF($I585&gt;$J585,$F585,IF($I585&lt;$J585,$G585,$K585))&lt;&gt;"",IF($L585&gt;$M585,$F585,IF($L585&lt;$M585,$G585,$N585))&lt;&gt;"",IF($I585&gt;$J585,$F585,IF($I585&lt;$J585,$G585,$K585))=IF($L585&gt;$M585,$F585,IF($L585&lt;$M585,$G585,$N585))),1,0))</x:f>
      </x:c>
      <x:c r="Q585" s="59" t="str">
        <x:f>IF($O585="","",$O585+$P585)</x:f>
      </x:c>
      <x:c r="R585" s="59" t="str">
        <x:f>IF($Q585="","",IF($O585=3,"Cravada",IF(AND($H585="Sim",$L585=$M585,$I585=$J585,$O585=2),"Empate cravado",IF($O585=1,"Resultado certo",IF($O585=-2,"Invertida",IF($P585=1,"Acertou quem passa","Erro"))))))</x:f>
      </x:c>
      <x:c r="S585" s="59" t="str">
        <x:f>IF($O585="","",--(OR($O585=3,AND($H585="Sim",$L585=$M585,$I585=$J585,$O585=2))))</x:f>
      </x:c>
      <x:c r="T585" s="59" t="str">
        <x:f>IF($O585="","",--($O585=-2))</x:f>
      </x:c>
      <x:c r="U585" s="59" t="str">
        <x:f>IF($O585="","",--($O585=1))</x:f>
      </x:c>
      <x:c r="V585" s="59" t="n">
        <x:f>--(AND($I585&lt;&gt;"",$J585&lt;&gt;""))</x:f>
        <x:v>0</x:v>
      </x:c>
    </x:row>
    <x:row r="586">
      <x:c r="A586" s="21" t="str">
        <x:f>INDEX(Config!$B$10:$B$16,INT((ROW()-5)/104)+1)</x:f>
        <x:v>Vitão</x:v>
      </x:c>
      <x:c r="B586" s="21" t="str">
        <x:v>GK2</x:v>
      </x:c>
      <x:c r="C586" s="21" t="n">
        <x:v>62</x:v>
      </x:c>
      <x:c r="D586" s="21" t="str">
        <x:v>Grupo K</x:v>
      </x:c>
      <x:c r="E586" s="21" t="str">
        <x:v>2026-06-17</x:v>
      </x:c>
      <x:c r="F586" s="21" t="str">
        <x:f>IFERROR(INDEX('Resultados'!$G$5:$G$108,MATCH($B586,'Resultados'!$A$5:$A$108,0)),"")</x:f>
        <x:v>Uzbequistão</x:v>
      </x:c>
      <x:c r="G586" s="21" t="str">
        <x:f>IFERROR(INDEX('Resultados'!$J$5:$J$108,MATCH($B586,'Resultados'!$A$5:$A$108,0)),"")</x:f>
        <x:v>Colômbia</x:v>
      </x:c>
      <x:c r="H586" s="21" t="str">
        <x:v>Não</x:v>
      </x:c>
      <x:c r="I586" s="22"/>
      <x:c r="J586" s="22"/>
      <x:c r="K586" s="23"/>
      <x:c r="L586" s="21" t="str">
        <x:f>IFERROR(INDEX('Resultados'!$H$5:$H$108,MATCH($B586,'Resultados'!$A$5:$A$108,0)),"")</x:f>
      </x:c>
      <x:c r="M586" s="21" t="str">
        <x:f>IFERROR(INDEX('Resultados'!$I$5:$I$108,MATCH($B586,'Resultados'!$A$5:$A$108,0)),"")</x:f>
      </x:c>
      <x:c r="N586" s="21" t="str">
        <x:f>IFERROR(INDEX('Resultados'!$L$5:$L$108,MATCH($B586,'Resultados'!$A$5:$A$108,0)),"")</x:f>
      </x:c>
      <x:c r="O586" s="59" t="str">
        <x:f>IF(OR($I586="",$J586="",$L586="",$M586=""),"",IF(AND($H586="Sim",$L586=$M586),IF($I586&lt;&gt;$J586,0,IF(AND($I586=$L586,$J586=$M586),2,1)),IF(AND($I586=$L586,$J586=$M586),3,IF(AND($I586&lt;&gt;$J586,$I586=$M586,$J586=$L586),-2,IF(SIGN($I586-$J586)=SIGN($L586-$M586),1,0)))))</x:f>
      </x:c>
      <x:c r="P586" s="59" t="str">
        <x:f>IF(OR($H586&lt;&gt;"Sim",$I586="",$J586="",$L586="",$M586=""),"",IF(AND(IF($I586&gt;$J586,$F586,IF($I586&lt;$J586,$G586,$K586))&lt;&gt;"",IF($L586&gt;$M586,$F586,IF($L586&lt;$M586,$G586,$N586))&lt;&gt;"",IF($I586&gt;$J586,$F586,IF($I586&lt;$J586,$G586,$K586))=IF($L586&gt;$M586,$F586,IF($L586&lt;$M586,$G586,$N586))),1,0))</x:f>
      </x:c>
      <x:c r="Q586" s="59" t="str">
        <x:f>IF($O586="","",$O586+$P586)</x:f>
      </x:c>
      <x:c r="R586" s="59" t="str">
        <x:f>IF($Q586="","",IF($O586=3,"Cravada",IF(AND($H586="Sim",$L586=$M586,$I586=$J586,$O586=2),"Empate cravado",IF($O586=1,"Resultado certo",IF($O586=-2,"Invertida",IF($P586=1,"Acertou quem passa","Erro"))))))</x:f>
      </x:c>
      <x:c r="S586" s="59" t="str">
        <x:f>IF($O586="","",--(OR($O586=3,AND($H586="Sim",$L586=$M586,$I586=$J586,$O586=2))))</x:f>
      </x:c>
      <x:c r="T586" s="59" t="str">
        <x:f>IF($O586="","",--($O586=-2))</x:f>
      </x:c>
      <x:c r="U586" s="59" t="str">
        <x:f>IF($O586="","",--($O586=1))</x:f>
      </x:c>
      <x:c r="V586" s="59" t="n">
        <x:f>--(AND($I586&lt;&gt;"",$J586&lt;&gt;""))</x:f>
        <x:v>0</x:v>
      </x:c>
    </x:row>
    <x:row r="587">
      <x:c r="A587" s="21" t="str">
        <x:f>INDEX(Config!$B$10:$B$16,INT((ROW()-5)/104)+1)</x:f>
        <x:v>Vitão</x:v>
      </x:c>
      <x:c r="B587" s="21" t="str">
        <x:v>GK3</x:v>
      </x:c>
      <x:c r="C587" s="21" t="n">
        <x:v>63</x:v>
      </x:c>
      <x:c r="D587" s="21" t="str">
        <x:v>Grupo K</x:v>
      </x:c>
      <x:c r="E587" s="21" t="str">
        <x:v>2026-06-23</x:v>
      </x:c>
      <x:c r="F587" s="21" t="str">
        <x:f>IFERROR(INDEX('Resultados'!$G$5:$G$108,MATCH($B587,'Resultados'!$A$5:$A$108,0)),"")</x:f>
        <x:v>Portugal</x:v>
      </x:c>
      <x:c r="G587" s="21" t="str">
        <x:f>IFERROR(INDEX('Resultados'!$J$5:$J$108,MATCH($B587,'Resultados'!$A$5:$A$108,0)),"")</x:f>
        <x:v>Uzbequistão</x:v>
      </x:c>
      <x:c r="H587" s="21" t="str">
        <x:v>Não</x:v>
      </x:c>
      <x:c r="I587" s="22"/>
      <x:c r="J587" s="22"/>
      <x:c r="K587" s="23"/>
      <x:c r="L587" s="21" t="str">
        <x:f>IFERROR(INDEX('Resultados'!$H$5:$H$108,MATCH($B587,'Resultados'!$A$5:$A$108,0)),"")</x:f>
      </x:c>
      <x:c r="M587" s="21" t="str">
        <x:f>IFERROR(INDEX('Resultados'!$I$5:$I$108,MATCH($B587,'Resultados'!$A$5:$A$108,0)),"")</x:f>
      </x:c>
      <x:c r="N587" s="21" t="str">
        <x:f>IFERROR(INDEX('Resultados'!$L$5:$L$108,MATCH($B587,'Resultados'!$A$5:$A$108,0)),"")</x:f>
      </x:c>
      <x:c r="O587" s="59" t="str">
        <x:f>IF(OR($I587="",$J587="",$L587="",$M587=""),"",IF(AND($H587="Sim",$L587=$M587),IF($I587&lt;&gt;$J587,0,IF(AND($I587=$L587,$J587=$M587),2,1)),IF(AND($I587=$L587,$J587=$M587),3,IF(AND($I587&lt;&gt;$J587,$I587=$M587,$J587=$L587),-2,IF(SIGN($I587-$J587)=SIGN($L587-$M587),1,0)))))</x:f>
      </x:c>
      <x:c r="P587" s="59" t="str">
        <x:f>IF(OR($H587&lt;&gt;"Sim",$I587="",$J587="",$L587="",$M587=""),"",IF(AND(IF($I587&gt;$J587,$F587,IF($I587&lt;$J587,$G587,$K587))&lt;&gt;"",IF($L587&gt;$M587,$F587,IF($L587&lt;$M587,$G587,$N587))&lt;&gt;"",IF($I587&gt;$J587,$F587,IF($I587&lt;$J587,$G587,$K587))=IF($L587&gt;$M587,$F587,IF($L587&lt;$M587,$G587,$N587))),1,0))</x:f>
      </x:c>
      <x:c r="Q587" s="59" t="str">
        <x:f>IF($O587="","",$O587+$P587)</x:f>
      </x:c>
      <x:c r="R587" s="59" t="str">
        <x:f>IF($Q587="","",IF($O587=3,"Cravada",IF(AND($H587="Sim",$L587=$M587,$I587=$J587,$O587=2),"Empate cravado",IF($O587=1,"Resultado certo",IF($O587=-2,"Invertida",IF($P587=1,"Acertou quem passa","Erro"))))))</x:f>
      </x:c>
      <x:c r="S587" s="59" t="str">
        <x:f>IF($O587="","",--(OR($O587=3,AND($H587="Sim",$L587=$M587,$I587=$J587,$O587=2))))</x:f>
      </x:c>
      <x:c r="T587" s="59" t="str">
        <x:f>IF($O587="","",--($O587=-2))</x:f>
      </x:c>
      <x:c r="U587" s="59" t="str">
        <x:f>IF($O587="","",--($O587=1))</x:f>
      </x:c>
      <x:c r="V587" s="59" t="n">
        <x:f>--(AND($I587&lt;&gt;"",$J587&lt;&gt;""))</x:f>
        <x:v>0</x:v>
      </x:c>
    </x:row>
    <x:row r="588">
      <x:c r="A588" s="21" t="str">
        <x:f>INDEX(Config!$B$10:$B$16,INT((ROW()-5)/104)+1)</x:f>
        <x:v>Vitão</x:v>
      </x:c>
      <x:c r="B588" s="21" t="str">
        <x:v>GK4</x:v>
      </x:c>
      <x:c r="C588" s="21" t="n">
        <x:v>64</x:v>
      </x:c>
      <x:c r="D588" s="21" t="str">
        <x:v>Grupo K</x:v>
      </x:c>
      <x:c r="E588" s="21" t="str">
        <x:v>2026-06-23</x:v>
      </x:c>
      <x:c r="F588" s="21" t="str">
        <x:f>IFERROR(INDEX('Resultados'!$G$5:$G$108,MATCH($B588,'Resultados'!$A$5:$A$108,0)),"")</x:f>
        <x:v>Rep. D. do Congo</x:v>
      </x:c>
      <x:c r="G588" s="21" t="str">
        <x:f>IFERROR(INDEX('Resultados'!$J$5:$J$108,MATCH($B588,'Resultados'!$A$5:$A$108,0)),"")</x:f>
        <x:v>Colômbia</x:v>
      </x:c>
      <x:c r="H588" s="21" t="str">
        <x:v>Não</x:v>
      </x:c>
      <x:c r="I588" s="22"/>
      <x:c r="J588" s="22"/>
      <x:c r="K588" s="23"/>
      <x:c r="L588" s="21" t="str">
        <x:f>IFERROR(INDEX('Resultados'!$H$5:$H$108,MATCH($B588,'Resultados'!$A$5:$A$108,0)),"")</x:f>
      </x:c>
      <x:c r="M588" s="21" t="str">
        <x:f>IFERROR(INDEX('Resultados'!$I$5:$I$108,MATCH($B588,'Resultados'!$A$5:$A$108,0)),"")</x:f>
      </x:c>
      <x:c r="N588" s="21" t="str">
        <x:f>IFERROR(INDEX('Resultados'!$L$5:$L$108,MATCH($B588,'Resultados'!$A$5:$A$108,0)),"")</x:f>
      </x:c>
      <x:c r="O588" s="59" t="str">
        <x:f>IF(OR($I588="",$J588="",$L588="",$M588=""),"",IF(AND($H588="Sim",$L588=$M588),IF($I588&lt;&gt;$J588,0,IF(AND($I588=$L588,$J588=$M588),2,1)),IF(AND($I588=$L588,$J588=$M588),3,IF(AND($I588&lt;&gt;$J588,$I588=$M588,$J588=$L588),-2,IF(SIGN($I588-$J588)=SIGN($L588-$M588),1,0)))))</x:f>
      </x:c>
      <x:c r="P588" s="59" t="str">
        <x:f>IF(OR($H588&lt;&gt;"Sim",$I588="",$J588="",$L588="",$M588=""),"",IF(AND(IF($I588&gt;$J588,$F588,IF($I588&lt;$J588,$G588,$K588))&lt;&gt;"",IF($L588&gt;$M588,$F588,IF($L588&lt;$M588,$G588,$N588))&lt;&gt;"",IF($I588&gt;$J588,$F588,IF($I588&lt;$J588,$G588,$K588))=IF($L588&gt;$M588,$F588,IF($L588&lt;$M588,$G588,$N588))),1,0))</x:f>
      </x:c>
      <x:c r="Q588" s="59" t="str">
        <x:f>IF($O588="","",$O588+$P588)</x:f>
      </x:c>
      <x:c r="R588" s="59" t="str">
        <x:f>IF($Q588="","",IF($O588=3,"Cravada",IF(AND($H588="Sim",$L588=$M588,$I588=$J588,$O588=2),"Empate cravado",IF($O588=1,"Resultado certo",IF($O588=-2,"Invertida",IF($P588=1,"Acertou quem passa","Erro"))))))</x:f>
      </x:c>
      <x:c r="S588" s="59" t="str">
        <x:f>IF($O588="","",--(OR($O588=3,AND($H588="Sim",$L588=$M588,$I588=$J588,$O588=2))))</x:f>
      </x:c>
      <x:c r="T588" s="59" t="str">
        <x:f>IF($O588="","",--($O588=-2))</x:f>
      </x:c>
      <x:c r="U588" s="59" t="str">
        <x:f>IF($O588="","",--($O588=1))</x:f>
      </x:c>
      <x:c r="V588" s="59" t="n">
        <x:f>--(AND($I588&lt;&gt;"",$J588&lt;&gt;""))</x:f>
        <x:v>0</x:v>
      </x:c>
    </x:row>
    <x:row r="589">
      <x:c r="A589" s="21" t="str">
        <x:f>INDEX(Config!$B$10:$B$16,INT((ROW()-5)/104)+1)</x:f>
        <x:v>Vitão</x:v>
      </x:c>
      <x:c r="B589" s="21" t="str">
        <x:v>GK5</x:v>
      </x:c>
      <x:c r="C589" s="21" t="n">
        <x:v>65</x:v>
      </x:c>
      <x:c r="D589" s="21" t="str">
        <x:v>Grupo K</x:v>
      </x:c>
      <x:c r="E589" s="21" t="str">
        <x:v>2026-06-27</x:v>
      </x:c>
      <x:c r="F589" s="21" t="str">
        <x:f>IFERROR(INDEX('Resultados'!$G$5:$G$108,MATCH($B589,'Resultados'!$A$5:$A$108,0)),"")</x:f>
        <x:v>Portugal</x:v>
      </x:c>
      <x:c r="G589" s="21" t="str">
        <x:f>IFERROR(INDEX('Resultados'!$J$5:$J$108,MATCH($B589,'Resultados'!$A$5:$A$108,0)),"")</x:f>
        <x:v>Colômbia</x:v>
      </x:c>
      <x:c r="H589" s="21" t="str">
        <x:v>Não</x:v>
      </x:c>
      <x:c r="I589" s="22"/>
      <x:c r="J589" s="22"/>
      <x:c r="K589" s="23"/>
      <x:c r="L589" s="21" t="str">
        <x:f>IFERROR(INDEX('Resultados'!$H$5:$H$108,MATCH($B589,'Resultados'!$A$5:$A$108,0)),"")</x:f>
      </x:c>
      <x:c r="M589" s="21" t="str">
        <x:f>IFERROR(INDEX('Resultados'!$I$5:$I$108,MATCH($B589,'Resultados'!$A$5:$A$108,0)),"")</x:f>
      </x:c>
      <x:c r="N589" s="21" t="str">
        <x:f>IFERROR(INDEX('Resultados'!$L$5:$L$108,MATCH($B589,'Resultados'!$A$5:$A$108,0)),"")</x:f>
      </x:c>
      <x:c r="O589" s="59" t="str">
        <x:f>IF(OR($I589="",$J589="",$L589="",$M589=""),"",IF(AND($H589="Sim",$L589=$M589),IF($I589&lt;&gt;$J589,0,IF(AND($I589=$L589,$J589=$M589),2,1)),IF(AND($I589=$L589,$J589=$M589),3,IF(AND($I589&lt;&gt;$J589,$I589=$M589,$J589=$L589),-2,IF(SIGN($I589-$J589)=SIGN($L589-$M589),1,0)))))</x:f>
      </x:c>
      <x:c r="P589" s="59" t="str">
        <x:f>IF(OR($H589&lt;&gt;"Sim",$I589="",$J589="",$L589="",$M589=""),"",IF(AND(IF($I589&gt;$J589,$F589,IF($I589&lt;$J589,$G589,$K589))&lt;&gt;"",IF($L589&gt;$M589,$F589,IF($L589&lt;$M589,$G589,$N589))&lt;&gt;"",IF($I589&gt;$J589,$F589,IF($I589&lt;$J589,$G589,$K589))=IF($L589&gt;$M589,$F589,IF($L589&lt;$M589,$G589,$N589))),1,0))</x:f>
      </x:c>
      <x:c r="Q589" s="59" t="str">
        <x:f>IF($O589="","",$O589+$P589)</x:f>
      </x:c>
      <x:c r="R589" s="59" t="str">
        <x:f>IF($Q589="","",IF($O589=3,"Cravada",IF(AND($H589="Sim",$L589=$M589,$I589=$J589,$O589=2),"Empate cravado",IF($O589=1,"Resultado certo",IF($O589=-2,"Invertida",IF($P589=1,"Acertou quem passa","Erro"))))))</x:f>
      </x:c>
      <x:c r="S589" s="59" t="str">
        <x:f>IF($O589="","",--(OR($O589=3,AND($H589="Sim",$L589=$M589,$I589=$J589,$O589=2))))</x:f>
      </x:c>
      <x:c r="T589" s="59" t="str">
        <x:f>IF($O589="","",--($O589=-2))</x:f>
      </x:c>
      <x:c r="U589" s="59" t="str">
        <x:f>IF($O589="","",--($O589=1))</x:f>
      </x:c>
      <x:c r="V589" s="59" t="n">
        <x:f>--(AND($I589&lt;&gt;"",$J589&lt;&gt;""))</x:f>
        <x:v>0</x:v>
      </x:c>
    </x:row>
    <x:row r="590">
      <x:c r="A590" s="21" t="str">
        <x:f>INDEX(Config!$B$10:$B$16,INT((ROW()-5)/104)+1)</x:f>
        <x:v>Vitão</x:v>
      </x:c>
      <x:c r="B590" s="21" t="str">
        <x:v>GK6</x:v>
      </x:c>
      <x:c r="C590" s="21" t="n">
        <x:v>66</x:v>
      </x:c>
      <x:c r="D590" s="21" t="str">
        <x:v>Grupo K</x:v>
      </x:c>
      <x:c r="E590" s="21" t="str">
        <x:v>2026-06-27</x:v>
      </x:c>
      <x:c r="F590" s="21" t="str">
        <x:f>IFERROR(INDEX('Resultados'!$G$5:$G$108,MATCH($B590,'Resultados'!$A$5:$A$108,0)),"")</x:f>
        <x:v>Rep. D. do Congo</x:v>
      </x:c>
      <x:c r="G590" s="21" t="str">
        <x:f>IFERROR(INDEX('Resultados'!$J$5:$J$108,MATCH($B590,'Resultados'!$A$5:$A$108,0)),"")</x:f>
        <x:v>Uzbequistão</x:v>
      </x:c>
      <x:c r="H590" s="21" t="str">
        <x:v>Não</x:v>
      </x:c>
      <x:c r="I590" s="22"/>
      <x:c r="J590" s="22"/>
      <x:c r="K590" s="23"/>
      <x:c r="L590" s="21" t="str">
        <x:f>IFERROR(INDEX('Resultados'!$H$5:$H$108,MATCH($B590,'Resultados'!$A$5:$A$108,0)),"")</x:f>
      </x:c>
      <x:c r="M590" s="21" t="str">
        <x:f>IFERROR(INDEX('Resultados'!$I$5:$I$108,MATCH($B590,'Resultados'!$A$5:$A$108,0)),"")</x:f>
      </x:c>
      <x:c r="N590" s="21" t="str">
        <x:f>IFERROR(INDEX('Resultados'!$L$5:$L$108,MATCH($B590,'Resultados'!$A$5:$A$108,0)),"")</x:f>
      </x:c>
      <x:c r="O590" s="59" t="str">
        <x:f>IF(OR($I590="",$J590="",$L590="",$M590=""),"",IF(AND($H590="Sim",$L590=$M590),IF($I590&lt;&gt;$J590,0,IF(AND($I590=$L590,$J590=$M590),2,1)),IF(AND($I590=$L590,$J590=$M590),3,IF(AND($I590&lt;&gt;$J590,$I590=$M590,$J590=$L590),-2,IF(SIGN($I590-$J590)=SIGN($L590-$M590),1,0)))))</x:f>
      </x:c>
      <x:c r="P590" s="59" t="str">
        <x:f>IF(OR($H590&lt;&gt;"Sim",$I590="",$J590="",$L590="",$M590=""),"",IF(AND(IF($I590&gt;$J590,$F590,IF($I590&lt;$J590,$G590,$K590))&lt;&gt;"",IF($L590&gt;$M590,$F590,IF($L590&lt;$M590,$G590,$N590))&lt;&gt;"",IF($I590&gt;$J590,$F590,IF($I590&lt;$J590,$G590,$K590))=IF($L590&gt;$M590,$F590,IF($L590&lt;$M590,$G590,$N590))),1,0))</x:f>
      </x:c>
      <x:c r="Q590" s="59" t="str">
        <x:f>IF($O590="","",$O590+$P590)</x:f>
      </x:c>
      <x:c r="R590" s="59" t="str">
        <x:f>IF($Q590="","",IF($O590=3,"Cravada",IF(AND($H590="Sim",$L590=$M590,$I590=$J590,$O590=2),"Empate cravado",IF($O590=1,"Resultado certo",IF($O590=-2,"Invertida",IF($P590=1,"Acertou quem passa","Erro"))))))</x:f>
      </x:c>
      <x:c r="S590" s="59" t="str">
        <x:f>IF($O590="","",--(OR($O590=3,AND($H590="Sim",$L590=$M590,$I590=$J590,$O590=2))))</x:f>
      </x:c>
      <x:c r="T590" s="59" t="str">
        <x:f>IF($O590="","",--($O590=-2))</x:f>
      </x:c>
      <x:c r="U590" s="59" t="str">
        <x:f>IF($O590="","",--($O590=1))</x:f>
      </x:c>
      <x:c r="V590" s="59" t="n">
        <x:f>--(AND($I590&lt;&gt;"",$J590&lt;&gt;""))</x:f>
        <x:v>0</x:v>
      </x:c>
    </x:row>
    <x:row r="591">
      <x:c r="A591" s="21" t="str">
        <x:f>INDEX(Config!$B$10:$B$16,INT((ROW()-5)/104)+1)</x:f>
        <x:v>Vitão</x:v>
      </x:c>
      <x:c r="B591" s="21" t="str">
        <x:v>GL1</x:v>
      </x:c>
      <x:c r="C591" s="21" t="n">
        <x:v>67</x:v>
      </x:c>
      <x:c r="D591" s="21" t="str">
        <x:v>Grupo L</x:v>
      </x:c>
      <x:c r="E591" s="21" t="str">
        <x:v>2026-06-17</x:v>
      </x:c>
      <x:c r="F591" s="21" t="str">
        <x:f>IFERROR(INDEX('Resultados'!$G$5:$G$108,MATCH($B591,'Resultados'!$A$5:$A$108,0)),"")</x:f>
        <x:v>Inglaterra</x:v>
      </x:c>
      <x:c r="G591" s="21" t="str">
        <x:f>IFERROR(INDEX('Resultados'!$J$5:$J$108,MATCH($B591,'Resultados'!$A$5:$A$108,0)),"")</x:f>
        <x:v>Croácia</x:v>
      </x:c>
      <x:c r="H591" s="21" t="str">
        <x:v>Não</x:v>
      </x:c>
      <x:c r="I591" s="22"/>
      <x:c r="J591" s="22"/>
      <x:c r="K591" s="23"/>
      <x:c r="L591" s="21" t="str">
        <x:f>IFERROR(INDEX('Resultados'!$H$5:$H$108,MATCH($B591,'Resultados'!$A$5:$A$108,0)),"")</x:f>
      </x:c>
      <x:c r="M591" s="21" t="str">
        <x:f>IFERROR(INDEX('Resultados'!$I$5:$I$108,MATCH($B591,'Resultados'!$A$5:$A$108,0)),"")</x:f>
      </x:c>
      <x:c r="N591" s="21" t="str">
        <x:f>IFERROR(INDEX('Resultados'!$L$5:$L$108,MATCH($B591,'Resultados'!$A$5:$A$108,0)),"")</x:f>
      </x:c>
      <x:c r="O591" s="59" t="str">
        <x:f>IF(OR($I591="",$J591="",$L591="",$M591=""),"",IF(AND($H591="Sim",$L591=$M591),IF($I591&lt;&gt;$J591,0,IF(AND($I591=$L591,$J591=$M591),2,1)),IF(AND($I591=$L591,$J591=$M591),3,IF(AND($I591&lt;&gt;$J591,$I591=$M591,$J591=$L591),-2,IF(SIGN($I591-$J591)=SIGN($L591-$M591),1,0)))))</x:f>
      </x:c>
      <x:c r="P591" s="59" t="str">
        <x:f>IF(OR($H591&lt;&gt;"Sim",$I591="",$J591="",$L591="",$M591=""),"",IF(AND(IF($I591&gt;$J591,$F591,IF($I591&lt;$J591,$G591,$K591))&lt;&gt;"",IF($L591&gt;$M591,$F591,IF($L591&lt;$M591,$G591,$N591))&lt;&gt;"",IF($I591&gt;$J591,$F591,IF($I591&lt;$J591,$G591,$K591))=IF($L591&gt;$M591,$F591,IF($L591&lt;$M591,$G591,$N591))),1,0))</x:f>
      </x:c>
      <x:c r="Q591" s="59" t="str">
        <x:f>IF($O591="","",$O591+$P591)</x:f>
      </x:c>
      <x:c r="R591" s="59" t="str">
        <x:f>IF($Q591="","",IF($O591=3,"Cravada",IF(AND($H591="Sim",$L591=$M591,$I591=$J591,$O591=2),"Empate cravado",IF($O591=1,"Resultado certo",IF($O591=-2,"Invertida",IF($P591=1,"Acertou quem passa","Erro"))))))</x:f>
      </x:c>
      <x:c r="S591" s="59" t="str">
        <x:f>IF($O591="","",--(OR($O591=3,AND($H591="Sim",$L591=$M591,$I591=$J591,$O591=2))))</x:f>
      </x:c>
      <x:c r="T591" s="59" t="str">
        <x:f>IF($O591="","",--($O591=-2))</x:f>
      </x:c>
      <x:c r="U591" s="59" t="str">
        <x:f>IF($O591="","",--($O591=1))</x:f>
      </x:c>
      <x:c r="V591" s="59" t="n">
        <x:f>--(AND($I591&lt;&gt;"",$J591&lt;&gt;""))</x:f>
        <x:v>0</x:v>
      </x:c>
    </x:row>
    <x:row r="592">
      <x:c r="A592" s="21" t="str">
        <x:f>INDEX(Config!$B$10:$B$16,INT((ROW()-5)/104)+1)</x:f>
        <x:v>Vitão</x:v>
      </x:c>
      <x:c r="B592" s="21" t="str">
        <x:v>GL2</x:v>
      </x:c>
      <x:c r="C592" s="21" t="n">
        <x:v>68</x:v>
      </x:c>
      <x:c r="D592" s="21" t="str">
        <x:v>Grupo L</x:v>
      </x:c>
      <x:c r="E592" s="21" t="str">
        <x:v>2026-06-17</x:v>
      </x:c>
      <x:c r="F592" s="21" t="str">
        <x:f>IFERROR(INDEX('Resultados'!$G$5:$G$108,MATCH($B592,'Resultados'!$A$5:$A$108,0)),"")</x:f>
        <x:v>Gana</x:v>
      </x:c>
      <x:c r="G592" s="21" t="str">
        <x:f>IFERROR(INDEX('Resultados'!$J$5:$J$108,MATCH($B592,'Resultados'!$A$5:$A$108,0)),"")</x:f>
        <x:v>Panamá</x:v>
      </x:c>
      <x:c r="H592" s="21" t="str">
        <x:v>Não</x:v>
      </x:c>
      <x:c r="I592" s="22"/>
      <x:c r="J592" s="22"/>
      <x:c r="K592" s="23"/>
      <x:c r="L592" s="21" t="str">
        <x:f>IFERROR(INDEX('Resultados'!$H$5:$H$108,MATCH($B592,'Resultados'!$A$5:$A$108,0)),"")</x:f>
      </x:c>
      <x:c r="M592" s="21" t="str">
        <x:f>IFERROR(INDEX('Resultados'!$I$5:$I$108,MATCH($B592,'Resultados'!$A$5:$A$108,0)),"")</x:f>
      </x:c>
      <x:c r="N592" s="21" t="str">
        <x:f>IFERROR(INDEX('Resultados'!$L$5:$L$108,MATCH($B592,'Resultados'!$A$5:$A$108,0)),"")</x:f>
      </x:c>
      <x:c r="O592" s="59" t="str">
        <x:f>IF(OR($I592="",$J592="",$L592="",$M592=""),"",IF(AND($H592="Sim",$L592=$M592),IF($I592&lt;&gt;$J592,0,IF(AND($I592=$L592,$J592=$M592),2,1)),IF(AND($I592=$L592,$J592=$M592),3,IF(AND($I592&lt;&gt;$J592,$I592=$M592,$J592=$L592),-2,IF(SIGN($I592-$J592)=SIGN($L592-$M592),1,0)))))</x:f>
      </x:c>
      <x:c r="P592" s="59" t="str">
        <x:f>IF(OR($H592&lt;&gt;"Sim",$I592="",$J592="",$L592="",$M592=""),"",IF(AND(IF($I592&gt;$J592,$F592,IF($I592&lt;$J592,$G592,$K592))&lt;&gt;"",IF($L592&gt;$M592,$F592,IF($L592&lt;$M592,$G592,$N592))&lt;&gt;"",IF($I592&gt;$J592,$F592,IF($I592&lt;$J592,$G592,$K592))=IF($L592&gt;$M592,$F592,IF($L592&lt;$M592,$G592,$N592))),1,0))</x:f>
      </x:c>
      <x:c r="Q592" s="59" t="str">
        <x:f>IF($O592="","",$O592+$P592)</x:f>
      </x:c>
      <x:c r="R592" s="59" t="str">
        <x:f>IF($Q592="","",IF($O592=3,"Cravada",IF(AND($H592="Sim",$L592=$M592,$I592=$J592,$O592=2),"Empate cravado",IF($O592=1,"Resultado certo",IF($O592=-2,"Invertida",IF($P592=1,"Acertou quem passa","Erro"))))))</x:f>
      </x:c>
      <x:c r="S592" s="59" t="str">
        <x:f>IF($O592="","",--(OR($O592=3,AND($H592="Sim",$L592=$M592,$I592=$J592,$O592=2))))</x:f>
      </x:c>
      <x:c r="T592" s="59" t="str">
        <x:f>IF($O592="","",--($O592=-2))</x:f>
      </x:c>
      <x:c r="U592" s="59" t="str">
        <x:f>IF($O592="","",--($O592=1))</x:f>
      </x:c>
      <x:c r="V592" s="59" t="n">
        <x:f>--(AND($I592&lt;&gt;"",$J592&lt;&gt;""))</x:f>
        <x:v>0</x:v>
      </x:c>
    </x:row>
    <x:row r="593">
      <x:c r="A593" s="21" t="str">
        <x:f>INDEX(Config!$B$10:$B$16,INT((ROW()-5)/104)+1)</x:f>
        <x:v>Vitão</x:v>
      </x:c>
      <x:c r="B593" s="21" t="str">
        <x:v>GL3</x:v>
      </x:c>
      <x:c r="C593" s="21" t="n">
        <x:v>69</x:v>
      </x:c>
      <x:c r="D593" s="21" t="str">
        <x:v>Grupo L</x:v>
      </x:c>
      <x:c r="E593" s="21" t="str">
        <x:v>2026-06-23</x:v>
      </x:c>
      <x:c r="F593" s="21" t="str">
        <x:f>IFERROR(INDEX('Resultados'!$G$5:$G$108,MATCH($B593,'Resultados'!$A$5:$A$108,0)),"")</x:f>
        <x:v>Inglaterra</x:v>
      </x:c>
      <x:c r="G593" s="21" t="str">
        <x:f>IFERROR(INDEX('Resultados'!$J$5:$J$108,MATCH($B593,'Resultados'!$A$5:$A$108,0)),"")</x:f>
        <x:v>Gana</x:v>
      </x:c>
      <x:c r="H593" s="21" t="str">
        <x:v>Não</x:v>
      </x:c>
      <x:c r="I593" s="22"/>
      <x:c r="J593" s="22"/>
      <x:c r="K593" s="23"/>
      <x:c r="L593" s="21" t="str">
        <x:f>IFERROR(INDEX('Resultados'!$H$5:$H$108,MATCH($B593,'Resultados'!$A$5:$A$108,0)),"")</x:f>
      </x:c>
      <x:c r="M593" s="21" t="str">
        <x:f>IFERROR(INDEX('Resultados'!$I$5:$I$108,MATCH($B593,'Resultados'!$A$5:$A$108,0)),"")</x:f>
      </x:c>
      <x:c r="N593" s="21" t="str">
        <x:f>IFERROR(INDEX('Resultados'!$L$5:$L$108,MATCH($B593,'Resultados'!$A$5:$A$108,0)),"")</x:f>
      </x:c>
      <x:c r="O593" s="59" t="str">
        <x:f>IF(OR($I593="",$J593="",$L593="",$M593=""),"",IF(AND($H593="Sim",$L593=$M593),IF($I593&lt;&gt;$J593,0,IF(AND($I593=$L593,$J593=$M593),2,1)),IF(AND($I593=$L593,$J593=$M593),3,IF(AND($I593&lt;&gt;$J593,$I593=$M593,$J593=$L593),-2,IF(SIGN($I593-$J593)=SIGN($L593-$M593),1,0)))))</x:f>
      </x:c>
      <x:c r="P593" s="59" t="str">
        <x:f>IF(OR($H593&lt;&gt;"Sim",$I593="",$J593="",$L593="",$M593=""),"",IF(AND(IF($I593&gt;$J593,$F593,IF($I593&lt;$J593,$G593,$K593))&lt;&gt;"",IF($L593&gt;$M593,$F593,IF($L593&lt;$M593,$G593,$N593))&lt;&gt;"",IF($I593&gt;$J593,$F593,IF($I593&lt;$J593,$G593,$K593))=IF($L593&gt;$M593,$F593,IF($L593&lt;$M593,$G593,$N593))),1,0))</x:f>
      </x:c>
      <x:c r="Q593" s="59" t="str">
        <x:f>IF($O593="","",$O593+$P593)</x:f>
      </x:c>
      <x:c r="R593" s="59" t="str">
        <x:f>IF($Q593="","",IF($O593=3,"Cravada",IF(AND($H593="Sim",$L593=$M593,$I593=$J593,$O593=2),"Empate cravado",IF($O593=1,"Resultado certo",IF($O593=-2,"Invertida",IF($P593=1,"Acertou quem passa","Erro"))))))</x:f>
      </x:c>
      <x:c r="S593" s="59" t="str">
        <x:f>IF($O593="","",--(OR($O593=3,AND($H593="Sim",$L593=$M593,$I593=$J593,$O593=2))))</x:f>
      </x:c>
      <x:c r="T593" s="59" t="str">
        <x:f>IF($O593="","",--($O593=-2))</x:f>
      </x:c>
      <x:c r="U593" s="59" t="str">
        <x:f>IF($O593="","",--($O593=1))</x:f>
      </x:c>
      <x:c r="V593" s="59" t="n">
        <x:f>--(AND($I593&lt;&gt;"",$J593&lt;&gt;""))</x:f>
        <x:v>0</x:v>
      </x:c>
    </x:row>
    <x:row r="594">
      <x:c r="A594" s="21" t="str">
        <x:f>INDEX(Config!$B$10:$B$16,INT((ROW()-5)/104)+1)</x:f>
        <x:v>Vitão</x:v>
      </x:c>
      <x:c r="B594" s="21" t="str">
        <x:v>GL4</x:v>
      </x:c>
      <x:c r="C594" s="21" t="n">
        <x:v>70</x:v>
      </x:c>
      <x:c r="D594" s="21" t="str">
        <x:v>Grupo L</x:v>
      </x:c>
      <x:c r="E594" s="21" t="str">
        <x:v>2026-06-23</x:v>
      </x:c>
      <x:c r="F594" s="21" t="str">
        <x:f>IFERROR(INDEX('Resultados'!$G$5:$G$108,MATCH($B594,'Resultados'!$A$5:$A$108,0)),"")</x:f>
        <x:v>Croácia</x:v>
      </x:c>
      <x:c r="G594" s="21" t="str">
        <x:f>IFERROR(INDEX('Resultados'!$J$5:$J$108,MATCH($B594,'Resultados'!$A$5:$A$108,0)),"")</x:f>
        <x:v>Panamá</x:v>
      </x:c>
      <x:c r="H594" s="21" t="str">
        <x:v>Não</x:v>
      </x:c>
      <x:c r="I594" s="22"/>
      <x:c r="J594" s="22"/>
      <x:c r="K594" s="23"/>
      <x:c r="L594" s="21" t="str">
        <x:f>IFERROR(INDEX('Resultados'!$H$5:$H$108,MATCH($B594,'Resultados'!$A$5:$A$108,0)),"")</x:f>
      </x:c>
      <x:c r="M594" s="21" t="str">
        <x:f>IFERROR(INDEX('Resultados'!$I$5:$I$108,MATCH($B594,'Resultados'!$A$5:$A$108,0)),"")</x:f>
      </x:c>
      <x:c r="N594" s="21" t="str">
        <x:f>IFERROR(INDEX('Resultados'!$L$5:$L$108,MATCH($B594,'Resultados'!$A$5:$A$108,0)),"")</x:f>
      </x:c>
      <x:c r="O594" s="59" t="str">
        <x:f>IF(OR($I594="",$J594="",$L594="",$M594=""),"",IF(AND($H594="Sim",$L594=$M594),IF($I594&lt;&gt;$J594,0,IF(AND($I594=$L594,$J594=$M594),2,1)),IF(AND($I594=$L594,$J594=$M594),3,IF(AND($I594&lt;&gt;$J594,$I594=$M594,$J594=$L594),-2,IF(SIGN($I594-$J594)=SIGN($L594-$M594),1,0)))))</x:f>
      </x:c>
      <x:c r="P594" s="59" t="str">
        <x:f>IF(OR($H594&lt;&gt;"Sim",$I594="",$J594="",$L594="",$M594=""),"",IF(AND(IF($I594&gt;$J594,$F594,IF($I594&lt;$J594,$G594,$K594))&lt;&gt;"",IF($L594&gt;$M594,$F594,IF($L594&lt;$M594,$G594,$N594))&lt;&gt;"",IF($I594&gt;$J594,$F594,IF($I594&lt;$J594,$G594,$K594))=IF($L594&gt;$M594,$F594,IF($L594&lt;$M594,$G594,$N594))),1,0))</x:f>
      </x:c>
      <x:c r="Q594" s="59" t="str">
        <x:f>IF($O594="","",$O594+$P594)</x:f>
      </x:c>
      <x:c r="R594" s="59" t="str">
        <x:f>IF($Q594="","",IF($O594=3,"Cravada",IF(AND($H594="Sim",$L594=$M594,$I594=$J594,$O594=2),"Empate cravado",IF($O594=1,"Resultado certo",IF($O594=-2,"Invertida",IF($P594=1,"Acertou quem passa","Erro"))))))</x:f>
      </x:c>
      <x:c r="S594" s="59" t="str">
        <x:f>IF($O594="","",--(OR($O594=3,AND($H594="Sim",$L594=$M594,$I594=$J594,$O594=2))))</x:f>
      </x:c>
      <x:c r="T594" s="59" t="str">
        <x:f>IF($O594="","",--($O594=-2))</x:f>
      </x:c>
      <x:c r="U594" s="59" t="str">
        <x:f>IF($O594="","",--($O594=1))</x:f>
      </x:c>
      <x:c r="V594" s="59" t="n">
        <x:f>--(AND($I594&lt;&gt;"",$J594&lt;&gt;""))</x:f>
        <x:v>0</x:v>
      </x:c>
    </x:row>
    <x:row r="595">
      <x:c r="A595" s="21" t="str">
        <x:f>INDEX(Config!$B$10:$B$16,INT((ROW()-5)/104)+1)</x:f>
        <x:v>Vitão</x:v>
      </x:c>
      <x:c r="B595" s="21" t="str">
        <x:v>GL5</x:v>
      </x:c>
      <x:c r="C595" s="21" t="n">
        <x:v>71</x:v>
      </x:c>
      <x:c r="D595" s="21" t="str">
        <x:v>Grupo L</x:v>
      </x:c>
      <x:c r="E595" s="21" t="str">
        <x:v>2026-06-27</x:v>
      </x:c>
      <x:c r="F595" s="21" t="str">
        <x:f>IFERROR(INDEX('Resultados'!$G$5:$G$108,MATCH($B595,'Resultados'!$A$5:$A$108,0)),"")</x:f>
        <x:v>Inglaterra</x:v>
      </x:c>
      <x:c r="G595" s="21" t="str">
        <x:f>IFERROR(INDEX('Resultados'!$J$5:$J$108,MATCH($B595,'Resultados'!$A$5:$A$108,0)),"")</x:f>
        <x:v>Panamá</x:v>
      </x:c>
      <x:c r="H595" s="21" t="str">
        <x:v>Não</x:v>
      </x:c>
      <x:c r="I595" s="22"/>
      <x:c r="J595" s="22"/>
      <x:c r="K595" s="23"/>
      <x:c r="L595" s="21" t="str">
        <x:f>IFERROR(INDEX('Resultados'!$H$5:$H$108,MATCH($B595,'Resultados'!$A$5:$A$108,0)),"")</x:f>
      </x:c>
      <x:c r="M595" s="21" t="str">
        <x:f>IFERROR(INDEX('Resultados'!$I$5:$I$108,MATCH($B595,'Resultados'!$A$5:$A$108,0)),"")</x:f>
      </x:c>
      <x:c r="N595" s="21" t="str">
        <x:f>IFERROR(INDEX('Resultados'!$L$5:$L$108,MATCH($B595,'Resultados'!$A$5:$A$108,0)),"")</x:f>
      </x:c>
      <x:c r="O595" s="59" t="str">
        <x:f>IF(OR($I595="",$J595="",$L595="",$M595=""),"",IF(AND($H595="Sim",$L595=$M595),IF($I595&lt;&gt;$J595,0,IF(AND($I595=$L595,$J595=$M595),2,1)),IF(AND($I595=$L595,$J595=$M595),3,IF(AND($I595&lt;&gt;$J595,$I595=$M595,$J595=$L595),-2,IF(SIGN($I595-$J595)=SIGN($L595-$M595),1,0)))))</x:f>
      </x:c>
      <x:c r="P595" s="59" t="str">
        <x:f>IF(OR($H595&lt;&gt;"Sim",$I595="",$J595="",$L595="",$M595=""),"",IF(AND(IF($I595&gt;$J595,$F595,IF($I595&lt;$J595,$G595,$K595))&lt;&gt;"",IF($L595&gt;$M595,$F595,IF($L595&lt;$M595,$G595,$N595))&lt;&gt;"",IF($I595&gt;$J595,$F595,IF($I595&lt;$J595,$G595,$K595))=IF($L595&gt;$M595,$F595,IF($L595&lt;$M595,$G595,$N595))),1,0))</x:f>
      </x:c>
      <x:c r="Q595" s="59" t="str">
        <x:f>IF($O595="","",$O595+$P595)</x:f>
      </x:c>
      <x:c r="R595" s="59" t="str">
        <x:f>IF($Q595="","",IF($O595=3,"Cravada",IF(AND($H595="Sim",$L595=$M595,$I595=$J595,$O595=2),"Empate cravado",IF($O595=1,"Resultado certo",IF($O595=-2,"Invertida",IF($P595=1,"Acertou quem passa","Erro"))))))</x:f>
      </x:c>
      <x:c r="S595" s="59" t="str">
        <x:f>IF($O595="","",--(OR($O595=3,AND($H595="Sim",$L595=$M595,$I595=$J595,$O595=2))))</x:f>
      </x:c>
      <x:c r="T595" s="59" t="str">
        <x:f>IF($O595="","",--($O595=-2))</x:f>
      </x:c>
      <x:c r="U595" s="59" t="str">
        <x:f>IF($O595="","",--($O595=1))</x:f>
      </x:c>
      <x:c r="V595" s="59" t="n">
        <x:f>--(AND($I595&lt;&gt;"",$J595&lt;&gt;""))</x:f>
        <x:v>0</x:v>
      </x:c>
    </x:row>
    <x:row r="596">
      <x:c r="A596" s="21" t="str">
        <x:f>INDEX(Config!$B$10:$B$16,INT((ROW()-5)/104)+1)</x:f>
        <x:v>Vitão</x:v>
      </x:c>
      <x:c r="B596" s="21" t="str">
        <x:v>GL6</x:v>
      </x:c>
      <x:c r="C596" s="21" t="n">
        <x:v>72</x:v>
      </x:c>
      <x:c r="D596" s="21" t="str">
        <x:v>Grupo L</x:v>
      </x:c>
      <x:c r="E596" s="21" t="str">
        <x:v>2026-06-27</x:v>
      </x:c>
      <x:c r="F596" s="21" t="str">
        <x:f>IFERROR(INDEX('Resultados'!$G$5:$G$108,MATCH($B596,'Resultados'!$A$5:$A$108,0)),"")</x:f>
        <x:v>Croácia</x:v>
      </x:c>
      <x:c r="G596" s="21" t="str">
        <x:f>IFERROR(INDEX('Resultados'!$J$5:$J$108,MATCH($B596,'Resultados'!$A$5:$A$108,0)),"")</x:f>
        <x:v>Gana</x:v>
      </x:c>
      <x:c r="H596" s="21" t="str">
        <x:v>Não</x:v>
      </x:c>
      <x:c r="I596" s="22"/>
      <x:c r="J596" s="22"/>
      <x:c r="K596" s="23"/>
      <x:c r="L596" s="21" t="str">
        <x:f>IFERROR(INDEX('Resultados'!$H$5:$H$108,MATCH($B596,'Resultados'!$A$5:$A$108,0)),"")</x:f>
      </x:c>
      <x:c r="M596" s="21" t="str">
        <x:f>IFERROR(INDEX('Resultados'!$I$5:$I$108,MATCH($B596,'Resultados'!$A$5:$A$108,0)),"")</x:f>
      </x:c>
      <x:c r="N596" s="21" t="str">
        <x:f>IFERROR(INDEX('Resultados'!$L$5:$L$108,MATCH($B596,'Resultados'!$A$5:$A$108,0)),"")</x:f>
      </x:c>
      <x:c r="O596" s="59" t="str">
        <x:f>IF(OR($I596="",$J596="",$L596="",$M596=""),"",IF(AND($H596="Sim",$L596=$M596),IF($I596&lt;&gt;$J596,0,IF(AND($I596=$L596,$J596=$M596),2,1)),IF(AND($I596=$L596,$J596=$M596),3,IF(AND($I596&lt;&gt;$J596,$I596=$M596,$J596=$L596),-2,IF(SIGN($I596-$J596)=SIGN($L596-$M596),1,0)))))</x:f>
      </x:c>
      <x:c r="P596" s="59" t="str">
        <x:f>IF(OR($H596&lt;&gt;"Sim",$I596="",$J596="",$L596="",$M596=""),"",IF(AND(IF($I596&gt;$J596,$F596,IF($I596&lt;$J596,$G596,$K596))&lt;&gt;"",IF($L596&gt;$M596,$F596,IF($L596&lt;$M596,$G596,$N596))&lt;&gt;"",IF($I596&gt;$J596,$F596,IF($I596&lt;$J596,$G596,$K596))=IF($L596&gt;$M596,$F596,IF($L596&lt;$M596,$G596,$N596))),1,0))</x:f>
      </x:c>
      <x:c r="Q596" s="59" t="str">
        <x:f>IF($O596="","",$O596+$P596)</x:f>
      </x:c>
      <x:c r="R596" s="59" t="str">
        <x:f>IF($Q596="","",IF($O596=3,"Cravada",IF(AND($H596="Sim",$L596=$M596,$I596=$J596,$O596=2),"Empate cravado",IF($O596=1,"Resultado certo",IF($O596=-2,"Invertida",IF($P596=1,"Acertou quem passa","Erro"))))))</x:f>
      </x:c>
      <x:c r="S596" s="59" t="str">
        <x:f>IF($O596="","",--(OR($O596=3,AND($H596="Sim",$L596=$M596,$I596=$J596,$O596=2))))</x:f>
      </x:c>
      <x:c r="T596" s="59" t="str">
        <x:f>IF($O596="","",--($O596=-2))</x:f>
      </x:c>
      <x:c r="U596" s="59" t="str">
        <x:f>IF($O596="","",--($O596=1))</x:f>
      </x:c>
      <x:c r="V596" s="59" t="n">
        <x:f>--(AND($I596&lt;&gt;"",$J596&lt;&gt;""))</x:f>
        <x:v>0</x:v>
      </x:c>
    </x:row>
    <x:row r="597">
      <x:c r="A597" s="21" t="str">
        <x:f>INDEX(Config!$B$10:$B$16,INT((ROW()-5)/104)+1)</x:f>
        <x:v>Vitão</x:v>
      </x:c>
      <x:c r="B597" s="21" t="str">
        <x:v>R32_01</x:v>
      </x:c>
      <x:c r="C597" s="21" t="n">
        <x:v>73</x:v>
      </x:c>
      <x:c r="D597" s="21" t="str">
        <x:v>16-avos de final</x:v>
      </x:c>
      <x:c r="E597" s="21" t="str">
        <x:v>2026-06-28</x:v>
      </x:c>
      <x:c r="F597" s="21" t="str">
        <x:f>IFERROR(INDEX('Resultados'!$G$5:$G$108,MATCH($B597,'Resultados'!$A$5:$A$108,0)),"")</x:f>
        <x:v>2º Grupo A</x:v>
      </x:c>
      <x:c r="G597" s="21" t="str">
        <x:f>IFERROR(INDEX('Resultados'!$J$5:$J$108,MATCH($B597,'Resultados'!$A$5:$A$108,0)),"")</x:f>
        <x:v>2º Grupo B</x:v>
      </x:c>
      <x:c r="H597" s="21" t="str">
        <x:v>Sim</x:v>
      </x:c>
      <x:c r="I597" s="22"/>
      <x:c r="J597" s="22"/>
      <x:c r="K597" s="23"/>
      <x:c r="L597" s="21" t="str">
        <x:f>IFERROR(INDEX('Resultados'!$H$5:$H$108,MATCH($B597,'Resultados'!$A$5:$A$108,0)),"")</x:f>
      </x:c>
      <x:c r="M597" s="21" t="str">
        <x:f>IFERROR(INDEX('Resultados'!$I$5:$I$108,MATCH($B597,'Resultados'!$A$5:$A$108,0)),"")</x:f>
      </x:c>
      <x:c r="N597" s="21" t="str">
        <x:f>IFERROR(INDEX('Resultados'!$L$5:$L$108,MATCH($B597,'Resultados'!$A$5:$A$108,0)),"")</x:f>
      </x:c>
      <x:c r="O597" s="59" t="str">
        <x:f>IF(OR($I597="",$J597="",$L597="",$M597=""),"",IF(AND($H597="Sim",$L597=$M597),IF($I597&lt;&gt;$J597,0,IF(AND($I597=$L597,$J597=$M597),2,1)),IF(AND($I597=$L597,$J597=$M597),3,IF(AND($I597&lt;&gt;$J597,$I597=$M597,$J597=$L597),-2,IF(SIGN($I597-$J597)=SIGN($L597-$M597),1,0)))))</x:f>
      </x:c>
      <x:c r="P597" s="59" t="str">
        <x:f>IF(OR($H597&lt;&gt;"Sim",$I597="",$J597="",$L597="",$M597=""),"",IF(AND(IF($I597&gt;$J597,$F597,IF($I597&lt;$J597,$G597,$K597))&lt;&gt;"",IF($L597&gt;$M597,$F597,IF($L597&lt;$M597,$G597,$N597))&lt;&gt;"",IF($I597&gt;$J597,$F597,IF($I597&lt;$J597,$G597,$K597))=IF($L597&gt;$M597,$F597,IF($L597&lt;$M597,$G597,$N597))),1,0))</x:f>
      </x:c>
      <x:c r="Q597" s="59" t="str">
        <x:f>IF($O597="","",$O597+$P597)</x:f>
      </x:c>
      <x:c r="R597" s="59" t="str">
        <x:f>IF($Q597="","",IF($O597=3,"Cravada",IF(AND($H597="Sim",$L597=$M597,$I597=$J597,$O597=2),"Empate cravado",IF($O597=1,"Resultado certo",IF($O597=-2,"Invertida",IF($P597=1,"Acertou quem passa","Erro"))))))</x:f>
      </x:c>
      <x:c r="S597" s="59" t="str">
        <x:f>IF($O597="","",--(OR($O597=3,AND($H597="Sim",$L597=$M597,$I597=$J597,$O597=2))))</x:f>
      </x:c>
      <x:c r="T597" s="59" t="str">
        <x:f>IF($O597="","",--($O597=-2))</x:f>
      </x:c>
      <x:c r="U597" s="59" t="str">
        <x:f>IF($O597="","",--($O597=1))</x:f>
      </x:c>
      <x:c r="V597" s="59" t="n">
        <x:f>--(AND($I597&lt;&gt;"",$J597&lt;&gt;""))</x:f>
        <x:v>0</x:v>
      </x:c>
    </x:row>
    <x:row r="598">
      <x:c r="A598" s="21" t="str">
        <x:f>INDEX(Config!$B$10:$B$16,INT((ROW()-5)/104)+1)</x:f>
        <x:v>Vitão</x:v>
      </x:c>
      <x:c r="B598" s="21" t="str">
        <x:v>R32_02</x:v>
      </x:c>
      <x:c r="C598" s="21" t="n">
        <x:v>74</x:v>
      </x:c>
      <x:c r="D598" s="21" t="str">
        <x:v>16-avos de final</x:v>
      </x:c>
      <x:c r="E598" s="21" t="str">
        <x:v>2026-06-29</x:v>
      </x:c>
      <x:c r="F598" s="21" t="str">
        <x:f>IFERROR(INDEX('Resultados'!$G$5:$G$108,MATCH($B598,'Resultados'!$A$5:$A$108,0)),"")</x:f>
        <x:v>1º Grupo E</x:v>
      </x:c>
      <x:c r="G598" s="21" t="str">
        <x:f>IFERROR(INDEX('Resultados'!$J$5:$J$108,MATCH($B598,'Resultados'!$A$5:$A$108,0)),"")</x:f>
        <x:v>3º A/B/C/D/F</x:v>
      </x:c>
      <x:c r="H598" s="21" t="str">
        <x:v>Sim</x:v>
      </x:c>
      <x:c r="I598" s="22"/>
      <x:c r="J598" s="22"/>
      <x:c r="K598" s="23"/>
      <x:c r="L598" s="21" t="str">
        <x:f>IFERROR(INDEX('Resultados'!$H$5:$H$108,MATCH($B598,'Resultados'!$A$5:$A$108,0)),"")</x:f>
      </x:c>
      <x:c r="M598" s="21" t="str">
        <x:f>IFERROR(INDEX('Resultados'!$I$5:$I$108,MATCH($B598,'Resultados'!$A$5:$A$108,0)),"")</x:f>
      </x:c>
      <x:c r="N598" s="21" t="str">
        <x:f>IFERROR(INDEX('Resultados'!$L$5:$L$108,MATCH($B598,'Resultados'!$A$5:$A$108,0)),"")</x:f>
      </x:c>
      <x:c r="O598" s="59" t="str">
        <x:f>IF(OR($I598="",$J598="",$L598="",$M598=""),"",IF(AND($H598="Sim",$L598=$M598),IF($I598&lt;&gt;$J598,0,IF(AND($I598=$L598,$J598=$M598),2,1)),IF(AND($I598=$L598,$J598=$M598),3,IF(AND($I598&lt;&gt;$J598,$I598=$M598,$J598=$L598),-2,IF(SIGN($I598-$J598)=SIGN($L598-$M598),1,0)))))</x:f>
      </x:c>
      <x:c r="P598" s="59" t="str">
        <x:f>IF(OR($H598&lt;&gt;"Sim",$I598="",$J598="",$L598="",$M598=""),"",IF(AND(IF($I598&gt;$J598,$F598,IF($I598&lt;$J598,$G598,$K598))&lt;&gt;"",IF($L598&gt;$M598,$F598,IF($L598&lt;$M598,$G598,$N598))&lt;&gt;"",IF($I598&gt;$J598,$F598,IF($I598&lt;$J598,$G598,$K598))=IF($L598&gt;$M598,$F598,IF($L598&lt;$M598,$G598,$N598))),1,0))</x:f>
      </x:c>
      <x:c r="Q598" s="59" t="str">
        <x:f>IF($O598="","",$O598+$P598)</x:f>
      </x:c>
      <x:c r="R598" s="59" t="str">
        <x:f>IF($Q598="","",IF($O598=3,"Cravada",IF(AND($H598="Sim",$L598=$M598,$I598=$J598,$O598=2),"Empate cravado",IF($O598=1,"Resultado certo",IF($O598=-2,"Invertida",IF($P598=1,"Acertou quem passa","Erro"))))))</x:f>
      </x:c>
      <x:c r="S598" s="59" t="str">
        <x:f>IF($O598="","",--(OR($O598=3,AND($H598="Sim",$L598=$M598,$I598=$J598,$O598=2))))</x:f>
      </x:c>
      <x:c r="T598" s="59" t="str">
        <x:f>IF($O598="","",--($O598=-2))</x:f>
      </x:c>
      <x:c r="U598" s="59" t="str">
        <x:f>IF($O598="","",--($O598=1))</x:f>
      </x:c>
      <x:c r="V598" s="59" t="n">
        <x:f>--(AND($I598&lt;&gt;"",$J598&lt;&gt;""))</x:f>
        <x:v>0</x:v>
      </x:c>
    </x:row>
    <x:row r="599">
      <x:c r="A599" s="21" t="str">
        <x:f>INDEX(Config!$B$10:$B$16,INT((ROW()-5)/104)+1)</x:f>
        <x:v>Vitão</x:v>
      </x:c>
      <x:c r="B599" s="21" t="str">
        <x:v>R32_03</x:v>
      </x:c>
      <x:c r="C599" s="21" t="n">
        <x:v>75</x:v>
      </x:c>
      <x:c r="D599" s="21" t="str">
        <x:v>16-avos de final</x:v>
      </x:c>
      <x:c r="E599" s="21" t="str">
        <x:v>2026-06-29</x:v>
      </x:c>
      <x:c r="F599" s="21" t="str">
        <x:f>IFERROR(INDEX('Resultados'!$G$5:$G$108,MATCH($B599,'Resultados'!$A$5:$A$108,0)),"")</x:f>
        <x:v>1º Grupo F</x:v>
      </x:c>
      <x:c r="G599" s="21" t="str">
        <x:f>IFERROR(INDEX('Resultados'!$J$5:$J$108,MATCH($B599,'Resultados'!$A$5:$A$108,0)),"")</x:f>
        <x:v>2º Grupo C</x:v>
      </x:c>
      <x:c r="H599" s="21" t="str">
        <x:v>Sim</x:v>
      </x:c>
      <x:c r="I599" s="22"/>
      <x:c r="J599" s="22"/>
      <x:c r="K599" s="23"/>
      <x:c r="L599" s="21" t="str">
        <x:f>IFERROR(INDEX('Resultados'!$H$5:$H$108,MATCH($B599,'Resultados'!$A$5:$A$108,0)),"")</x:f>
      </x:c>
      <x:c r="M599" s="21" t="str">
        <x:f>IFERROR(INDEX('Resultados'!$I$5:$I$108,MATCH($B599,'Resultados'!$A$5:$A$108,0)),"")</x:f>
      </x:c>
      <x:c r="N599" s="21" t="str">
        <x:f>IFERROR(INDEX('Resultados'!$L$5:$L$108,MATCH($B599,'Resultados'!$A$5:$A$108,0)),"")</x:f>
      </x:c>
      <x:c r="O599" s="59" t="str">
        <x:f>IF(OR($I599="",$J599="",$L599="",$M599=""),"",IF(AND($H599="Sim",$L599=$M599),IF($I599&lt;&gt;$J599,0,IF(AND($I599=$L599,$J599=$M599),2,1)),IF(AND($I599=$L599,$J599=$M599),3,IF(AND($I599&lt;&gt;$J599,$I599=$M599,$J599=$L599),-2,IF(SIGN($I599-$J599)=SIGN($L599-$M599),1,0)))))</x:f>
      </x:c>
      <x:c r="P599" s="59" t="str">
        <x:f>IF(OR($H599&lt;&gt;"Sim",$I599="",$J599="",$L599="",$M599=""),"",IF(AND(IF($I599&gt;$J599,$F599,IF($I599&lt;$J599,$G599,$K599))&lt;&gt;"",IF($L599&gt;$M599,$F599,IF($L599&lt;$M599,$G599,$N599))&lt;&gt;"",IF($I599&gt;$J599,$F599,IF($I599&lt;$J599,$G599,$K599))=IF($L599&gt;$M599,$F599,IF($L599&lt;$M599,$G599,$N599))),1,0))</x:f>
      </x:c>
      <x:c r="Q599" s="59" t="str">
        <x:f>IF($O599="","",$O599+$P599)</x:f>
      </x:c>
      <x:c r="R599" s="59" t="str">
        <x:f>IF($Q599="","",IF($O599=3,"Cravada",IF(AND($H599="Sim",$L599=$M599,$I599=$J599,$O599=2),"Empate cravado",IF($O599=1,"Resultado certo",IF($O599=-2,"Invertida",IF($P599=1,"Acertou quem passa","Erro"))))))</x:f>
      </x:c>
      <x:c r="S599" s="59" t="str">
        <x:f>IF($O599="","",--(OR($O599=3,AND($H599="Sim",$L599=$M599,$I599=$J599,$O599=2))))</x:f>
      </x:c>
      <x:c r="T599" s="59" t="str">
        <x:f>IF($O599="","",--($O599=-2))</x:f>
      </x:c>
      <x:c r="U599" s="59" t="str">
        <x:f>IF($O599="","",--($O599=1))</x:f>
      </x:c>
      <x:c r="V599" s="59" t="n">
        <x:f>--(AND($I599&lt;&gt;"",$J599&lt;&gt;""))</x:f>
        <x:v>0</x:v>
      </x:c>
    </x:row>
    <x:row r="600">
      <x:c r="A600" s="21" t="str">
        <x:f>INDEX(Config!$B$10:$B$16,INT((ROW()-5)/104)+1)</x:f>
        <x:v>Vitão</x:v>
      </x:c>
      <x:c r="B600" s="21" t="str">
        <x:v>R32_04</x:v>
      </x:c>
      <x:c r="C600" s="21" t="n">
        <x:v>76</x:v>
      </x:c>
      <x:c r="D600" s="21" t="str">
        <x:v>16-avos de final</x:v>
      </x:c>
      <x:c r="E600" s="21" t="str">
        <x:v>2026-06-29</x:v>
      </x:c>
      <x:c r="F600" s="21" t="str">
        <x:f>IFERROR(INDEX('Resultados'!$G$5:$G$108,MATCH($B600,'Resultados'!$A$5:$A$108,0)),"")</x:f>
        <x:v>1º Grupo C</x:v>
      </x:c>
      <x:c r="G600" s="21" t="str">
        <x:f>IFERROR(INDEX('Resultados'!$J$5:$J$108,MATCH($B600,'Resultados'!$A$5:$A$108,0)),"")</x:f>
        <x:v>2º Grupo F</x:v>
      </x:c>
      <x:c r="H600" s="21" t="str">
        <x:v>Sim</x:v>
      </x:c>
      <x:c r="I600" s="22"/>
      <x:c r="J600" s="22"/>
      <x:c r="K600" s="23"/>
      <x:c r="L600" s="21" t="str">
        <x:f>IFERROR(INDEX('Resultados'!$H$5:$H$108,MATCH($B600,'Resultados'!$A$5:$A$108,0)),"")</x:f>
      </x:c>
      <x:c r="M600" s="21" t="str">
        <x:f>IFERROR(INDEX('Resultados'!$I$5:$I$108,MATCH($B600,'Resultados'!$A$5:$A$108,0)),"")</x:f>
      </x:c>
      <x:c r="N600" s="21" t="str">
        <x:f>IFERROR(INDEX('Resultados'!$L$5:$L$108,MATCH($B600,'Resultados'!$A$5:$A$108,0)),"")</x:f>
      </x:c>
      <x:c r="O600" s="59" t="str">
        <x:f>IF(OR($I600="",$J600="",$L600="",$M600=""),"",IF(AND($H600="Sim",$L600=$M600),IF($I600&lt;&gt;$J600,0,IF(AND($I600=$L600,$J600=$M600),2,1)),IF(AND($I600=$L600,$J600=$M600),3,IF(AND($I600&lt;&gt;$J600,$I600=$M600,$J600=$L600),-2,IF(SIGN($I600-$J600)=SIGN($L600-$M600),1,0)))))</x:f>
      </x:c>
      <x:c r="P600" s="59" t="str">
        <x:f>IF(OR($H600&lt;&gt;"Sim",$I600="",$J600="",$L600="",$M600=""),"",IF(AND(IF($I600&gt;$J600,$F600,IF($I600&lt;$J600,$G600,$K600))&lt;&gt;"",IF($L600&gt;$M600,$F600,IF($L600&lt;$M600,$G600,$N600))&lt;&gt;"",IF($I600&gt;$J600,$F600,IF($I600&lt;$J600,$G600,$K600))=IF($L600&gt;$M600,$F600,IF($L600&lt;$M600,$G600,$N600))),1,0))</x:f>
      </x:c>
      <x:c r="Q600" s="59" t="str">
        <x:f>IF($O600="","",$O600+$P600)</x:f>
      </x:c>
      <x:c r="R600" s="59" t="str">
        <x:f>IF($Q600="","",IF($O600=3,"Cravada",IF(AND($H600="Sim",$L600=$M600,$I600=$J600,$O600=2),"Empate cravado",IF($O600=1,"Resultado certo",IF($O600=-2,"Invertida",IF($P600=1,"Acertou quem passa","Erro"))))))</x:f>
      </x:c>
      <x:c r="S600" s="59" t="str">
        <x:f>IF($O600="","",--(OR($O600=3,AND($H600="Sim",$L600=$M600,$I600=$J600,$O600=2))))</x:f>
      </x:c>
      <x:c r="T600" s="59" t="str">
        <x:f>IF($O600="","",--($O600=-2))</x:f>
      </x:c>
      <x:c r="U600" s="59" t="str">
        <x:f>IF($O600="","",--($O600=1))</x:f>
      </x:c>
      <x:c r="V600" s="59" t="n">
        <x:f>--(AND($I600&lt;&gt;"",$J600&lt;&gt;""))</x:f>
        <x:v>0</x:v>
      </x:c>
    </x:row>
    <x:row r="601">
      <x:c r="A601" s="21" t="str">
        <x:f>INDEX(Config!$B$10:$B$16,INT((ROW()-5)/104)+1)</x:f>
        <x:v>Vitão</x:v>
      </x:c>
      <x:c r="B601" s="21" t="str">
        <x:v>R32_05</x:v>
      </x:c>
      <x:c r="C601" s="21" t="n">
        <x:v>77</x:v>
      </x:c>
      <x:c r="D601" s="21" t="str">
        <x:v>16-avos de final</x:v>
      </x:c>
      <x:c r="E601" s="21" t="str">
        <x:v>2026-06-30</x:v>
      </x:c>
      <x:c r="F601" s="21" t="str">
        <x:f>IFERROR(INDEX('Resultados'!$G$5:$G$108,MATCH($B601,'Resultados'!$A$5:$A$108,0)),"")</x:f>
        <x:v>1º Grupo I</x:v>
      </x:c>
      <x:c r="G601" s="21" t="str">
        <x:f>IFERROR(INDEX('Resultados'!$J$5:$J$108,MATCH($B601,'Resultados'!$A$5:$A$108,0)),"")</x:f>
        <x:v>3º C/D/F/G/H</x:v>
      </x:c>
      <x:c r="H601" s="21" t="str">
        <x:v>Sim</x:v>
      </x:c>
      <x:c r="I601" s="22"/>
      <x:c r="J601" s="22"/>
      <x:c r="K601" s="23"/>
      <x:c r="L601" s="21" t="str">
        <x:f>IFERROR(INDEX('Resultados'!$H$5:$H$108,MATCH($B601,'Resultados'!$A$5:$A$108,0)),"")</x:f>
      </x:c>
      <x:c r="M601" s="21" t="str">
        <x:f>IFERROR(INDEX('Resultados'!$I$5:$I$108,MATCH($B601,'Resultados'!$A$5:$A$108,0)),"")</x:f>
      </x:c>
      <x:c r="N601" s="21" t="str">
        <x:f>IFERROR(INDEX('Resultados'!$L$5:$L$108,MATCH($B601,'Resultados'!$A$5:$A$108,0)),"")</x:f>
      </x:c>
      <x:c r="O601" s="59" t="str">
        <x:f>IF(OR($I601="",$J601="",$L601="",$M601=""),"",IF(AND($H601="Sim",$L601=$M601),IF($I601&lt;&gt;$J601,0,IF(AND($I601=$L601,$J601=$M601),2,1)),IF(AND($I601=$L601,$J601=$M601),3,IF(AND($I601&lt;&gt;$J601,$I601=$M601,$J601=$L601),-2,IF(SIGN($I601-$J601)=SIGN($L601-$M601),1,0)))))</x:f>
      </x:c>
      <x:c r="P601" s="59" t="str">
        <x:f>IF(OR($H601&lt;&gt;"Sim",$I601="",$J601="",$L601="",$M601=""),"",IF(AND(IF($I601&gt;$J601,$F601,IF($I601&lt;$J601,$G601,$K601))&lt;&gt;"",IF($L601&gt;$M601,$F601,IF($L601&lt;$M601,$G601,$N601))&lt;&gt;"",IF($I601&gt;$J601,$F601,IF($I601&lt;$J601,$G601,$K601))=IF($L601&gt;$M601,$F601,IF($L601&lt;$M601,$G601,$N601))),1,0))</x:f>
      </x:c>
      <x:c r="Q601" s="59" t="str">
        <x:f>IF($O601="","",$O601+$P601)</x:f>
      </x:c>
      <x:c r="R601" s="59" t="str">
        <x:f>IF($Q601="","",IF($O601=3,"Cravada",IF(AND($H601="Sim",$L601=$M601,$I601=$J601,$O601=2),"Empate cravado",IF($O601=1,"Resultado certo",IF($O601=-2,"Invertida",IF($P601=1,"Acertou quem passa","Erro"))))))</x:f>
      </x:c>
      <x:c r="S601" s="59" t="str">
        <x:f>IF($O601="","",--(OR($O601=3,AND($H601="Sim",$L601=$M601,$I601=$J601,$O601=2))))</x:f>
      </x:c>
      <x:c r="T601" s="59" t="str">
        <x:f>IF($O601="","",--($O601=-2))</x:f>
      </x:c>
      <x:c r="U601" s="59" t="str">
        <x:f>IF($O601="","",--($O601=1))</x:f>
      </x:c>
      <x:c r="V601" s="59" t="n">
        <x:f>--(AND($I601&lt;&gt;"",$J601&lt;&gt;""))</x:f>
        <x:v>0</x:v>
      </x:c>
    </x:row>
    <x:row r="602">
      <x:c r="A602" s="21" t="str">
        <x:f>INDEX(Config!$B$10:$B$16,INT((ROW()-5)/104)+1)</x:f>
        <x:v>Vitão</x:v>
      </x:c>
      <x:c r="B602" s="21" t="str">
        <x:v>R32_06</x:v>
      </x:c>
      <x:c r="C602" s="21" t="n">
        <x:v>78</x:v>
      </x:c>
      <x:c r="D602" s="21" t="str">
        <x:v>16-avos de final</x:v>
      </x:c>
      <x:c r="E602" s="21" t="str">
        <x:v>2026-06-30</x:v>
      </x:c>
      <x:c r="F602" s="21" t="str">
        <x:f>IFERROR(INDEX('Resultados'!$G$5:$G$108,MATCH($B602,'Resultados'!$A$5:$A$108,0)),"")</x:f>
        <x:v>2º Grupo E</x:v>
      </x:c>
      <x:c r="G602" s="21" t="str">
        <x:f>IFERROR(INDEX('Resultados'!$J$5:$J$108,MATCH($B602,'Resultados'!$A$5:$A$108,0)),"")</x:f>
        <x:v>2º Grupo I</x:v>
      </x:c>
      <x:c r="H602" s="21" t="str">
        <x:v>Sim</x:v>
      </x:c>
      <x:c r="I602" s="22"/>
      <x:c r="J602" s="22"/>
      <x:c r="K602" s="23"/>
      <x:c r="L602" s="21" t="str">
        <x:f>IFERROR(INDEX('Resultados'!$H$5:$H$108,MATCH($B602,'Resultados'!$A$5:$A$108,0)),"")</x:f>
      </x:c>
      <x:c r="M602" s="21" t="str">
        <x:f>IFERROR(INDEX('Resultados'!$I$5:$I$108,MATCH($B602,'Resultados'!$A$5:$A$108,0)),"")</x:f>
      </x:c>
      <x:c r="N602" s="21" t="str">
        <x:f>IFERROR(INDEX('Resultados'!$L$5:$L$108,MATCH($B602,'Resultados'!$A$5:$A$108,0)),"")</x:f>
      </x:c>
      <x:c r="O602" s="59" t="str">
        <x:f>IF(OR($I602="",$J602="",$L602="",$M602=""),"",IF(AND($H602="Sim",$L602=$M602),IF($I602&lt;&gt;$J602,0,IF(AND($I602=$L602,$J602=$M602),2,1)),IF(AND($I602=$L602,$J602=$M602),3,IF(AND($I602&lt;&gt;$J602,$I602=$M602,$J602=$L602),-2,IF(SIGN($I602-$J602)=SIGN($L602-$M602),1,0)))))</x:f>
      </x:c>
      <x:c r="P602" s="59" t="str">
        <x:f>IF(OR($H602&lt;&gt;"Sim",$I602="",$J602="",$L602="",$M602=""),"",IF(AND(IF($I602&gt;$J602,$F602,IF($I602&lt;$J602,$G602,$K602))&lt;&gt;"",IF($L602&gt;$M602,$F602,IF($L602&lt;$M602,$G602,$N602))&lt;&gt;"",IF($I602&gt;$J602,$F602,IF($I602&lt;$J602,$G602,$K602))=IF($L602&gt;$M602,$F602,IF($L602&lt;$M602,$G602,$N602))),1,0))</x:f>
      </x:c>
      <x:c r="Q602" s="59" t="str">
        <x:f>IF($O602="","",$O602+$P602)</x:f>
      </x:c>
      <x:c r="R602" s="59" t="str">
        <x:f>IF($Q602="","",IF($O602=3,"Cravada",IF(AND($H602="Sim",$L602=$M602,$I602=$J602,$O602=2),"Empate cravado",IF($O602=1,"Resultado certo",IF($O602=-2,"Invertida",IF($P602=1,"Acertou quem passa","Erro"))))))</x:f>
      </x:c>
      <x:c r="S602" s="59" t="str">
        <x:f>IF($O602="","",--(OR($O602=3,AND($H602="Sim",$L602=$M602,$I602=$J602,$O602=2))))</x:f>
      </x:c>
      <x:c r="T602" s="59" t="str">
        <x:f>IF($O602="","",--($O602=-2))</x:f>
      </x:c>
      <x:c r="U602" s="59" t="str">
        <x:f>IF($O602="","",--($O602=1))</x:f>
      </x:c>
      <x:c r="V602" s="59" t="n">
        <x:f>--(AND($I602&lt;&gt;"",$J602&lt;&gt;""))</x:f>
        <x:v>0</x:v>
      </x:c>
    </x:row>
    <x:row r="603">
      <x:c r="A603" s="21" t="str">
        <x:f>INDEX(Config!$B$10:$B$16,INT((ROW()-5)/104)+1)</x:f>
        <x:v>Vitão</x:v>
      </x:c>
      <x:c r="B603" s="21" t="str">
        <x:v>R32_07</x:v>
      </x:c>
      <x:c r="C603" s="21" t="n">
        <x:v>79</x:v>
      </x:c>
      <x:c r="D603" s="21" t="str">
        <x:v>16-avos de final</x:v>
      </x:c>
      <x:c r="E603" s="21" t="str">
        <x:v>2026-06-30</x:v>
      </x:c>
      <x:c r="F603" s="21" t="str">
        <x:f>IFERROR(INDEX('Resultados'!$G$5:$G$108,MATCH($B603,'Resultados'!$A$5:$A$108,0)),"")</x:f>
        <x:v>1º Grupo A</x:v>
      </x:c>
      <x:c r="G603" s="21" t="str">
        <x:f>IFERROR(INDEX('Resultados'!$J$5:$J$108,MATCH($B603,'Resultados'!$A$5:$A$108,0)),"")</x:f>
        <x:v>3º C/E/F/H/I</x:v>
      </x:c>
      <x:c r="H603" s="21" t="str">
        <x:v>Sim</x:v>
      </x:c>
      <x:c r="I603" s="22"/>
      <x:c r="J603" s="22"/>
      <x:c r="K603" s="23"/>
      <x:c r="L603" s="21" t="str">
        <x:f>IFERROR(INDEX('Resultados'!$H$5:$H$108,MATCH($B603,'Resultados'!$A$5:$A$108,0)),"")</x:f>
      </x:c>
      <x:c r="M603" s="21" t="str">
        <x:f>IFERROR(INDEX('Resultados'!$I$5:$I$108,MATCH($B603,'Resultados'!$A$5:$A$108,0)),"")</x:f>
      </x:c>
      <x:c r="N603" s="21" t="str">
        <x:f>IFERROR(INDEX('Resultados'!$L$5:$L$108,MATCH($B603,'Resultados'!$A$5:$A$108,0)),"")</x:f>
      </x:c>
      <x:c r="O603" s="59" t="str">
        <x:f>IF(OR($I603="",$J603="",$L603="",$M603=""),"",IF(AND($H603="Sim",$L603=$M603),IF($I603&lt;&gt;$J603,0,IF(AND($I603=$L603,$J603=$M603),2,1)),IF(AND($I603=$L603,$J603=$M603),3,IF(AND($I603&lt;&gt;$J603,$I603=$M603,$J603=$L603),-2,IF(SIGN($I603-$J603)=SIGN($L603-$M603),1,0)))))</x:f>
      </x:c>
      <x:c r="P603" s="59" t="str">
        <x:f>IF(OR($H603&lt;&gt;"Sim",$I603="",$J603="",$L603="",$M603=""),"",IF(AND(IF($I603&gt;$J603,$F603,IF($I603&lt;$J603,$G603,$K603))&lt;&gt;"",IF($L603&gt;$M603,$F603,IF($L603&lt;$M603,$G603,$N603))&lt;&gt;"",IF($I603&gt;$J603,$F603,IF($I603&lt;$J603,$G603,$K603))=IF($L603&gt;$M603,$F603,IF($L603&lt;$M603,$G603,$N603))),1,0))</x:f>
      </x:c>
      <x:c r="Q603" s="59" t="str">
        <x:f>IF($O603="","",$O603+$P603)</x:f>
      </x:c>
      <x:c r="R603" s="59" t="str">
        <x:f>IF($Q603="","",IF($O603=3,"Cravada",IF(AND($H603="Sim",$L603=$M603,$I603=$J603,$O603=2),"Empate cravado",IF($O603=1,"Resultado certo",IF($O603=-2,"Invertida",IF($P603=1,"Acertou quem passa","Erro"))))))</x:f>
      </x:c>
      <x:c r="S603" s="59" t="str">
        <x:f>IF($O603="","",--(OR($O603=3,AND($H603="Sim",$L603=$M603,$I603=$J603,$O603=2))))</x:f>
      </x:c>
      <x:c r="T603" s="59" t="str">
        <x:f>IF($O603="","",--($O603=-2))</x:f>
      </x:c>
      <x:c r="U603" s="59" t="str">
        <x:f>IF($O603="","",--($O603=1))</x:f>
      </x:c>
      <x:c r="V603" s="59" t="n">
        <x:f>--(AND($I603&lt;&gt;"",$J603&lt;&gt;""))</x:f>
        <x:v>0</x:v>
      </x:c>
    </x:row>
    <x:row r="604">
      <x:c r="A604" s="21" t="str">
        <x:f>INDEX(Config!$B$10:$B$16,INT((ROW()-5)/104)+1)</x:f>
        <x:v>Vitão</x:v>
      </x:c>
      <x:c r="B604" s="21" t="str">
        <x:v>R32_08</x:v>
      </x:c>
      <x:c r="C604" s="21" t="n">
        <x:v>80</x:v>
      </x:c>
      <x:c r="D604" s="21" t="str">
        <x:v>16-avos de final</x:v>
      </x:c>
      <x:c r="E604" s="21" t="str">
        <x:v>2026-07-01</x:v>
      </x:c>
      <x:c r="F604" s="21" t="str">
        <x:f>IFERROR(INDEX('Resultados'!$G$5:$G$108,MATCH($B604,'Resultados'!$A$5:$A$108,0)),"")</x:f>
        <x:v>1º Grupo L</x:v>
      </x:c>
      <x:c r="G604" s="21" t="str">
        <x:f>IFERROR(INDEX('Resultados'!$J$5:$J$108,MATCH($B604,'Resultados'!$A$5:$A$108,0)),"")</x:f>
        <x:v>3º E/H/I/J/K</x:v>
      </x:c>
      <x:c r="H604" s="21" t="str">
        <x:v>Sim</x:v>
      </x:c>
      <x:c r="I604" s="22"/>
      <x:c r="J604" s="22"/>
      <x:c r="K604" s="23"/>
      <x:c r="L604" s="21" t="str">
        <x:f>IFERROR(INDEX('Resultados'!$H$5:$H$108,MATCH($B604,'Resultados'!$A$5:$A$108,0)),"")</x:f>
      </x:c>
      <x:c r="M604" s="21" t="str">
        <x:f>IFERROR(INDEX('Resultados'!$I$5:$I$108,MATCH($B604,'Resultados'!$A$5:$A$108,0)),"")</x:f>
      </x:c>
      <x:c r="N604" s="21" t="str">
        <x:f>IFERROR(INDEX('Resultados'!$L$5:$L$108,MATCH($B604,'Resultados'!$A$5:$A$108,0)),"")</x:f>
      </x:c>
      <x:c r="O604" s="59" t="str">
        <x:f>IF(OR($I604="",$J604="",$L604="",$M604=""),"",IF(AND($H604="Sim",$L604=$M604),IF($I604&lt;&gt;$J604,0,IF(AND($I604=$L604,$J604=$M604),2,1)),IF(AND($I604=$L604,$J604=$M604),3,IF(AND($I604&lt;&gt;$J604,$I604=$M604,$J604=$L604),-2,IF(SIGN($I604-$J604)=SIGN($L604-$M604),1,0)))))</x:f>
      </x:c>
      <x:c r="P604" s="59" t="str">
        <x:f>IF(OR($H604&lt;&gt;"Sim",$I604="",$J604="",$L604="",$M604=""),"",IF(AND(IF($I604&gt;$J604,$F604,IF($I604&lt;$J604,$G604,$K604))&lt;&gt;"",IF($L604&gt;$M604,$F604,IF($L604&lt;$M604,$G604,$N604))&lt;&gt;"",IF($I604&gt;$J604,$F604,IF($I604&lt;$J604,$G604,$K604))=IF($L604&gt;$M604,$F604,IF($L604&lt;$M604,$G604,$N604))),1,0))</x:f>
      </x:c>
      <x:c r="Q604" s="59" t="str">
        <x:f>IF($O604="","",$O604+$P604)</x:f>
      </x:c>
      <x:c r="R604" s="59" t="str">
        <x:f>IF($Q604="","",IF($O604=3,"Cravada",IF(AND($H604="Sim",$L604=$M604,$I604=$J604,$O604=2),"Empate cravado",IF($O604=1,"Resultado certo",IF($O604=-2,"Invertida",IF($P604=1,"Acertou quem passa","Erro"))))))</x:f>
      </x:c>
      <x:c r="S604" s="59" t="str">
        <x:f>IF($O604="","",--(OR($O604=3,AND($H604="Sim",$L604=$M604,$I604=$J604,$O604=2))))</x:f>
      </x:c>
      <x:c r="T604" s="59" t="str">
        <x:f>IF($O604="","",--($O604=-2))</x:f>
      </x:c>
      <x:c r="U604" s="59" t="str">
        <x:f>IF($O604="","",--($O604=1))</x:f>
      </x:c>
      <x:c r="V604" s="59" t="n">
        <x:f>--(AND($I604&lt;&gt;"",$J604&lt;&gt;""))</x:f>
        <x:v>0</x:v>
      </x:c>
    </x:row>
    <x:row r="605">
      <x:c r="A605" s="21" t="str">
        <x:f>INDEX(Config!$B$10:$B$16,INT((ROW()-5)/104)+1)</x:f>
        <x:v>Vitão</x:v>
      </x:c>
      <x:c r="B605" s="21" t="str">
        <x:v>R32_09</x:v>
      </x:c>
      <x:c r="C605" s="21" t="n">
        <x:v>81</x:v>
      </x:c>
      <x:c r="D605" s="21" t="str">
        <x:v>16-avos de final</x:v>
      </x:c>
      <x:c r="E605" s="21" t="str">
        <x:v>2026-07-01</x:v>
      </x:c>
      <x:c r="F605" s="21" t="str">
        <x:f>IFERROR(INDEX('Resultados'!$G$5:$G$108,MATCH($B605,'Resultados'!$A$5:$A$108,0)),"")</x:f>
        <x:v>1º Grupo D</x:v>
      </x:c>
      <x:c r="G605" s="21" t="str">
        <x:f>IFERROR(INDEX('Resultados'!$J$5:$J$108,MATCH($B605,'Resultados'!$A$5:$A$108,0)),"")</x:f>
        <x:v>3º B/E/F/I/J</x:v>
      </x:c>
      <x:c r="H605" s="21" t="str">
        <x:v>Sim</x:v>
      </x:c>
      <x:c r="I605" s="22"/>
      <x:c r="J605" s="22"/>
      <x:c r="K605" s="23"/>
      <x:c r="L605" s="21" t="str">
        <x:f>IFERROR(INDEX('Resultados'!$H$5:$H$108,MATCH($B605,'Resultados'!$A$5:$A$108,0)),"")</x:f>
      </x:c>
      <x:c r="M605" s="21" t="str">
        <x:f>IFERROR(INDEX('Resultados'!$I$5:$I$108,MATCH($B605,'Resultados'!$A$5:$A$108,0)),"")</x:f>
      </x:c>
      <x:c r="N605" s="21" t="str">
        <x:f>IFERROR(INDEX('Resultados'!$L$5:$L$108,MATCH($B605,'Resultados'!$A$5:$A$108,0)),"")</x:f>
      </x:c>
      <x:c r="O605" s="59" t="str">
        <x:f>IF(OR($I605="",$J605="",$L605="",$M605=""),"",IF(AND($H605="Sim",$L605=$M605),IF($I605&lt;&gt;$J605,0,IF(AND($I605=$L605,$J605=$M605),2,1)),IF(AND($I605=$L605,$J605=$M605),3,IF(AND($I605&lt;&gt;$J605,$I605=$M605,$J605=$L605),-2,IF(SIGN($I605-$J605)=SIGN($L605-$M605),1,0)))))</x:f>
      </x:c>
      <x:c r="P605" s="59" t="str">
        <x:f>IF(OR($H605&lt;&gt;"Sim",$I605="",$J605="",$L605="",$M605=""),"",IF(AND(IF($I605&gt;$J605,$F605,IF($I605&lt;$J605,$G605,$K605))&lt;&gt;"",IF($L605&gt;$M605,$F605,IF($L605&lt;$M605,$G605,$N605))&lt;&gt;"",IF($I605&gt;$J605,$F605,IF($I605&lt;$J605,$G605,$K605))=IF($L605&gt;$M605,$F605,IF($L605&lt;$M605,$G605,$N605))),1,0))</x:f>
      </x:c>
      <x:c r="Q605" s="59" t="str">
        <x:f>IF($O605="","",$O605+$P605)</x:f>
      </x:c>
      <x:c r="R605" s="59" t="str">
        <x:f>IF($Q605="","",IF($O605=3,"Cravada",IF(AND($H605="Sim",$L605=$M605,$I605=$J605,$O605=2),"Empate cravado",IF($O605=1,"Resultado certo",IF($O605=-2,"Invertida",IF($P605=1,"Acertou quem passa","Erro"))))))</x:f>
      </x:c>
      <x:c r="S605" s="59" t="str">
        <x:f>IF($O605="","",--(OR($O605=3,AND($H605="Sim",$L605=$M605,$I605=$J605,$O605=2))))</x:f>
      </x:c>
      <x:c r="T605" s="59" t="str">
        <x:f>IF($O605="","",--($O605=-2))</x:f>
      </x:c>
      <x:c r="U605" s="59" t="str">
        <x:f>IF($O605="","",--($O605=1))</x:f>
      </x:c>
      <x:c r="V605" s="59" t="n">
        <x:f>--(AND($I605&lt;&gt;"",$J605&lt;&gt;""))</x:f>
        <x:v>0</x:v>
      </x:c>
    </x:row>
    <x:row r="606">
      <x:c r="A606" s="21" t="str">
        <x:f>INDEX(Config!$B$10:$B$16,INT((ROW()-5)/104)+1)</x:f>
        <x:v>Vitão</x:v>
      </x:c>
      <x:c r="B606" s="21" t="str">
        <x:v>R32_10</x:v>
      </x:c>
      <x:c r="C606" s="21" t="n">
        <x:v>82</x:v>
      </x:c>
      <x:c r="D606" s="21" t="str">
        <x:v>16-avos de final</x:v>
      </x:c>
      <x:c r="E606" s="21" t="str">
        <x:v>2026-07-01</x:v>
      </x:c>
      <x:c r="F606" s="21" t="str">
        <x:f>IFERROR(INDEX('Resultados'!$G$5:$G$108,MATCH($B606,'Resultados'!$A$5:$A$108,0)),"")</x:f>
        <x:v>1º Grupo G</x:v>
      </x:c>
      <x:c r="G606" s="21" t="str">
        <x:f>IFERROR(INDEX('Resultados'!$J$5:$J$108,MATCH($B606,'Resultados'!$A$5:$A$108,0)),"")</x:f>
        <x:v>3º A/E/H/I/J</x:v>
      </x:c>
      <x:c r="H606" s="21" t="str">
        <x:v>Sim</x:v>
      </x:c>
      <x:c r="I606" s="22"/>
      <x:c r="J606" s="22"/>
      <x:c r="K606" s="23"/>
      <x:c r="L606" s="21" t="str">
        <x:f>IFERROR(INDEX('Resultados'!$H$5:$H$108,MATCH($B606,'Resultados'!$A$5:$A$108,0)),"")</x:f>
      </x:c>
      <x:c r="M606" s="21" t="str">
        <x:f>IFERROR(INDEX('Resultados'!$I$5:$I$108,MATCH($B606,'Resultados'!$A$5:$A$108,0)),"")</x:f>
      </x:c>
      <x:c r="N606" s="21" t="str">
        <x:f>IFERROR(INDEX('Resultados'!$L$5:$L$108,MATCH($B606,'Resultados'!$A$5:$A$108,0)),"")</x:f>
      </x:c>
      <x:c r="O606" s="59" t="str">
        <x:f>IF(OR($I606="",$J606="",$L606="",$M606=""),"",IF(AND($H606="Sim",$L606=$M606),IF($I606&lt;&gt;$J606,0,IF(AND($I606=$L606,$J606=$M606),2,1)),IF(AND($I606=$L606,$J606=$M606),3,IF(AND($I606&lt;&gt;$J606,$I606=$M606,$J606=$L606),-2,IF(SIGN($I606-$J606)=SIGN($L606-$M606),1,0)))))</x:f>
      </x:c>
      <x:c r="P606" s="59" t="str">
        <x:f>IF(OR($H606&lt;&gt;"Sim",$I606="",$J606="",$L606="",$M606=""),"",IF(AND(IF($I606&gt;$J606,$F606,IF($I606&lt;$J606,$G606,$K606))&lt;&gt;"",IF($L606&gt;$M606,$F606,IF($L606&lt;$M606,$G606,$N606))&lt;&gt;"",IF($I606&gt;$J606,$F606,IF($I606&lt;$J606,$G606,$K606))=IF($L606&gt;$M606,$F606,IF($L606&lt;$M606,$G606,$N606))),1,0))</x:f>
      </x:c>
      <x:c r="Q606" s="59" t="str">
        <x:f>IF($O606="","",$O606+$P606)</x:f>
      </x:c>
      <x:c r="R606" s="59" t="str">
        <x:f>IF($Q606="","",IF($O606=3,"Cravada",IF(AND($H606="Sim",$L606=$M606,$I606=$J606,$O606=2),"Empate cravado",IF($O606=1,"Resultado certo",IF($O606=-2,"Invertida",IF($P606=1,"Acertou quem passa","Erro"))))))</x:f>
      </x:c>
      <x:c r="S606" s="59" t="str">
        <x:f>IF($O606="","",--(OR($O606=3,AND($H606="Sim",$L606=$M606,$I606=$J606,$O606=2))))</x:f>
      </x:c>
      <x:c r="T606" s="59" t="str">
        <x:f>IF($O606="","",--($O606=-2))</x:f>
      </x:c>
      <x:c r="U606" s="59" t="str">
        <x:f>IF($O606="","",--($O606=1))</x:f>
      </x:c>
      <x:c r="V606" s="59" t="n">
        <x:f>--(AND($I606&lt;&gt;"",$J606&lt;&gt;""))</x:f>
        <x:v>0</x:v>
      </x:c>
    </x:row>
    <x:row r="607">
      <x:c r="A607" s="21" t="str">
        <x:f>INDEX(Config!$B$10:$B$16,INT((ROW()-5)/104)+1)</x:f>
        <x:v>Vitão</x:v>
      </x:c>
      <x:c r="B607" s="21" t="str">
        <x:v>R32_11</x:v>
      </x:c>
      <x:c r="C607" s="21" t="n">
        <x:v>83</x:v>
      </x:c>
      <x:c r="D607" s="21" t="str">
        <x:v>16-avos de final</x:v>
      </x:c>
      <x:c r="E607" s="21" t="str">
        <x:v>2026-07-02</x:v>
      </x:c>
      <x:c r="F607" s="21" t="str">
        <x:f>IFERROR(INDEX('Resultados'!$G$5:$G$108,MATCH($B607,'Resultados'!$A$5:$A$108,0)),"")</x:f>
        <x:v>2º Grupo K</x:v>
      </x:c>
      <x:c r="G607" s="21" t="str">
        <x:f>IFERROR(INDEX('Resultados'!$J$5:$J$108,MATCH($B607,'Resultados'!$A$5:$A$108,0)),"")</x:f>
        <x:v>2º Grupo L</x:v>
      </x:c>
      <x:c r="H607" s="21" t="str">
        <x:v>Sim</x:v>
      </x:c>
      <x:c r="I607" s="22"/>
      <x:c r="J607" s="22"/>
      <x:c r="K607" s="23"/>
      <x:c r="L607" s="21" t="str">
        <x:f>IFERROR(INDEX('Resultados'!$H$5:$H$108,MATCH($B607,'Resultados'!$A$5:$A$108,0)),"")</x:f>
      </x:c>
      <x:c r="M607" s="21" t="str">
        <x:f>IFERROR(INDEX('Resultados'!$I$5:$I$108,MATCH($B607,'Resultados'!$A$5:$A$108,0)),"")</x:f>
      </x:c>
      <x:c r="N607" s="21" t="str">
        <x:f>IFERROR(INDEX('Resultados'!$L$5:$L$108,MATCH($B607,'Resultados'!$A$5:$A$108,0)),"")</x:f>
      </x:c>
      <x:c r="O607" s="59" t="str">
        <x:f>IF(OR($I607="",$J607="",$L607="",$M607=""),"",IF(AND($H607="Sim",$L607=$M607),IF($I607&lt;&gt;$J607,0,IF(AND($I607=$L607,$J607=$M607),2,1)),IF(AND($I607=$L607,$J607=$M607),3,IF(AND($I607&lt;&gt;$J607,$I607=$M607,$J607=$L607),-2,IF(SIGN($I607-$J607)=SIGN($L607-$M607),1,0)))))</x:f>
      </x:c>
      <x:c r="P607" s="59" t="str">
        <x:f>IF(OR($H607&lt;&gt;"Sim",$I607="",$J607="",$L607="",$M607=""),"",IF(AND(IF($I607&gt;$J607,$F607,IF($I607&lt;$J607,$G607,$K607))&lt;&gt;"",IF($L607&gt;$M607,$F607,IF($L607&lt;$M607,$G607,$N607))&lt;&gt;"",IF($I607&gt;$J607,$F607,IF($I607&lt;$J607,$G607,$K607))=IF($L607&gt;$M607,$F607,IF($L607&lt;$M607,$G607,$N607))),1,0))</x:f>
      </x:c>
      <x:c r="Q607" s="59" t="str">
        <x:f>IF($O607="","",$O607+$P607)</x:f>
      </x:c>
      <x:c r="R607" s="59" t="str">
        <x:f>IF($Q607="","",IF($O607=3,"Cravada",IF(AND($H607="Sim",$L607=$M607,$I607=$J607,$O607=2),"Empate cravado",IF($O607=1,"Resultado certo",IF($O607=-2,"Invertida",IF($P607=1,"Acertou quem passa","Erro"))))))</x:f>
      </x:c>
      <x:c r="S607" s="59" t="str">
        <x:f>IF($O607="","",--(OR($O607=3,AND($H607="Sim",$L607=$M607,$I607=$J607,$O607=2))))</x:f>
      </x:c>
      <x:c r="T607" s="59" t="str">
        <x:f>IF($O607="","",--($O607=-2))</x:f>
      </x:c>
      <x:c r="U607" s="59" t="str">
        <x:f>IF($O607="","",--($O607=1))</x:f>
      </x:c>
      <x:c r="V607" s="59" t="n">
        <x:f>--(AND($I607&lt;&gt;"",$J607&lt;&gt;""))</x:f>
        <x:v>0</x:v>
      </x:c>
    </x:row>
    <x:row r="608">
      <x:c r="A608" s="21" t="str">
        <x:f>INDEX(Config!$B$10:$B$16,INT((ROW()-5)/104)+1)</x:f>
        <x:v>Vitão</x:v>
      </x:c>
      <x:c r="B608" s="21" t="str">
        <x:v>R32_12</x:v>
      </x:c>
      <x:c r="C608" s="21" t="n">
        <x:v>84</x:v>
      </x:c>
      <x:c r="D608" s="21" t="str">
        <x:v>16-avos de final</x:v>
      </x:c>
      <x:c r="E608" s="21" t="str">
        <x:v>2026-07-02</x:v>
      </x:c>
      <x:c r="F608" s="21" t="str">
        <x:f>IFERROR(INDEX('Resultados'!$G$5:$G$108,MATCH($B608,'Resultados'!$A$5:$A$108,0)),"")</x:f>
        <x:v>1º Grupo H</x:v>
      </x:c>
      <x:c r="G608" s="21" t="str">
        <x:f>IFERROR(INDEX('Resultados'!$J$5:$J$108,MATCH($B608,'Resultados'!$A$5:$A$108,0)),"")</x:f>
        <x:v>2º Grupo J</x:v>
      </x:c>
      <x:c r="H608" s="21" t="str">
        <x:v>Sim</x:v>
      </x:c>
      <x:c r="I608" s="22"/>
      <x:c r="J608" s="22"/>
      <x:c r="K608" s="23"/>
      <x:c r="L608" s="21" t="str">
        <x:f>IFERROR(INDEX('Resultados'!$H$5:$H$108,MATCH($B608,'Resultados'!$A$5:$A$108,0)),"")</x:f>
      </x:c>
      <x:c r="M608" s="21" t="str">
        <x:f>IFERROR(INDEX('Resultados'!$I$5:$I$108,MATCH($B608,'Resultados'!$A$5:$A$108,0)),"")</x:f>
      </x:c>
      <x:c r="N608" s="21" t="str">
        <x:f>IFERROR(INDEX('Resultados'!$L$5:$L$108,MATCH($B608,'Resultados'!$A$5:$A$108,0)),"")</x:f>
      </x:c>
      <x:c r="O608" s="59" t="str">
        <x:f>IF(OR($I608="",$J608="",$L608="",$M608=""),"",IF(AND($H608="Sim",$L608=$M608),IF($I608&lt;&gt;$J608,0,IF(AND($I608=$L608,$J608=$M608),2,1)),IF(AND($I608=$L608,$J608=$M608),3,IF(AND($I608&lt;&gt;$J608,$I608=$M608,$J608=$L608),-2,IF(SIGN($I608-$J608)=SIGN($L608-$M608),1,0)))))</x:f>
      </x:c>
      <x:c r="P608" s="59" t="str">
        <x:f>IF(OR($H608&lt;&gt;"Sim",$I608="",$J608="",$L608="",$M608=""),"",IF(AND(IF($I608&gt;$J608,$F608,IF($I608&lt;$J608,$G608,$K608))&lt;&gt;"",IF($L608&gt;$M608,$F608,IF($L608&lt;$M608,$G608,$N608))&lt;&gt;"",IF($I608&gt;$J608,$F608,IF($I608&lt;$J608,$G608,$K608))=IF($L608&gt;$M608,$F608,IF($L608&lt;$M608,$G608,$N608))),1,0))</x:f>
      </x:c>
      <x:c r="Q608" s="59" t="str">
        <x:f>IF($O608="","",$O608+$P608)</x:f>
      </x:c>
      <x:c r="R608" s="59" t="str">
        <x:f>IF($Q608="","",IF($O608=3,"Cravada",IF(AND($H608="Sim",$L608=$M608,$I608=$J608,$O608=2),"Empate cravado",IF($O608=1,"Resultado certo",IF($O608=-2,"Invertida",IF($P608=1,"Acertou quem passa","Erro"))))))</x:f>
      </x:c>
      <x:c r="S608" s="59" t="str">
        <x:f>IF($O608="","",--(OR($O608=3,AND($H608="Sim",$L608=$M608,$I608=$J608,$O608=2))))</x:f>
      </x:c>
      <x:c r="T608" s="59" t="str">
        <x:f>IF($O608="","",--($O608=-2))</x:f>
      </x:c>
      <x:c r="U608" s="59" t="str">
        <x:f>IF($O608="","",--($O608=1))</x:f>
      </x:c>
      <x:c r="V608" s="59" t="n">
        <x:f>--(AND($I608&lt;&gt;"",$J608&lt;&gt;""))</x:f>
        <x:v>0</x:v>
      </x:c>
    </x:row>
    <x:row r="609">
      <x:c r="A609" s="21" t="str">
        <x:f>INDEX(Config!$B$10:$B$16,INT((ROW()-5)/104)+1)</x:f>
        <x:v>Vitão</x:v>
      </x:c>
      <x:c r="B609" s="21" t="str">
        <x:v>R32_13</x:v>
      </x:c>
      <x:c r="C609" s="21" t="n">
        <x:v>85</x:v>
      </x:c>
      <x:c r="D609" s="21" t="str">
        <x:v>16-avos de final</x:v>
      </x:c>
      <x:c r="E609" s="21" t="str">
        <x:v>2026-07-03</x:v>
      </x:c>
      <x:c r="F609" s="21" t="str">
        <x:f>IFERROR(INDEX('Resultados'!$G$5:$G$108,MATCH($B609,'Resultados'!$A$5:$A$108,0)),"")</x:f>
        <x:v>1º Grupo B</x:v>
      </x:c>
      <x:c r="G609" s="21" t="str">
        <x:f>IFERROR(INDEX('Resultados'!$J$5:$J$108,MATCH($B609,'Resultados'!$A$5:$A$108,0)),"")</x:f>
        <x:v>3º E/F/G/I/J</x:v>
      </x:c>
      <x:c r="H609" s="21" t="str">
        <x:v>Sim</x:v>
      </x:c>
      <x:c r="I609" s="22"/>
      <x:c r="J609" s="22"/>
      <x:c r="K609" s="23"/>
      <x:c r="L609" s="21" t="str">
        <x:f>IFERROR(INDEX('Resultados'!$H$5:$H$108,MATCH($B609,'Resultados'!$A$5:$A$108,0)),"")</x:f>
      </x:c>
      <x:c r="M609" s="21" t="str">
        <x:f>IFERROR(INDEX('Resultados'!$I$5:$I$108,MATCH($B609,'Resultados'!$A$5:$A$108,0)),"")</x:f>
      </x:c>
      <x:c r="N609" s="21" t="str">
        <x:f>IFERROR(INDEX('Resultados'!$L$5:$L$108,MATCH($B609,'Resultados'!$A$5:$A$108,0)),"")</x:f>
      </x:c>
      <x:c r="O609" s="59" t="str">
        <x:f>IF(OR($I609="",$J609="",$L609="",$M609=""),"",IF(AND($H609="Sim",$L609=$M609),IF($I609&lt;&gt;$J609,0,IF(AND($I609=$L609,$J609=$M609),2,1)),IF(AND($I609=$L609,$J609=$M609),3,IF(AND($I609&lt;&gt;$J609,$I609=$M609,$J609=$L609),-2,IF(SIGN($I609-$J609)=SIGN($L609-$M609),1,0)))))</x:f>
      </x:c>
      <x:c r="P609" s="59" t="str">
        <x:f>IF(OR($H609&lt;&gt;"Sim",$I609="",$J609="",$L609="",$M609=""),"",IF(AND(IF($I609&gt;$J609,$F609,IF($I609&lt;$J609,$G609,$K609))&lt;&gt;"",IF($L609&gt;$M609,$F609,IF($L609&lt;$M609,$G609,$N609))&lt;&gt;"",IF($I609&gt;$J609,$F609,IF($I609&lt;$J609,$G609,$K609))=IF($L609&gt;$M609,$F609,IF($L609&lt;$M609,$G609,$N609))),1,0))</x:f>
      </x:c>
      <x:c r="Q609" s="59" t="str">
        <x:f>IF($O609="","",$O609+$P609)</x:f>
      </x:c>
      <x:c r="R609" s="59" t="str">
        <x:f>IF($Q609="","",IF($O609=3,"Cravada",IF(AND($H609="Sim",$L609=$M609,$I609=$J609,$O609=2),"Empate cravado",IF($O609=1,"Resultado certo",IF($O609=-2,"Invertida",IF($P609=1,"Acertou quem passa","Erro"))))))</x:f>
      </x:c>
      <x:c r="S609" s="59" t="str">
        <x:f>IF($O609="","",--(OR($O609=3,AND($H609="Sim",$L609=$M609,$I609=$J609,$O609=2))))</x:f>
      </x:c>
      <x:c r="T609" s="59" t="str">
        <x:f>IF($O609="","",--($O609=-2))</x:f>
      </x:c>
      <x:c r="U609" s="59" t="str">
        <x:f>IF($O609="","",--($O609=1))</x:f>
      </x:c>
      <x:c r="V609" s="59" t="n">
        <x:f>--(AND($I609&lt;&gt;"",$J609&lt;&gt;""))</x:f>
        <x:v>0</x:v>
      </x:c>
    </x:row>
    <x:row r="610">
      <x:c r="A610" s="21" t="str">
        <x:f>INDEX(Config!$B$10:$B$16,INT((ROW()-5)/104)+1)</x:f>
        <x:v>Vitão</x:v>
      </x:c>
      <x:c r="B610" s="21" t="str">
        <x:v>R32_14</x:v>
      </x:c>
      <x:c r="C610" s="21" t="n">
        <x:v>86</x:v>
      </x:c>
      <x:c r="D610" s="21" t="str">
        <x:v>16-avos de final</x:v>
      </x:c>
      <x:c r="E610" s="21" t="str">
        <x:v>2026-07-03</x:v>
      </x:c>
      <x:c r="F610" s="21" t="str">
        <x:f>IFERROR(INDEX('Resultados'!$G$5:$G$108,MATCH($B610,'Resultados'!$A$5:$A$108,0)),"")</x:f>
        <x:v>1º Grupo J</x:v>
      </x:c>
      <x:c r="G610" s="21" t="str">
        <x:f>IFERROR(INDEX('Resultados'!$J$5:$J$108,MATCH($B610,'Resultados'!$A$5:$A$108,0)),"")</x:f>
        <x:v>2º Grupo H</x:v>
      </x:c>
      <x:c r="H610" s="21" t="str">
        <x:v>Sim</x:v>
      </x:c>
      <x:c r="I610" s="22"/>
      <x:c r="J610" s="22"/>
      <x:c r="K610" s="23"/>
      <x:c r="L610" s="21" t="str">
        <x:f>IFERROR(INDEX('Resultados'!$H$5:$H$108,MATCH($B610,'Resultados'!$A$5:$A$108,0)),"")</x:f>
      </x:c>
      <x:c r="M610" s="21" t="str">
        <x:f>IFERROR(INDEX('Resultados'!$I$5:$I$108,MATCH($B610,'Resultados'!$A$5:$A$108,0)),"")</x:f>
      </x:c>
      <x:c r="N610" s="21" t="str">
        <x:f>IFERROR(INDEX('Resultados'!$L$5:$L$108,MATCH($B610,'Resultados'!$A$5:$A$108,0)),"")</x:f>
      </x:c>
      <x:c r="O610" s="59" t="str">
        <x:f>IF(OR($I610="",$J610="",$L610="",$M610=""),"",IF(AND($H610="Sim",$L610=$M610),IF($I610&lt;&gt;$J610,0,IF(AND($I610=$L610,$J610=$M610),2,1)),IF(AND($I610=$L610,$J610=$M610),3,IF(AND($I610&lt;&gt;$J610,$I610=$M610,$J610=$L610),-2,IF(SIGN($I610-$J610)=SIGN($L610-$M610),1,0)))))</x:f>
      </x:c>
      <x:c r="P610" s="59" t="str">
        <x:f>IF(OR($H610&lt;&gt;"Sim",$I610="",$J610="",$L610="",$M610=""),"",IF(AND(IF($I610&gt;$J610,$F610,IF($I610&lt;$J610,$G610,$K610))&lt;&gt;"",IF($L610&gt;$M610,$F610,IF($L610&lt;$M610,$G610,$N610))&lt;&gt;"",IF($I610&gt;$J610,$F610,IF($I610&lt;$J610,$G610,$K610))=IF($L610&gt;$M610,$F610,IF($L610&lt;$M610,$G610,$N610))),1,0))</x:f>
      </x:c>
      <x:c r="Q610" s="59" t="str">
        <x:f>IF($O610="","",$O610+$P610)</x:f>
      </x:c>
      <x:c r="R610" s="59" t="str">
        <x:f>IF($Q610="","",IF($O610=3,"Cravada",IF(AND($H610="Sim",$L610=$M610,$I610=$J610,$O610=2),"Empate cravado",IF($O610=1,"Resultado certo",IF($O610=-2,"Invertida",IF($P610=1,"Acertou quem passa","Erro"))))))</x:f>
      </x:c>
      <x:c r="S610" s="59" t="str">
        <x:f>IF($O610="","",--(OR($O610=3,AND($H610="Sim",$L610=$M610,$I610=$J610,$O610=2))))</x:f>
      </x:c>
      <x:c r="T610" s="59" t="str">
        <x:f>IF($O610="","",--($O610=-2))</x:f>
      </x:c>
      <x:c r="U610" s="59" t="str">
        <x:f>IF($O610="","",--($O610=1))</x:f>
      </x:c>
      <x:c r="V610" s="59" t="n">
        <x:f>--(AND($I610&lt;&gt;"",$J610&lt;&gt;""))</x:f>
        <x:v>0</x:v>
      </x:c>
    </x:row>
    <x:row r="611">
      <x:c r="A611" s="21" t="str">
        <x:f>INDEX(Config!$B$10:$B$16,INT((ROW()-5)/104)+1)</x:f>
        <x:v>Vitão</x:v>
      </x:c>
      <x:c r="B611" s="21" t="str">
        <x:v>R32_15</x:v>
      </x:c>
      <x:c r="C611" s="21" t="n">
        <x:v>87</x:v>
      </x:c>
      <x:c r="D611" s="21" t="str">
        <x:v>16-avos de final</x:v>
      </x:c>
      <x:c r="E611" s="21" t="str">
        <x:v>2026-07-03</x:v>
      </x:c>
      <x:c r="F611" s="21" t="str">
        <x:f>IFERROR(INDEX('Resultados'!$G$5:$G$108,MATCH($B611,'Resultados'!$A$5:$A$108,0)),"")</x:f>
        <x:v>1º Grupo K</x:v>
      </x:c>
      <x:c r="G611" s="21" t="str">
        <x:f>IFERROR(INDEX('Resultados'!$J$5:$J$108,MATCH($B611,'Resultados'!$A$5:$A$108,0)),"")</x:f>
        <x:v>3º D/E/I/J/L</x:v>
      </x:c>
      <x:c r="H611" s="21" t="str">
        <x:v>Sim</x:v>
      </x:c>
      <x:c r="I611" s="22"/>
      <x:c r="J611" s="22"/>
      <x:c r="K611" s="23"/>
      <x:c r="L611" s="21" t="str">
        <x:f>IFERROR(INDEX('Resultados'!$H$5:$H$108,MATCH($B611,'Resultados'!$A$5:$A$108,0)),"")</x:f>
      </x:c>
      <x:c r="M611" s="21" t="str">
        <x:f>IFERROR(INDEX('Resultados'!$I$5:$I$108,MATCH($B611,'Resultados'!$A$5:$A$108,0)),"")</x:f>
      </x:c>
      <x:c r="N611" s="21" t="str">
        <x:f>IFERROR(INDEX('Resultados'!$L$5:$L$108,MATCH($B611,'Resultados'!$A$5:$A$108,0)),"")</x:f>
      </x:c>
      <x:c r="O611" s="59" t="str">
        <x:f>IF(OR($I611="",$J611="",$L611="",$M611=""),"",IF(AND($H611="Sim",$L611=$M611),IF($I611&lt;&gt;$J611,0,IF(AND($I611=$L611,$J611=$M611),2,1)),IF(AND($I611=$L611,$J611=$M611),3,IF(AND($I611&lt;&gt;$J611,$I611=$M611,$J611=$L611),-2,IF(SIGN($I611-$J611)=SIGN($L611-$M611),1,0)))))</x:f>
      </x:c>
      <x:c r="P611" s="59" t="str">
        <x:f>IF(OR($H611&lt;&gt;"Sim",$I611="",$J611="",$L611="",$M611=""),"",IF(AND(IF($I611&gt;$J611,$F611,IF($I611&lt;$J611,$G611,$K611))&lt;&gt;"",IF($L611&gt;$M611,$F611,IF($L611&lt;$M611,$G611,$N611))&lt;&gt;"",IF($I611&gt;$J611,$F611,IF($I611&lt;$J611,$G611,$K611))=IF($L611&gt;$M611,$F611,IF($L611&lt;$M611,$G611,$N611))),1,0))</x:f>
      </x:c>
      <x:c r="Q611" s="59" t="str">
        <x:f>IF($O611="","",$O611+$P611)</x:f>
      </x:c>
      <x:c r="R611" s="59" t="str">
        <x:f>IF($Q611="","",IF($O611=3,"Cravada",IF(AND($H611="Sim",$L611=$M611,$I611=$J611,$O611=2),"Empate cravado",IF($O611=1,"Resultado certo",IF($O611=-2,"Invertida",IF($P611=1,"Acertou quem passa","Erro"))))))</x:f>
      </x:c>
      <x:c r="S611" s="59" t="str">
        <x:f>IF($O611="","",--(OR($O611=3,AND($H611="Sim",$L611=$M611,$I611=$J611,$O611=2))))</x:f>
      </x:c>
      <x:c r="T611" s="59" t="str">
        <x:f>IF($O611="","",--($O611=-2))</x:f>
      </x:c>
      <x:c r="U611" s="59" t="str">
        <x:f>IF($O611="","",--($O611=1))</x:f>
      </x:c>
      <x:c r="V611" s="59" t="n">
        <x:f>--(AND($I611&lt;&gt;"",$J611&lt;&gt;""))</x:f>
        <x:v>0</x:v>
      </x:c>
    </x:row>
    <x:row r="612">
      <x:c r="A612" s="21" t="str">
        <x:f>INDEX(Config!$B$10:$B$16,INT((ROW()-5)/104)+1)</x:f>
        <x:v>Vitão</x:v>
      </x:c>
      <x:c r="B612" s="21" t="str">
        <x:v>R32_16</x:v>
      </x:c>
      <x:c r="C612" s="21" t="n">
        <x:v>88</x:v>
      </x:c>
      <x:c r="D612" s="21" t="str">
        <x:v>16-avos de final</x:v>
      </x:c>
      <x:c r="E612" s="21" t="str">
        <x:v>2026-07-03</x:v>
      </x:c>
      <x:c r="F612" s="21" t="str">
        <x:f>IFERROR(INDEX('Resultados'!$G$5:$G$108,MATCH($B612,'Resultados'!$A$5:$A$108,0)),"")</x:f>
        <x:v>2º Grupo D</x:v>
      </x:c>
      <x:c r="G612" s="21" t="str">
        <x:f>IFERROR(INDEX('Resultados'!$J$5:$J$108,MATCH($B612,'Resultados'!$A$5:$A$108,0)),"")</x:f>
        <x:v>2º Grupo G</x:v>
      </x:c>
      <x:c r="H612" s="21" t="str">
        <x:v>Sim</x:v>
      </x:c>
      <x:c r="I612" s="22"/>
      <x:c r="J612" s="22"/>
      <x:c r="K612" s="23"/>
      <x:c r="L612" s="21" t="str">
        <x:f>IFERROR(INDEX('Resultados'!$H$5:$H$108,MATCH($B612,'Resultados'!$A$5:$A$108,0)),"")</x:f>
      </x:c>
      <x:c r="M612" s="21" t="str">
        <x:f>IFERROR(INDEX('Resultados'!$I$5:$I$108,MATCH($B612,'Resultados'!$A$5:$A$108,0)),"")</x:f>
      </x:c>
      <x:c r="N612" s="21" t="str">
        <x:f>IFERROR(INDEX('Resultados'!$L$5:$L$108,MATCH($B612,'Resultados'!$A$5:$A$108,0)),"")</x:f>
      </x:c>
      <x:c r="O612" s="59" t="str">
        <x:f>IF(OR($I612="",$J612="",$L612="",$M612=""),"",IF(AND($H612="Sim",$L612=$M612),IF($I612&lt;&gt;$J612,0,IF(AND($I612=$L612,$J612=$M612),2,1)),IF(AND($I612=$L612,$J612=$M612),3,IF(AND($I612&lt;&gt;$J612,$I612=$M612,$J612=$L612),-2,IF(SIGN($I612-$J612)=SIGN($L612-$M612),1,0)))))</x:f>
      </x:c>
      <x:c r="P612" s="59" t="str">
        <x:f>IF(OR($H612&lt;&gt;"Sim",$I612="",$J612="",$L612="",$M612=""),"",IF(AND(IF($I612&gt;$J612,$F612,IF($I612&lt;$J612,$G612,$K612))&lt;&gt;"",IF($L612&gt;$M612,$F612,IF($L612&lt;$M612,$G612,$N612))&lt;&gt;"",IF($I612&gt;$J612,$F612,IF($I612&lt;$J612,$G612,$K612))=IF($L612&gt;$M612,$F612,IF($L612&lt;$M612,$G612,$N612))),1,0))</x:f>
      </x:c>
      <x:c r="Q612" s="59" t="str">
        <x:f>IF($O612="","",$O612+$P612)</x:f>
      </x:c>
      <x:c r="R612" s="59" t="str">
        <x:f>IF($Q612="","",IF($O612=3,"Cravada",IF(AND($H612="Sim",$L612=$M612,$I612=$J612,$O612=2),"Empate cravado",IF($O612=1,"Resultado certo",IF($O612=-2,"Invertida",IF($P612=1,"Acertou quem passa","Erro"))))))</x:f>
      </x:c>
      <x:c r="S612" s="59" t="str">
        <x:f>IF($O612="","",--(OR($O612=3,AND($H612="Sim",$L612=$M612,$I612=$J612,$O612=2))))</x:f>
      </x:c>
      <x:c r="T612" s="59" t="str">
        <x:f>IF($O612="","",--($O612=-2))</x:f>
      </x:c>
      <x:c r="U612" s="59" t="str">
        <x:f>IF($O612="","",--($O612=1))</x:f>
      </x:c>
      <x:c r="V612" s="59" t="n">
        <x:f>--(AND($I612&lt;&gt;"",$J612&lt;&gt;""))</x:f>
        <x:v>0</x:v>
      </x:c>
    </x:row>
    <x:row r="613">
      <x:c r="A613" s="21" t="str">
        <x:f>INDEX(Config!$B$10:$B$16,INT((ROW()-5)/104)+1)</x:f>
        <x:v>Vitão</x:v>
      </x:c>
      <x:c r="B613" s="21" t="str">
        <x:v>R16_01</x:v>
      </x:c>
      <x:c r="C613" s="21" t="n">
        <x:v>89</x:v>
      </x:c>
      <x:c r="D613" s="21" t="str">
        <x:v>Oitavas de final</x:v>
      </x:c>
      <x:c r="E613" s="21" t="str">
        <x:v>2026-07-04</x:v>
      </x:c>
      <x:c r="F613" s="21" t="str">
        <x:f>IFERROR(INDEX('Resultados'!$G$5:$G$108,MATCH($B613,'Resultados'!$A$5:$A$108,0)),"")</x:f>
        <x:v>Vencedor M74</x:v>
      </x:c>
      <x:c r="G613" s="21" t="str">
        <x:f>IFERROR(INDEX('Resultados'!$J$5:$J$108,MATCH($B613,'Resultados'!$A$5:$A$108,0)),"")</x:f>
        <x:v>Vencedor M77</x:v>
      </x:c>
      <x:c r="H613" s="21" t="str">
        <x:v>Sim</x:v>
      </x:c>
      <x:c r="I613" s="22"/>
      <x:c r="J613" s="22"/>
      <x:c r="K613" s="23"/>
      <x:c r="L613" s="21" t="str">
        <x:f>IFERROR(INDEX('Resultados'!$H$5:$H$108,MATCH($B613,'Resultados'!$A$5:$A$108,0)),"")</x:f>
      </x:c>
      <x:c r="M613" s="21" t="str">
        <x:f>IFERROR(INDEX('Resultados'!$I$5:$I$108,MATCH($B613,'Resultados'!$A$5:$A$108,0)),"")</x:f>
      </x:c>
      <x:c r="N613" s="21" t="str">
        <x:f>IFERROR(INDEX('Resultados'!$L$5:$L$108,MATCH($B613,'Resultados'!$A$5:$A$108,0)),"")</x:f>
      </x:c>
      <x:c r="O613" s="59" t="str">
        <x:f>IF(OR($I613="",$J613="",$L613="",$M613=""),"",IF(AND($H613="Sim",$L613=$M613),IF($I613&lt;&gt;$J613,0,IF(AND($I613=$L613,$J613=$M613),2,1)),IF(AND($I613=$L613,$J613=$M613),3,IF(AND($I613&lt;&gt;$J613,$I613=$M613,$J613=$L613),-2,IF(SIGN($I613-$J613)=SIGN($L613-$M613),1,0)))))</x:f>
      </x:c>
      <x:c r="P613" s="59" t="str">
        <x:f>IF(OR($H613&lt;&gt;"Sim",$I613="",$J613="",$L613="",$M613=""),"",IF(AND(IF($I613&gt;$J613,$F613,IF($I613&lt;$J613,$G613,$K613))&lt;&gt;"",IF($L613&gt;$M613,$F613,IF($L613&lt;$M613,$G613,$N613))&lt;&gt;"",IF($I613&gt;$J613,$F613,IF($I613&lt;$J613,$G613,$K613))=IF($L613&gt;$M613,$F613,IF($L613&lt;$M613,$G613,$N613))),1,0))</x:f>
      </x:c>
      <x:c r="Q613" s="59" t="str">
        <x:f>IF($O613="","",$O613+$P613)</x:f>
      </x:c>
      <x:c r="R613" s="59" t="str">
        <x:f>IF($Q613="","",IF($O613=3,"Cravada",IF(AND($H613="Sim",$L613=$M613,$I613=$J613,$O613=2),"Empate cravado",IF($O613=1,"Resultado certo",IF($O613=-2,"Invertida",IF($P613=1,"Acertou quem passa","Erro"))))))</x:f>
      </x:c>
      <x:c r="S613" s="59" t="str">
        <x:f>IF($O613="","",--(OR($O613=3,AND($H613="Sim",$L613=$M613,$I613=$J613,$O613=2))))</x:f>
      </x:c>
      <x:c r="T613" s="59" t="str">
        <x:f>IF($O613="","",--($O613=-2))</x:f>
      </x:c>
      <x:c r="U613" s="59" t="str">
        <x:f>IF($O613="","",--($O613=1))</x:f>
      </x:c>
      <x:c r="V613" s="59" t="n">
        <x:f>--(AND($I613&lt;&gt;"",$J613&lt;&gt;""))</x:f>
        <x:v>0</x:v>
      </x:c>
    </x:row>
    <x:row r="614">
      <x:c r="A614" s="21" t="str">
        <x:f>INDEX(Config!$B$10:$B$16,INT((ROW()-5)/104)+1)</x:f>
        <x:v>Vitão</x:v>
      </x:c>
      <x:c r="B614" s="21" t="str">
        <x:v>R16_02</x:v>
      </x:c>
      <x:c r="C614" s="21" t="n">
        <x:v>90</x:v>
      </x:c>
      <x:c r="D614" s="21" t="str">
        <x:v>Oitavas de final</x:v>
      </x:c>
      <x:c r="E614" s="21" t="str">
        <x:v>2026-07-04</x:v>
      </x:c>
      <x:c r="F614" s="21" t="str">
        <x:f>IFERROR(INDEX('Resultados'!$G$5:$G$108,MATCH($B614,'Resultados'!$A$5:$A$108,0)),"")</x:f>
        <x:v>Vencedor M73</x:v>
      </x:c>
      <x:c r="G614" s="21" t="str">
        <x:f>IFERROR(INDEX('Resultados'!$J$5:$J$108,MATCH($B614,'Resultados'!$A$5:$A$108,0)),"")</x:f>
        <x:v>Vencedor M75</x:v>
      </x:c>
      <x:c r="H614" s="21" t="str">
        <x:v>Sim</x:v>
      </x:c>
      <x:c r="I614" s="22"/>
      <x:c r="J614" s="22"/>
      <x:c r="K614" s="23"/>
      <x:c r="L614" s="21" t="str">
        <x:f>IFERROR(INDEX('Resultados'!$H$5:$H$108,MATCH($B614,'Resultados'!$A$5:$A$108,0)),"")</x:f>
      </x:c>
      <x:c r="M614" s="21" t="str">
        <x:f>IFERROR(INDEX('Resultados'!$I$5:$I$108,MATCH($B614,'Resultados'!$A$5:$A$108,0)),"")</x:f>
      </x:c>
      <x:c r="N614" s="21" t="str">
        <x:f>IFERROR(INDEX('Resultados'!$L$5:$L$108,MATCH($B614,'Resultados'!$A$5:$A$108,0)),"")</x:f>
      </x:c>
      <x:c r="O614" s="59" t="str">
        <x:f>IF(OR($I614="",$J614="",$L614="",$M614=""),"",IF(AND($H614="Sim",$L614=$M614),IF($I614&lt;&gt;$J614,0,IF(AND($I614=$L614,$J614=$M614),2,1)),IF(AND($I614=$L614,$J614=$M614),3,IF(AND($I614&lt;&gt;$J614,$I614=$M614,$J614=$L614),-2,IF(SIGN($I614-$J614)=SIGN($L614-$M614),1,0)))))</x:f>
      </x:c>
      <x:c r="P614" s="59" t="str">
        <x:f>IF(OR($H614&lt;&gt;"Sim",$I614="",$J614="",$L614="",$M614=""),"",IF(AND(IF($I614&gt;$J614,$F614,IF($I614&lt;$J614,$G614,$K614))&lt;&gt;"",IF($L614&gt;$M614,$F614,IF($L614&lt;$M614,$G614,$N614))&lt;&gt;"",IF($I614&gt;$J614,$F614,IF($I614&lt;$J614,$G614,$K614))=IF($L614&gt;$M614,$F614,IF($L614&lt;$M614,$G614,$N614))),1,0))</x:f>
      </x:c>
      <x:c r="Q614" s="59" t="str">
        <x:f>IF($O614="","",$O614+$P614)</x:f>
      </x:c>
      <x:c r="R614" s="59" t="str">
        <x:f>IF($Q614="","",IF($O614=3,"Cravada",IF(AND($H614="Sim",$L614=$M614,$I614=$J614,$O614=2),"Empate cravado",IF($O614=1,"Resultado certo",IF($O614=-2,"Invertida",IF($P614=1,"Acertou quem passa","Erro"))))))</x:f>
      </x:c>
      <x:c r="S614" s="59" t="str">
        <x:f>IF($O614="","",--(OR($O614=3,AND($H614="Sim",$L614=$M614,$I614=$J614,$O614=2))))</x:f>
      </x:c>
      <x:c r="T614" s="59" t="str">
        <x:f>IF($O614="","",--($O614=-2))</x:f>
      </x:c>
      <x:c r="U614" s="59" t="str">
        <x:f>IF($O614="","",--($O614=1))</x:f>
      </x:c>
      <x:c r="V614" s="59" t="n">
        <x:f>--(AND($I614&lt;&gt;"",$J614&lt;&gt;""))</x:f>
        <x:v>0</x:v>
      </x:c>
    </x:row>
    <x:row r="615">
      <x:c r="A615" s="21" t="str">
        <x:f>INDEX(Config!$B$10:$B$16,INT((ROW()-5)/104)+1)</x:f>
        <x:v>Vitão</x:v>
      </x:c>
      <x:c r="B615" s="21" t="str">
        <x:v>R16_03</x:v>
      </x:c>
      <x:c r="C615" s="21" t="n">
        <x:v>91</x:v>
      </x:c>
      <x:c r="D615" s="21" t="str">
        <x:v>Oitavas de final</x:v>
      </x:c>
      <x:c r="E615" s="21" t="str">
        <x:v>2026-07-05</x:v>
      </x:c>
      <x:c r="F615" s="21" t="str">
        <x:f>IFERROR(INDEX('Resultados'!$G$5:$G$108,MATCH($B615,'Resultados'!$A$5:$A$108,0)),"")</x:f>
        <x:v>Vencedor M76</x:v>
      </x:c>
      <x:c r="G615" s="21" t="str">
        <x:f>IFERROR(INDEX('Resultados'!$J$5:$J$108,MATCH($B615,'Resultados'!$A$5:$A$108,0)),"")</x:f>
        <x:v>Vencedor M78</x:v>
      </x:c>
      <x:c r="H615" s="21" t="str">
        <x:v>Sim</x:v>
      </x:c>
      <x:c r="I615" s="22"/>
      <x:c r="J615" s="22"/>
      <x:c r="K615" s="23"/>
      <x:c r="L615" s="21" t="str">
        <x:f>IFERROR(INDEX('Resultados'!$H$5:$H$108,MATCH($B615,'Resultados'!$A$5:$A$108,0)),"")</x:f>
      </x:c>
      <x:c r="M615" s="21" t="str">
        <x:f>IFERROR(INDEX('Resultados'!$I$5:$I$108,MATCH($B615,'Resultados'!$A$5:$A$108,0)),"")</x:f>
      </x:c>
      <x:c r="N615" s="21" t="str">
        <x:f>IFERROR(INDEX('Resultados'!$L$5:$L$108,MATCH($B615,'Resultados'!$A$5:$A$108,0)),"")</x:f>
      </x:c>
      <x:c r="O615" s="59" t="str">
        <x:f>IF(OR($I615="",$J615="",$L615="",$M615=""),"",IF(AND($H615="Sim",$L615=$M615),IF($I615&lt;&gt;$J615,0,IF(AND($I615=$L615,$J615=$M615),2,1)),IF(AND($I615=$L615,$J615=$M615),3,IF(AND($I615&lt;&gt;$J615,$I615=$M615,$J615=$L615),-2,IF(SIGN($I615-$J615)=SIGN($L615-$M615),1,0)))))</x:f>
      </x:c>
      <x:c r="P615" s="59" t="str">
        <x:f>IF(OR($H615&lt;&gt;"Sim",$I615="",$J615="",$L615="",$M615=""),"",IF(AND(IF($I615&gt;$J615,$F615,IF($I615&lt;$J615,$G615,$K615))&lt;&gt;"",IF($L615&gt;$M615,$F615,IF($L615&lt;$M615,$G615,$N615))&lt;&gt;"",IF($I615&gt;$J615,$F615,IF($I615&lt;$J615,$G615,$K615))=IF($L615&gt;$M615,$F615,IF($L615&lt;$M615,$G615,$N615))),1,0))</x:f>
      </x:c>
      <x:c r="Q615" s="59" t="str">
        <x:f>IF($O615="","",$O615+$P615)</x:f>
      </x:c>
      <x:c r="R615" s="59" t="str">
        <x:f>IF($Q615="","",IF($O615=3,"Cravada",IF(AND($H615="Sim",$L615=$M615,$I615=$J615,$O615=2),"Empate cravado",IF($O615=1,"Resultado certo",IF($O615=-2,"Invertida",IF($P615=1,"Acertou quem passa","Erro"))))))</x:f>
      </x:c>
      <x:c r="S615" s="59" t="str">
        <x:f>IF($O615="","",--(OR($O615=3,AND($H615="Sim",$L615=$M615,$I615=$J615,$O615=2))))</x:f>
      </x:c>
      <x:c r="T615" s="59" t="str">
        <x:f>IF($O615="","",--($O615=-2))</x:f>
      </x:c>
      <x:c r="U615" s="59" t="str">
        <x:f>IF($O615="","",--($O615=1))</x:f>
      </x:c>
      <x:c r="V615" s="59" t="n">
        <x:f>--(AND($I615&lt;&gt;"",$J615&lt;&gt;""))</x:f>
        <x:v>0</x:v>
      </x:c>
    </x:row>
    <x:row r="616">
      <x:c r="A616" s="21" t="str">
        <x:f>INDEX(Config!$B$10:$B$16,INT((ROW()-5)/104)+1)</x:f>
        <x:v>Vitão</x:v>
      </x:c>
      <x:c r="B616" s="21" t="str">
        <x:v>R16_04</x:v>
      </x:c>
      <x:c r="C616" s="21" t="n">
        <x:v>92</x:v>
      </x:c>
      <x:c r="D616" s="21" t="str">
        <x:v>Oitavas de final</x:v>
      </x:c>
      <x:c r="E616" s="21" t="str">
        <x:v>2026-07-05</x:v>
      </x:c>
      <x:c r="F616" s="21" t="str">
        <x:f>IFERROR(INDEX('Resultados'!$G$5:$G$108,MATCH($B616,'Resultados'!$A$5:$A$108,0)),"")</x:f>
        <x:v>Vencedor M79</x:v>
      </x:c>
      <x:c r="G616" s="21" t="str">
        <x:f>IFERROR(INDEX('Resultados'!$J$5:$J$108,MATCH($B616,'Resultados'!$A$5:$A$108,0)),"")</x:f>
        <x:v>Vencedor M80</x:v>
      </x:c>
      <x:c r="H616" s="21" t="str">
        <x:v>Sim</x:v>
      </x:c>
      <x:c r="I616" s="22"/>
      <x:c r="J616" s="22"/>
      <x:c r="K616" s="23"/>
      <x:c r="L616" s="21" t="str">
        <x:f>IFERROR(INDEX('Resultados'!$H$5:$H$108,MATCH($B616,'Resultados'!$A$5:$A$108,0)),"")</x:f>
      </x:c>
      <x:c r="M616" s="21" t="str">
        <x:f>IFERROR(INDEX('Resultados'!$I$5:$I$108,MATCH($B616,'Resultados'!$A$5:$A$108,0)),"")</x:f>
      </x:c>
      <x:c r="N616" s="21" t="str">
        <x:f>IFERROR(INDEX('Resultados'!$L$5:$L$108,MATCH($B616,'Resultados'!$A$5:$A$108,0)),"")</x:f>
      </x:c>
      <x:c r="O616" s="59" t="str">
        <x:f>IF(OR($I616="",$J616="",$L616="",$M616=""),"",IF(AND($H616="Sim",$L616=$M616),IF($I616&lt;&gt;$J616,0,IF(AND($I616=$L616,$J616=$M616),2,1)),IF(AND($I616=$L616,$J616=$M616),3,IF(AND($I616&lt;&gt;$J616,$I616=$M616,$J616=$L616),-2,IF(SIGN($I616-$J616)=SIGN($L616-$M616),1,0)))))</x:f>
      </x:c>
      <x:c r="P616" s="59" t="str">
        <x:f>IF(OR($H616&lt;&gt;"Sim",$I616="",$J616="",$L616="",$M616=""),"",IF(AND(IF($I616&gt;$J616,$F616,IF($I616&lt;$J616,$G616,$K616))&lt;&gt;"",IF($L616&gt;$M616,$F616,IF($L616&lt;$M616,$G616,$N616))&lt;&gt;"",IF($I616&gt;$J616,$F616,IF($I616&lt;$J616,$G616,$K616))=IF($L616&gt;$M616,$F616,IF($L616&lt;$M616,$G616,$N616))),1,0))</x:f>
      </x:c>
      <x:c r="Q616" s="59" t="str">
        <x:f>IF($O616="","",$O616+$P616)</x:f>
      </x:c>
      <x:c r="R616" s="59" t="str">
        <x:f>IF($Q616="","",IF($O616=3,"Cravada",IF(AND($H616="Sim",$L616=$M616,$I616=$J616,$O616=2),"Empate cravado",IF($O616=1,"Resultado certo",IF($O616=-2,"Invertida",IF($P616=1,"Acertou quem passa","Erro"))))))</x:f>
      </x:c>
      <x:c r="S616" s="59" t="str">
        <x:f>IF($O616="","",--(OR($O616=3,AND($H616="Sim",$L616=$M616,$I616=$J616,$O616=2))))</x:f>
      </x:c>
      <x:c r="T616" s="59" t="str">
        <x:f>IF($O616="","",--($O616=-2))</x:f>
      </x:c>
      <x:c r="U616" s="59" t="str">
        <x:f>IF($O616="","",--($O616=1))</x:f>
      </x:c>
      <x:c r="V616" s="59" t="n">
        <x:f>--(AND($I616&lt;&gt;"",$J616&lt;&gt;""))</x:f>
        <x:v>0</x:v>
      </x:c>
    </x:row>
    <x:row r="617">
      <x:c r="A617" s="21" t="str">
        <x:f>INDEX(Config!$B$10:$B$16,INT((ROW()-5)/104)+1)</x:f>
        <x:v>Vitão</x:v>
      </x:c>
      <x:c r="B617" s="21" t="str">
        <x:v>R16_05</x:v>
      </x:c>
      <x:c r="C617" s="21" t="n">
        <x:v>93</x:v>
      </x:c>
      <x:c r="D617" s="21" t="str">
        <x:v>Oitavas de final</x:v>
      </x:c>
      <x:c r="E617" s="21" t="str">
        <x:v>2026-07-06</x:v>
      </x:c>
      <x:c r="F617" s="21" t="str">
        <x:f>IFERROR(INDEX('Resultados'!$G$5:$G$108,MATCH($B617,'Resultados'!$A$5:$A$108,0)),"")</x:f>
        <x:v>Vencedor M83</x:v>
      </x:c>
      <x:c r="G617" s="21" t="str">
        <x:f>IFERROR(INDEX('Resultados'!$J$5:$J$108,MATCH($B617,'Resultados'!$A$5:$A$108,0)),"")</x:f>
        <x:v>Vencedor M84</x:v>
      </x:c>
      <x:c r="H617" s="21" t="str">
        <x:v>Sim</x:v>
      </x:c>
      <x:c r="I617" s="22"/>
      <x:c r="J617" s="22"/>
      <x:c r="K617" s="23"/>
      <x:c r="L617" s="21" t="str">
        <x:f>IFERROR(INDEX('Resultados'!$H$5:$H$108,MATCH($B617,'Resultados'!$A$5:$A$108,0)),"")</x:f>
      </x:c>
      <x:c r="M617" s="21" t="str">
        <x:f>IFERROR(INDEX('Resultados'!$I$5:$I$108,MATCH($B617,'Resultados'!$A$5:$A$108,0)),"")</x:f>
      </x:c>
      <x:c r="N617" s="21" t="str">
        <x:f>IFERROR(INDEX('Resultados'!$L$5:$L$108,MATCH($B617,'Resultados'!$A$5:$A$108,0)),"")</x:f>
      </x:c>
      <x:c r="O617" s="59" t="str">
        <x:f>IF(OR($I617="",$J617="",$L617="",$M617=""),"",IF(AND($H617="Sim",$L617=$M617),IF($I617&lt;&gt;$J617,0,IF(AND($I617=$L617,$J617=$M617),2,1)),IF(AND($I617=$L617,$J617=$M617),3,IF(AND($I617&lt;&gt;$J617,$I617=$M617,$J617=$L617),-2,IF(SIGN($I617-$J617)=SIGN($L617-$M617),1,0)))))</x:f>
      </x:c>
      <x:c r="P617" s="59" t="str">
        <x:f>IF(OR($H617&lt;&gt;"Sim",$I617="",$J617="",$L617="",$M617=""),"",IF(AND(IF($I617&gt;$J617,$F617,IF($I617&lt;$J617,$G617,$K617))&lt;&gt;"",IF($L617&gt;$M617,$F617,IF($L617&lt;$M617,$G617,$N617))&lt;&gt;"",IF($I617&gt;$J617,$F617,IF($I617&lt;$J617,$G617,$K617))=IF($L617&gt;$M617,$F617,IF($L617&lt;$M617,$G617,$N617))),1,0))</x:f>
      </x:c>
      <x:c r="Q617" s="59" t="str">
        <x:f>IF($O617="","",$O617+$P617)</x:f>
      </x:c>
      <x:c r="R617" s="59" t="str">
        <x:f>IF($Q617="","",IF($O617=3,"Cravada",IF(AND($H617="Sim",$L617=$M617,$I617=$J617,$O617=2),"Empate cravado",IF($O617=1,"Resultado certo",IF($O617=-2,"Invertida",IF($P617=1,"Acertou quem passa","Erro"))))))</x:f>
      </x:c>
      <x:c r="S617" s="59" t="str">
        <x:f>IF($O617="","",--(OR($O617=3,AND($H617="Sim",$L617=$M617,$I617=$J617,$O617=2))))</x:f>
      </x:c>
      <x:c r="T617" s="59" t="str">
        <x:f>IF($O617="","",--($O617=-2))</x:f>
      </x:c>
      <x:c r="U617" s="59" t="str">
        <x:f>IF($O617="","",--($O617=1))</x:f>
      </x:c>
      <x:c r="V617" s="59" t="n">
        <x:f>--(AND($I617&lt;&gt;"",$J617&lt;&gt;""))</x:f>
        <x:v>0</x:v>
      </x:c>
    </x:row>
    <x:row r="618">
      <x:c r="A618" s="21" t="str">
        <x:f>INDEX(Config!$B$10:$B$16,INT((ROW()-5)/104)+1)</x:f>
        <x:v>Vitão</x:v>
      </x:c>
      <x:c r="B618" s="21" t="str">
        <x:v>R16_06</x:v>
      </x:c>
      <x:c r="C618" s="21" t="n">
        <x:v>94</x:v>
      </x:c>
      <x:c r="D618" s="21" t="str">
        <x:v>Oitavas de final</x:v>
      </x:c>
      <x:c r="E618" s="21" t="str">
        <x:v>2026-07-06</x:v>
      </x:c>
      <x:c r="F618" s="21" t="str">
        <x:f>IFERROR(INDEX('Resultados'!$G$5:$G$108,MATCH($B618,'Resultados'!$A$5:$A$108,0)),"")</x:f>
        <x:v>Vencedor M81</x:v>
      </x:c>
      <x:c r="G618" s="21" t="str">
        <x:f>IFERROR(INDEX('Resultados'!$J$5:$J$108,MATCH($B618,'Resultados'!$A$5:$A$108,0)),"")</x:f>
        <x:v>Vencedor M82</x:v>
      </x:c>
      <x:c r="H618" s="21" t="str">
        <x:v>Sim</x:v>
      </x:c>
      <x:c r="I618" s="22"/>
      <x:c r="J618" s="22"/>
      <x:c r="K618" s="23"/>
      <x:c r="L618" s="21" t="str">
        <x:f>IFERROR(INDEX('Resultados'!$H$5:$H$108,MATCH($B618,'Resultados'!$A$5:$A$108,0)),"")</x:f>
      </x:c>
      <x:c r="M618" s="21" t="str">
        <x:f>IFERROR(INDEX('Resultados'!$I$5:$I$108,MATCH($B618,'Resultados'!$A$5:$A$108,0)),"")</x:f>
      </x:c>
      <x:c r="N618" s="21" t="str">
        <x:f>IFERROR(INDEX('Resultados'!$L$5:$L$108,MATCH($B618,'Resultados'!$A$5:$A$108,0)),"")</x:f>
      </x:c>
      <x:c r="O618" s="59" t="str">
        <x:f>IF(OR($I618="",$J618="",$L618="",$M618=""),"",IF(AND($H618="Sim",$L618=$M618),IF($I618&lt;&gt;$J618,0,IF(AND($I618=$L618,$J618=$M618),2,1)),IF(AND($I618=$L618,$J618=$M618),3,IF(AND($I618&lt;&gt;$J618,$I618=$M618,$J618=$L618),-2,IF(SIGN($I618-$J618)=SIGN($L618-$M618),1,0)))))</x:f>
      </x:c>
      <x:c r="P618" s="59" t="str">
        <x:f>IF(OR($H618&lt;&gt;"Sim",$I618="",$J618="",$L618="",$M618=""),"",IF(AND(IF($I618&gt;$J618,$F618,IF($I618&lt;$J618,$G618,$K618))&lt;&gt;"",IF($L618&gt;$M618,$F618,IF($L618&lt;$M618,$G618,$N618))&lt;&gt;"",IF($I618&gt;$J618,$F618,IF($I618&lt;$J618,$G618,$K618))=IF($L618&gt;$M618,$F618,IF($L618&lt;$M618,$G618,$N618))),1,0))</x:f>
      </x:c>
      <x:c r="Q618" s="59" t="str">
        <x:f>IF($O618="","",$O618+$P618)</x:f>
      </x:c>
      <x:c r="R618" s="59" t="str">
        <x:f>IF($Q618="","",IF($O618=3,"Cravada",IF(AND($H618="Sim",$L618=$M618,$I618=$J618,$O618=2),"Empate cravado",IF($O618=1,"Resultado certo",IF($O618=-2,"Invertida",IF($P618=1,"Acertou quem passa","Erro"))))))</x:f>
      </x:c>
      <x:c r="S618" s="59" t="str">
        <x:f>IF($O618="","",--(OR($O618=3,AND($H618="Sim",$L618=$M618,$I618=$J618,$O618=2))))</x:f>
      </x:c>
      <x:c r="T618" s="59" t="str">
        <x:f>IF($O618="","",--($O618=-2))</x:f>
      </x:c>
      <x:c r="U618" s="59" t="str">
        <x:f>IF($O618="","",--($O618=1))</x:f>
      </x:c>
      <x:c r="V618" s="59" t="n">
        <x:f>--(AND($I618&lt;&gt;"",$J618&lt;&gt;""))</x:f>
        <x:v>0</x:v>
      </x:c>
    </x:row>
    <x:row r="619">
      <x:c r="A619" s="21" t="str">
        <x:f>INDEX(Config!$B$10:$B$16,INT((ROW()-5)/104)+1)</x:f>
        <x:v>Vitão</x:v>
      </x:c>
      <x:c r="B619" s="21" t="str">
        <x:v>R16_07</x:v>
      </x:c>
      <x:c r="C619" s="21" t="n">
        <x:v>95</x:v>
      </x:c>
      <x:c r="D619" s="21" t="str">
        <x:v>Oitavas de final</x:v>
      </x:c>
      <x:c r="E619" s="21" t="str">
        <x:v>2026-07-07</x:v>
      </x:c>
      <x:c r="F619" s="21" t="str">
        <x:f>IFERROR(INDEX('Resultados'!$G$5:$G$108,MATCH($B619,'Resultados'!$A$5:$A$108,0)),"")</x:f>
        <x:v>Vencedor M86</x:v>
      </x:c>
      <x:c r="G619" s="21" t="str">
        <x:f>IFERROR(INDEX('Resultados'!$J$5:$J$108,MATCH($B619,'Resultados'!$A$5:$A$108,0)),"")</x:f>
        <x:v>Vencedor M88</x:v>
      </x:c>
      <x:c r="H619" s="21" t="str">
        <x:v>Sim</x:v>
      </x:c>
      <x:c r="I619" s="22"/>
      <x:c r="J619" s="22"/>
      <x:c r="K619" s="23"/>
      <x:c r="L619" s="21" t="str">
        <x:f>IFERROR(INDEX('Resultados'!$H$5:$H$108,MATCH($B619,'Resultados'!$A$5:$A$108,0)),"")</x:f>
      </x:c>
      <x:c r="M619" s="21" t="str">
        <x:f>IFERROR(INDEX('Resultados'!$I$5:$I$108,MATCH($B619,'Resultados'!$A$5:$A$108,0)),"")</x:f>
      </x:c>
      <x:c r="N619" s="21" t="str">
        <x:f>IFERROR(INDEX('Resultados'!$L$5:$L$108,MATCH($B619,'Resultados'!$A$5:$A$108,0)),"")</x:f>
      </x:c>
      <x:c r="O619" s="59" t="str">
        <x:f>IF(OR($I619="",$J619="",$L619="",$M619=""),"",IF(AND($H619="Sim",$L619=$M619),IF($I619&lt;&gt;$J619,0,IF(AND($I619=$L619,$J619=$M619),2,1)),IF(AND($I619=$L619,$J619=$M619),3,IF(AND($I619&lt;&gt;$J619,$I619=$M619,$J619=$L619),-2,IF(SIGN($I619-$J619)=SIGN($L619-$M619),1,0)))))</x:f>
      </x:c>
      <x:c r="P619" s="59" t="str">
        <x:f>IF(OR($H619&lt;&gt;"Sim",$I619="",$J619="",$L619="",$M619=""),"",IF(AND(IF($I619&gt;$J619,$F619,IF($I619&lt;$J619,$G619,$K619))&lt;&gt;"",IF($L619&gt;$M619,$F619,IF($L619&lt;$M619,$G619,$N619))&lt;&gt;"",IF($I619&gt;$J619,$F619,IF($I619&lt;$J619,$G619,$K619))=IF($L619&gt;$M619,$F619,IF($L619&lt;$M619,$G619,$N619))),1,0))</x:f>
      </x:c>
      <x:c r="Q619" s="59" t="str">
        <x:f>IF($O619="","",$O619+$P619)</x:f>
      </x:c>
      <x:c r="R619" s="59" t="str">
        <x:f>IF($Q619="","",IF($O619=3,"Cravada",IF(AND($H619="Sim",$L619=$M619,$I619=$J619,$O619=2),"Empate cravado",IF($O619=1,"Resultado certo",IF($O619=-2,"Invertida",IF($P619=1,"Acertou quem passa","Erro"))))))</x:f>
      </x:c>
      <x:c r="S619" s="59" t="str">
        <x:f>IF($O619="","",--(OR($O619=3,AND($H619="Sim",$L619=$M619,$I619=$J619,$O619=2))))</x:f>
      </x:c>
      <x:c r="T619" s="59" t="str">
        <x:f>IF($O619="","",--($O619=-2))</x:f>
      </x:c>
      <x:c r="U619" s="59" t="str">
        <x:f>IF($O619="","",--($O619=1))</x:f>
      </x:c>
      <x:c r="V619" s="59" t="n">
        <x:f>--(AND($I619&lt;&gt;"",$J619&lt;&gt;""))</x:f>
        <x:v>0</x:v>
      </x:c>
    </x:row>
    <x:row r="620">
      <x:c r="A620" s="21" t="str">
        <x:f>INDEX(Config!$B$10:$B$16,INT((ROW()-5)/104)+1)</x:f>
        <x:v>Vitão</x:v>
      </x:c>
      <x:c r="B620" s="21" t="str">
        <x:v>R16_08</x:v>
      </x:c>
      <x:c r="C620" s="21" t="n">
        <x:v>96</x:v>
      </x:c>
      <x:c r="D620" s="21" t="str">
        <x:v>Oitavas de final</x:v>
      </x:c>
      <x:c r="E620" s="21" t="str">
        <x:v>2026-07-07</x:v>
      </x:c>
      <x:c r="F620" s="21" t="str">
        <x:f>IFERROR(INDEX('Resultados'!$G$5:$G$108,MATCH($B620,'Resultados'!$A$5:$A$108,0)),"")</x:f>
        <x:v>Vencedor M85</x:v>
      </x:c>
      <x:c r="G620" s="21" t="str">
        <x:f>IFERROR(INDEX('Resultados'!$J$5:$J$108,MATCH($B620,'Resultados'!$A$5:$A$108,0)),"")</x:f>
        <x:v>Vencedor M87</x:v>
      </x:c>
      <x:c r="H620" s="21" t="str">
        <x:v>Sim</x:v>
      </x:c>
      <x:c r="I620" s="22"/>
      <x:c r="J620" s="22"/>
      <x:c r="K620" s="23"/>
      <x:c r="L620" s="21" t="str">
        <x:f>IFERROR(INDEX('Resultados'!$H$5:$H$108,MATCH($B620,'Resultados'!$A$5:$A$108,0)),"")</x:f>
      </x:c>
      <x:c r="M620" s="21" t="str">
        <x:f>IFERROR(INDEX('Resultados'!$I$5:$I$108,MATCH($B620,'Resultados'!$A$5:$A$108,0)),"")</x:f>
      </x:c>
      <x:c r="N620" s="21" t="str">
        <x:f>IFERROR(INDEX('Resultados'!$L$5:$L$108,MATCH($B620,'Resultados'!$A$5:$A$108,0)),"")</x:f>
      </x:c>
      <x:c r="O620" s="59" t="str">
        <x:f>IF(OR($I620="",$J620="",$L620="",$M620=""),"",IF(AND($H620="Sim",$L620=$M620),IF($I620&lt;&gt;$J620,0,IF(AND($I620=$L620,$J620=$M620),2,1)),IF(AND($I620=$L620,$J620=$M620),3,IF(AND($I620&lt;&gt;$J620,$I620=$M620,$J620=$L620),-2,IF(SIGN($I620-$J620)=SIGN($L620-$M620),1,0)))))</x:f>
      </x:c>
      <x:c r="P620" s="59" t="str">
        <x:f>IF(OR($H620&lt;&gt;"Sim",$I620="",$J620="",$L620="",$M620=""),"",IF(AND(IF($I620&gt;$J620,$F620,IF($I620&lt;$J620,$G620,$K620))&lt;&gt;"",IF($L620&gt;$M620,$F620,IF($L620&lt;$M620,$G620,$N620))&lt;&gt;"",IF($I620&gt;$J620,$F620,IF($I620&lt;$J620,$G620,$K620))=IF($L620&gt;$M620,$F620,IF($L620&lt;$M620,$G620,$N620))),1,0))</x:f>
      </x:c>
      <x:c r="Q620" s="59" t="str">
        <x:f>IF($O620="","",$O620+$P620)</x:f>
      </x:c>
      <x:c r="R620" s="59" t="str">
        <x:f>IF($Q620="","",IF($O620=3,"Cravada",IF(AND($H620="Sim",$L620=$M620,$I620=$J620,$O620=2),"Empate cravado",IF($O620=1,"Resultado certo",IF($O620=-2,"Invertida",IF($P620=1,"Acertou quem passa","Erro"))))))</x:f>
      </x:c>
      <x:c r="S620" s="59" t="str">
        <x:f>IF($O620="","",--(OR($O620=3,AND($H620="Sim",$L620=$M620,$I620=$J620,$O620=2))))</x:f>
      </x:c>
      <x:c r="T620" s="59" t="str">
        <x:f>IF($O620="","",--($O620=-2))</x:f>
      </x:c>
      <x:c r="U620" s="59" t="str">
        <x:f>IF($O620="","",--($O620=1))</x:f>
      </x:c>
      <x:c r="V620" s="59" t="n">
        <x:f>--(AND($I620&lt;&gt;"",$J620&lt;&gt;""))</x:f>
        <x:v>0</x:v>
      </x:c>
    </x:row>
    <x:row r="621">
      <x:c r="A621" s="21" t="str">
        <x:f>INDEX(Config!$B$10:$B$16,INT((ROW()-5)/104)+1)</x:f>
        <x:v>Vitão</x:v>
      </x:c>
      <x:c r="B621" s="21" t="str">
        <x:v>QF_01</x:v>
      </x:c>
      <x:c r="C621" s="21" t="n">
        <x:v>97</x:v>
      </x:c>
      <x:c r="D621" s="21" t="str">
        <x:v>Quartas de final</x:v>
      </x:c>
      <x:c r="E621" s="21" t="str">
        <x:v>2026-07-09</x:v>
      </x:c>
      <x:c r="F621" s="21" t="str">
        <x:f>IFERROR(INDEX('Resultados'!$G$5:$G$108,MATCH($B621,'Resultados'!$A$5:$A$108,0)),"")</x:f>
        <x:v>Vencedor M89</x:v>
      </x:c>
      <x:c r="G621" s="21" t="str">
        <x:f>IFERROR(INDEX('Resultados'!$J$5:$J$108,MATCH($B621,'Resultados'!$A$5:$A$108,0)),"")</x:f>
        <x:v>Vencedor M90</x:v>
      </x:c>
      <x:c r="H621" s="21" t="str">
        <x:v>Sim</x:v>
      </x:c>
      <x:c r="I621" s="22"/>
      <x:c r="J621" s="22"/>
      <x:c r="K621" s="23"/>
      <x:c r="L621" s="21" t="str">
        <x:f>IFERROR(INDEX('Resultados'!$H$5:$H$108,MATCH($B621,'Resultados'!$A$5:$A$108,0)),"")</x:f>
      </x:c>
      <x:c r="M621" s="21" t="str">
        <x:f>IFERROR(INDEX('Resultados'!$I$5:$I$108,MATCH($B621,'Resultados'!$A$5:$A$108,0)),"")</x:f>
      </x:c>
      <x:c r="N621" s="21" t="str">
        <x:f>IFERROR(INDEX('Resultados'!$L$5:$L$108,MATCH($B621,'Resultados'!$A$5:$A$108,0)),"")</x:f>
      </x:c>
      <x:c r="O621" s="59" t="str">
        <x:f>IF(OR($I621="",$J621="",$L621="",$M621=""),"",IF(AND($H621="Sim",$L621=$M621),IF($I621&lt;&gt;$J621,0,IF(AND($I621=$L621,$J621=$M621),2,1)),IF(AND($I621=$L621,$J621=$M621),3,IF(AND($I621&lt;&gt;$J621,$I621=$M621,$J621=$L621),-2,IF(SIGN($I621-$J621)=SIGN($L621-$M621),1,0)))))</x:f>
      </x:c>
      <x:c r="P621" s="59" t="str">
        <x:f>IF(OR($H621&lt;&gt;"Sim",$I621="",$J621="",$L621="",$M621=""),"",IF(AND(IF($I621&gt;$J621,$F621,IF($I621&lt;$J621,$G621,$K621))&lt;&gt;"",IF($L621&gt;$M621,$F621,IF($L621&lt;$M621,$G621,$N621))&lt;&gt;"",IF($I621&gt;$J621,$F621,IF($I621&lt;$J621,$G621,$K621))=IF($L621&gt;$M621,$F621,IF($L621&lt;$M621,$G621,$N621))),1,0))</x:f>
      </x:c>
      <x:c r="Q621" s="59" t="str">
        <x:f>IF($O621="","",$O621+$P621)</x:f>
      </x:c>
      <x:c r="R621" s="59" t="str">
        <x:f>IF($Q621="","",IF($O621=3,"Cravada",IF(AND($H621="Sim",$L621=$M621,$I621=$J621,$O621=2),"Empate cravado",IF($O621=1,"Resultado certo",IF($O621=-2,"Invertida",IF($P621=1,"Acertou quem passa","Erro"))))))</x:f>
      </x:c>
      <x:c r="S621" s="59" t="str">
        <x:f>IF($O621="","",--(OR($O621=3,AND($H621="Sim",$L621=$M621,$I621=$J621,$O621=2))))</x:f>
      </x:c>
      <x:c r="T621" s="59" t="str">
        <x:f>IF($O621="","",--($O621=-2))</x:f>
      </x:c>
      <x:c r="U621" s="59" t="str">
        <x:f>IF($O621="","",--($O621=1))</x:f>
      </x:c>
      <x:c r="V621" s="59" t="n">
        <x:f>--(AND($I621&lt;&gt;"",$J621&lt;&gt;""))</x:f>
        <x:v>0</x:v>
      </x:c>
    </x:row>
    <x:row r="622">
      <x:c r="A622" s="21" t="str">
        <x:f>INDEX(Config!$B$10:$B$16,INT((ROW()-5)/104)+1)</x:f>
        <x:v>Vitão</x:v>
      </x:c>
      <x:c r="B622" s="21" t="str">
        <x:v>QF_02</x:v>
      </x:c>
      <x:c r="C622" s="21" t="n">
        <x:v>98</x:v>
      </x:c>
      <x:c r="D622" s="21" t="str">
        <x:v>Quartas de final</x:v>
      </x:c>
      <x:c r="E622" s="21" t="str">
        <x:v>2026-07-10</x:v>
      </x:c>
      <x:c r="F622" s="21" t="str">
        <x:f>IFERROR(INDEX('Resultados'!$G$5:$G$108,MATCH($B622,'Resultados'!$A$5:$A$108,0)),"")</x:f>
        <x:v>Vencedor M93</x:v>
      </x:c>
      <x:c r="G622" s="21" t="str">
        <x:f>IFERROR(INDEX('Resultados'!$J$5:$J$108,MATCH($B622,'Resultados'!$A$5:$A$108,0)),"")</x:f>
        <x:v>Vencedor M94</x:v>
      </x:c>
      <x:c r="H622" s="21" t="str">
        <x:v>Sim</x:v>
      </x:c>
      <x:c r="I622" s="22"/>
      <x:c r="J622" s="22"/>
      <x:c r="K622" s="23"/>
      <x:c r="L622" s="21" t="str">
        <x:f>IFERROR(INDEX('Resultados'!$H$5:$H$108,MATCH($B622,'Resultados'!$A$5:$A$108,0)),"")</x:f>
      </x:c>
      <x:c r="M622" s="21" t="str">
        <x:f>IFERROR(INDEX('Resultados'!$I$5:$I$108,MATCH($B622,'Resultados'!$A$5:$A$108,0)),"")</x:f>
      </x:c>
      <x:c r="N622" s="21" t="str">
        <x:f>IFERROR(INDEX('Resultados'!$L$5:$L$108,MATCH($B622,'Resultados'!$A$5:$A$108,0)),"")</x:f>
      </x:c>
      <x:c r="O622" s="59" t="str">
        <x:f>IF(OR($I622="",$J622="",$L622="",$M622=""),"",IF(AND($H622="Sim",$L622=$M622),IF($I622&lt;&gt;$J622,0,IF(AND($I622=$L622,$J622=$M622),2,1)),IF(AND($I622=$L622,$J622=$M622),3,IF(AND($I622&lt;&gt;$J622,$I622=$M622,$J622=$L622),-2,IF(SIGN($I622-$J622)=SIGN($L622-$M622),1,0)))))</x:f>
      </x:c>
      <x:c r="P622" s="59" t="str">
        <x:f>IF(OR($H622&lt;&gt;"Sim",$I622="",$J622="",$L622="",$M622=""),"",IF(AND(IF($I622&gt;$J622,$F622,IF($I622&lt;$J622,$G622,$K622))&lt;&gt;"",IF($L622&gt;$M622,$F622,IF($L622&lt;$M622,$G622,$N622))&lt;&gt;"",IF($I622&gt;$J622,$F622,IF($I622&lt;$J622,$G622,$K622))=IF($L622&gt;$M622,$F622,IF($L622&lt;$M622,$G622,$N622))),1,0))</x:f>
      </x:c>
      <x:c r="Q622" s="59" t="str">
        <x:f>IF($O622="","",$O622+$P622)</x:f>
      </x:c>
      <x:c r="R622" s="59" t="str">
        <x:f>IF($Q622="","",IF($O622=3,"Cravada",IF(AND($H622="Sim",$L622=$M622,$I622=$J622,$O622=2),"Empate cravado",IF($O622=1,"Resultado certo",IF($O622=-2,"Invertida",IF($P622=1,"Acertou quem passa","Erro"))))))</x:f>
      </x:c>
      <x:c r="S622" s="59" t="str">
        <x:f>IF($O622="","",--(OR($O622=3,AND($H622="Sim",$L622=$M622,$I622=$J622,$O622=2))))</x:f>
      </x:c>
      <x:c r="T622" s="59" t="str">
        <x:f>IF($O622="","",--($O622=-2))</x:f>
      </x:c>
      <x:c r="U622" s="59" t="str">
        <x:f>IF($O622="","",--($O622=1))</x:f>
      </x:c>
      <x:c r="V622" s="59" t="n">
        <x:f>--(AND($I622&lt;&gt;"",$J622&lt;&gt;""))</x:f>
        <x:v>0</x:v>
      </x:c>
    </x:row>
    <x:row r="623">
      <x:c r="A623" s="21" t="str">
        <x:f>INDEX(Config!$B$10:$B$16,INT((ROW()-5)/104)+1)</x:f>
        <x:v>Vitão</x:v>
      </x:c>
      <x:c r="B623" s="21" t="str">
        <x:v>QF_03</x:v>
      </x:c>
      <x:c r="C623" s="21" t="n">
        <x:v>99</x:v>
      </x:c>
      <x:c r="D623" s="21" t="str">
        <x:v>Quartas de final</x:v>
      </x:c>
      <x:c r="E623" s="21" t="str">
        <x:v>2026-07-11</x:v>
      </x:c>
      <x:c r="F623" s="21" t="str">
        <x:f>IFERROR(INDEX('Resultados'!$G$5:$G$108,MATCH($B623,'Resultados'!$A$5:$A$108,0)),"")</x:f>
        <x:v>Vencedor M91</x:v>
      </x:c>
      <x:c r="G623" s="21" t="str">
        <x:f>IFERROR(INDEX('Resultados'!$J$5:$J$108,MATCH($B623,'Resultados'!$A$5:$A$108,0)),"")</x:f>
        <x:v>Vencedor M92</x:v>
      </x:c>
      <x:c r="H623" s="21" t="str">
        <x:v>Sim</x:v>
      </x:c>
      <x:c r="I623" s="22"/>
      <x:c r="J623" s="22"/>
      <x:c r="K623" s="23"/>
      <x:c r="L623" s="21" t="str">
        <x:f>IFERROR(INDEX('Resultados'!$H$5:$H$108,MATCH($B623,'Resultados'!$A$5:$A$108,0)),"")</x:f>
      </x:c>
      <x:c r="M623" s="21" t="str">
        <x:f>IFERROR(INDEX('Resultados'!$I$5:$I$108,MATCH($B623,'Resultados'!$A$5:$A$108,0)),"")</x:f>
      </x:c>
      <x:c r="N623" s="21" t="str">
        <x:f>IFERROR(INDEX('Resultados'!$L$5:$L$108,MATCH($B623,'Resultados'!$A$5:$A$108,0)),"")</x:f>
      </x:c>
      <x:c r="O623" s="59" t="str">
        <x:f>IF(OR($I623="",$J623="",$L623="",$M623=""),"",IF(AND($H623="Sim",$L623=$M623),IF($I623&lt;&gt;$J623,0,IF(AND($I623=$L623,$J623=$M623),2,1)),IF(AND($I623=$L623,$J623=$M623),3,IF(AND($I623&lt;&gt;$J623,$I623=$M623,$J623=$L623),-2,IF(SIGN($I623-$J623)=SIGN($L623-$M623),1,0)))))</x:f>
      </x:c>
      <x:c r="P623" s="59" t="str">
        <x:f>IF(OR($H623&lt;&gt;"Sim",$I623="",$J623="",$L623="",$M623=""),"",IF(AND(IF($I623&gt;$J623,$F623,IF($I623&lt;$J623,$G623,$K623))&lt;&gt;"",IF($L623&gt;$M623,$F623,IF($L623&lt;$M623,$G623,$N623))&lt;&gt;"",IF($I623&gt;$J623,$F623,IF($I623&lt;$J623,$G623,$K623))=IF($L623&gt;$M623,$F623,IF($L623&lt;$M623,$G623,$N623))),1,0))</x:f>
      </x:c>
      <x:c r="Q623" s="59" t="str">
        <x:f>IF($O623="","",$O623+$P623)</x:f>
      </x:c>
      <x:c r="R623" s="59" t="str">
        <x:f>IF($Q623="","",IF($O623=3,"Cravada",IF(AND($H623="Sim",$L623=$M623,$I623=$J623,$O623=2),"Empate cravado",IF($O623=1,"Resultado certo",IF($O623=-2,"Invertida",IF($P623=1,"Acertou quem passa","Erro"))))))</x:f>
      </x:c>
      <x:c r="S623" s="59" t="str">
        <x:f>IF($O623="","",--(OR($O623=3,AND($H623="Sim",$L623=$M623,$I623=$J623,$O623=2))))</x:f>
      </x:c>
      <x:c r="T623" s="59" t="str">
        <x:f>IF($O623="","",--($O623=-2))</x:f>
      </x:c>
      <x:c r="U623" s="59" t="str">
        <x:f>IF($O623="","",--($O623=1))</x:f>
      </x:c>
      <x:c r="V623" s="59" t="n">
        <x:f>--(AND($I623&lt;&gt;"",$J623&lt;&gt;""))</x:f>
        <x:v>0</x:v>
      </x:c>
    </x:row>
    <x:row r="624">
      <x:c r="A624" s="21" t="str">
        <x:f>INDEX(Config!$B$10:$B$16,INT((ROW()-5)/104)+1)</x:f>
        <x:v>Vitão</x:v>
      </x:c>
      <x:c r="B624" s="21" t="str">
        <x:v>QF_04</x:v>
      </x:c>
      <x:c r="C624" s="21" t="n">
        <x:v>100</x:v>
      </x:c>
      <x:c r="D624" s="21" t="str">
        <x:v>Quartas de final</x:v>
      </x:c>
      <x:c r="E624" s="21" t="str">
        <x:v>2026-07-11</x:v>
      </x:c>
      <x:c r="F624" s="21" t="str">
        <x:f>IFERROR(INDEX('Resultados'!$G$5:$G$108,MATCH($B624,'Resultados'!$A$5:$A$108,0)),"")</x:f>
        <x:v>Vencedor M95</x:v>
      </x:c>
      <x:c r="G624" s="21" t="str">
        <x:f>IFERROR(INDEX('Resultados'!$J$5:$J$108,MATCH($B624,'Resultados'!$A$5:$A$108,0)),"")</x:f>
        <x:v>Vencedor M96</x:v>
      </x:c>
      <x:c r="H624" s="21" t="str">
        <x:v>Sim</x:v>
      </x:c>
      <x:c r="I624" s="22"/>
      <x:c r="J624" s="22"/>
      <x:c r="K624" s="23"/>
      <x:c r="L624" s="21" t="str">
        <x:f>IFERROR(INDEX('Resultados'!$H$5:$H$108,MATCH($B624,'Resultados'!$A$5:$A$108,0)),"")</x:f>
      </x:c>
      <x:c r="M624" s="21" t="str">
        <x:f>IFERROR(INDEX('Resultados'!$I$5:$I$108,MATCH($B624,'Resultados'!$A$5:$A$108,0)),"")</x:f>
      </x:c>
      <x:c r="N624" s="21" t="str">
        <x:f>IFERROR(INDEX('Resultados'!$L$5:$L$108,MATCH($B624,'Resultados'!$A$5:$A$108,0)),"")</x:f>
      </x:c>
      <x:c r="O624" s="59" t="str">
        <x:f>IF(OR($I624="",$J624="",$L624="",$M624=""),"",IF(AND($H624="Sim",$L624=$M624),IF($I624&lt;&gt;$J624,0,IF(AND($I624=$L624,$J624=$M624),2,1)),IF(AND($I624=$L624,$J624=$M624),3,IF(AND($I624&lt;&gt;$J624,$I624=$M624,$J624=$L624),-2,IF(SIGN($I624-$J624)=SIGN($L624-$M624),1,0)))))</x:f>
      </x:c>
      <x:c r="P624" s="59" t="str">
        <x:f>IF(OR($H624&lt;&gt;"Sim",$I624="",$J624="",$L624="",$M624=""),"",IF(AND(IF($I624&gt;$J624,$F624,IF($I624&lt;$J624,$G624,$K624))&lt;&gt;"",IF($L624&gt;$M624,$F624,IF($L624&lt;$M624,$G624,$N624))&lt;&gt;"",IF($I624&gt;$J624,$F624,IF($I624&lt;$J624,$G624,$K624))=IF($L624&gt;$M624,$F624,IF($L624&lt;$M624,$G624,$N624))),1,0))</x:f>
      </x:c>
      <x:c r="Q624" s="59" t="str">
        <x:f>IF($O624="","",$O624+$P624)</x:f>
      </x:c>
      <x:c r="R624" s="59" t="str">
        <x:f>IF($Q624="","",IF($O624=3,"Cravada",IF(AND($H624="Sim",$L624=$M624,$I624=$J624,$O624=2),"Empate cravado",IF($O624=1,"Resultado certo",IF($O624=-2,"Invertida",IF($P624=1,"Acertou quem passa","Erro"))))))</x:f>
      </x:c>
      <x:c r="S624" s="59" t="str">
        <x:f>IF($O624="","",--(OR($O624=3,AND($H624="Sim",$L624=$M624,$I624=$J624,$O624=2))))</x:f>
      </x:c>
      <x:c r="T624" s="59" t="str">
        <x:f>IF($O624="","",--($O624=-2))</x:f>
      </x:c>
      <x:c r="U624" s="59" t="str">
        <x:f>IF($O624="","",--($O624=1))</x:f>
      </x:c>
      <x:c r="V624" s="59" t="n">
        <x:f>--(AND($I624&lt;&gt;"",$J624&lt;&gt;""))</x:f>
        <x:v>0</x:v>
      </x:c>
    </x:row>
    <x:row r="625">
      <x:c r="A625" s="21" t="str">
        <x:f>INDEX(Config!$B$10:$B$16,INT((ROW()-5)/104)+1)</x:f>
        <x:v>Vitão</x:v>
      </x:c>
      <x:c r="B625" s="21" t="str">
        <x:v>SF_01</x:v>
      </x:c>
      <x:c r="C625" s="21" t="n">
        <x:v>101</x:v>
      </x:c>
      <x:c r="D625" s="21" t="str">
        <x:v>Semifinais</x:v>
      </x:c>
      <x:c r="E625" s="21" t="str">
        <x:v>2026-07-14</x:v>
      </x:c>
      <x:c r="F625" s="21" t="str">
        <x:f>IFERROR(INDEX('Resultados'!$G$5:$G$108,MATCH($B625,'Resultados'!$A$5:$A$108,0)),"")</x:f>
        <x:v>Vencedor M97</x:v>
      </x:c>
      <x:c r="G625" s="21" t="str">
        <x:f>IFERROR(INDEX('Resultados'!$J$5:$J$108,MATCH($B625,'Resultados'!$A$5:$A$108,0)),"")</x:f>
        <x:v>Vencedor M98</x:v>
      </x:c>
      <x:c r="H625" s="21" t="str">
        <x:v>Sim</x:v>
      </x:c>
      <x:c r="I625" s="22"/>
      <x:c r="J625" s="22"/>
      <x:c r="K625" s="23"/>
      <x:c r="L625" s="21" t="str">
        <x:f>IFERROR(INDEX('Resultados'!$H$5:$H$108,MATCH($B625,'Resultados'!$A$5:$A$108,0)),"")</x:f>
      </x:c>
      <x:c r="M625" s="21" t="str">
        <x:f>IFERROR(INDEX('Resultados'!$I$5:$I$108,MATCH($B625,'Resultados'!$A$5:$A$108,0)),"")</x:f>
      </x:c>
      <x:c r="N625" s="21" t="str">
        <x:f>IFERROR(INDEX('Resultados'!$L$5:$L$108,MATCH($B625,'Resultados'!$A$5:$A$108,0)),"")</x:f>
      </x:c>
      <x:c r="O625" s="59" t="str">
        <x:f>IF(OR($I625="",$J625="",$L625="",$M625=""),"",IF(AND($H625="Sim",$L625=$M625),IF($I625&lt;&gt;$J625,0,IF(AND($I625=$L625,$J625=$M625),2,1)),IF(AND($I625=$L625,$J625=$M625),3,IF(AND($I625&lt;&gt;$J625,$I625=$M625,$J625=$L625),-2,IF(SIGN($I625-$J625)=SIGN($L625-$M625),1,0)))))</x:f>
      </x:c>
      <x:c r="P625" s="59" t="str">
        <x:f>IF(OR($H625&lt;&gt;"Sim",$I625="",$J625="",$L625="",$M625=""),"",IF(AND(IF($I625&gt;$J625,$F625,IF($I625&lt;$J625,$G625,$K625))&lt;&gt;"",IF($L625&gt;$M625,$F625,IF($L625&lt;$M625,$G625,$N625))&lt;&gt;"",IF($I625&gt;$J625,$F625,IF($I625&lt;$J625,$G625,$K625))=IF($L625&gt;$M625,$F625,IF($L625&lt;$M625,$G625,$N625))),1,0))</x:f>
      </x:c>
      <x:c r="Q625" s="59" t="str">
        <x:f>IF($O625="","",$O625+$P625)</x:f>
      </x:c>
      <x:c r="R625" s="59" t="str">
        <x:f>IF($Q625="","",IF($O625=3,"Cravada",IF(AND($H625="Sim",$L625=$M625,$I625=$J625,$O625=2),"Empate cravado",IF($O625=1,"Resultado certo",IF($O625=-2,"Invertida",IF($P625=1,"Acertou quem passa","Erro"))))))</x:f>
      </x:c>
      <x:c r="S625" s="59" t="str">
        <x:f>IF($O625="","",--(OR($O625=3,AND($H625="Sim",$L625=$M625,$I625=$J625,$O625=2))))</x:f>
      </x:c>
      <x:c r="T625" s="59" t="str">
        <x:f>IF($O625="","",--($O625=-2))</x:f>
      </x:c>
      <x:c r="U625" s="59" t="str">
        <x:f>IF($O625="","",--($O625=1))</x:f>
      </x:c>
      <x:c r="V625" s="59" t="n">
        <x:f>--(AND($I625&lt;&gt;"",$J625&lt;&gt;""))</x:f>
        <x:v>0</x:v>
      </x:c>
    </x:row>
    <x:row r="626">
      <x:c r="A626" s="21" t="str">
        <x:f>INDEX(Config!$B$10:$B$16,INT((ROW()-5)/104)+1)</x:f>
        <x:v>Vitão</x:v>
      </x:c>
      <x:c r="B626" s="21" t="str">
        <x:v>SF_02</x:v>
      </x:c>
      <x:c r="C626" s="21" t="n">
        <x:v>102</x:v>
      </x:c>
      <x:c r="D626" s="21" t="str">
        <x:v>Semifinais</x:v>
      </x:c>
      <x:c r="E626" s="21" t="str">
        <x:v>2026-07-15</x:v>
      </x:c>
      <x:c r="F626" s="21" t="str">
        <x:f>IFERROR(INDEX('Resultados'!$G$5:$G$108,MATCH($B626,'Resultados'!$A$5:$A$108,0)),"")</x:f>
        <x:v>Vencedor M99</x:v>
      </x:c>
      <x:c r="G626" s="21" t="str">
        <x:f>IFERROR(INDEX('Resultados'!$J$5:$J$108,MATCH($B626,'Resultados'!$A$5:$A$108,0)),"")</x:f>
        <x:v>Vencedor M100</x:v>
      </x:c>
      <x:c r="H626" s="21" t="str">
        <x:v>Sim</x:v>
      </x:c>
      <x:c r="I626" s="22"/>
      <x:c r="J626" s="22"/>
      <x:c r="K626" s="23"/>
      <x:c r="L626" s="21" t="str">
        <x:f>IFERROR(INDEX('Resultados'!$H$5:$H$108,MATCH($B626,'Resultados'!$A$5:$A$108,0)),"")</x:f>
      </x:c>
      <x:c r="M626" s="21" t="str">
        <x:f>IFERROR(INDEX('Resultados'!$I$5:$I$108,MATCH($B626,'Resultados'!$A$5:$A$108,0)),"")</x:f>
      </x:c>
      <x:c r="N626" s="21" t="str">
        <x:f>IFERROR(INDEX('Resultados'!$L$5:$L$108,MATCH($B626,'Resultados'!$A$5:$A$108,0)),"")</x:f>
      </x:c>
      <x:c r="O626" s="59" t="str">
        <x:f>IF(OR($I626="",$J626="",$L626="",$M626=""),"",IF(AND($H626="Sim",$L626=$M626),IF($I626&lt;&gt;$J626,0,IF(AND($I626=$L626,$J626=$M626),2,1)),IF(AND($I626=$L626,$J626=$M626),3,IF(AND($I626&lt;&gt;$J626,$I626=$M626,$J626=$L626),-2,IF(SIGN($I626-$J626)=SIGN($L626-$M626),1,0)))))</x:f>
      </x:c>
      <x:c r="P626" s="59" t="str">
        <x:f>IF(OR($H626&lt;&gt;"Sim",$I626="",$J626="",$L626="",$M626=""),"",IF(AND(IF($I626&gt;$J626,$F626,IF($I626&lt;$J626,$G626,$K626))&lt;&gt;"",IF($L626&gt;$M626,$F626,IF($L626&lt;$M626,$G626,$N626))&lt;&gt;"",IF($I626&gt;$J626,$F626,IF($I626&lt;$J626,$G626,$K626))=IF($L626&gt;$M626,$F626,IF($L626&lt;$M626,$G626,$N626))),1,0))</x:f>
      </x:c>
      <x:c r="Q626" s="59" t="str">
        <x:f>IF($O626="","",$O626+$P626)</x:f>
      </x:c>
      <x:c r="R626" s="59" t="str">
        <x:f>IF($Q626="","",IF($O626=3,"Cravada",IF(AND($H626="Sim",$L626=$M626,$I626=$J626,$O626=2),"Empate cravado",IF($O626=1,"Resultado certo",IF($O626=-2,"Invertida",IF($P626=1,"Acertou quem passa","Erro"))))))</x:f>
      </x:c>
      <x:c r="S626" s="59" t="str">
        <x:f>IF($O626="","",--(OR($O626=3,AND($H626="Sim",$L626=$M626,$I626=$J626,$O626=2))))</x:f>
      </x:c>
      <x:c r="T626" s="59" t="str">
        <x:f>IF($O626="","",--($O626=-2))</x:f>
      </x:c>
      <x:c r="U626" s="59" t="str">
        <x:f>IF($O626="","",--($O626=1))</x:f>
      </x:c>
      <x:c r="V626" s="59" t="n">
        <x:f>--(AND($I626&lt;&gt;"",$J626&lt;&gt;""))</x:f>
        <x:v>0</x:v>
      </x:c>
    </x:row>
    <x:row r="627">
      <x:c r="A627" s="21" t="str">
        <x:f>INDEX(Config!$B$10:$B$16,INT((ROW()-5)/104)+1)</x:f>
        <x:v>Vitão</x:v>
      </x:c>
      <x:c r="B627" s="21" t="str">
        <x:v>P3</x:v>
      </x:c>
      <x:c r="C627" s="21" t="n">
        <x:v>103</x:v>
      </x:c>
      <x:c r="D627" s="21" t="str">
        <x:v>Disputa de 3º lugar</x:v>
      </x:c>
      <x:c r="E627" s="21" t="str">
        <x:v>2026-07-18</x:v>
      </x:c>
      <x:c r="F627" s="21" t="str">
        <x:f>IFERROR(INDEX('Resultados'!$G$5:$G$108,MATCH($B627,'Resultados'!$A$5:$A$108,0)),"")</x:f>
        <x:v>Perdedor M101</x:v>
      </x:c>
      <x:c r="G627" s="21" t="str">
        <x:f>IFERROR(INDEX('Resultados'!$J$5:$J$108,MATCH($B627,'Resultados'!$A$5:$A$108,0)),"")</x:f>
        <x:v>Perdedor M102</x:v>
      </x:c>
      <x:c r="H627" s="21" t="str">
        <x:v>Sim</x:v>
      </x:c>
      <x:c r="I627" s="22"/>
      <x:c r="J627" s="22"/>
      <x:c r="K627" s="23"/>
      <x:c r="L627" s="21" t="str">
        <x:f>IFERROR(INDEX('Resultados'!$H$5:$H$108,MATCH($B627,'Resultados'!$A$5:$A$108,0)),"")</x:f>
      </x:c>
      <x:c r="M627" s="21" t="str">
        <x:f>IFERROR(INDEX('Resultados'!$I$5:$I$108,MATCH($B627,'Resultados'!$A$5:$A$108,0)),"")</x:f>
      </x:c>
      <x:c r="N627" s="21" t="str">
        <x:f>IFERROR(INDEX('Resultados'!$L$5:$L$108,MATCH($B627,'Resultados'!$A$5:$A$108,0)),"")</x:f>
      </x:c>
      <x:c r="O627" s="59" t="str">
        <x:f>IF(OR($I627="",$J627="",$L627="",$M627=""),"",IF(AND($H627="Sim",$L627=$M627),IF($I627&lt;&gt;$J627,0,IF(AND($I627=$L627,$J627=$M627),2,1)),IF(AND($I627=$L627,$J627=$M627),3,IF(AND($I627&lt;&gt;$J627,$I627=$M627,$J627=$L627),-2,IF(SIGN($I627-$J627)=SIGN($L627-$M627),1,0)))))</x:f>
      </x:c>
      <x:c r="P627" s="59" t="str">
        <x:f>IF(OR($H627&lt;&gt;"Sim",$I627="",$J627="",$L627="",$M627=""),"",IF(AND(IF($I627&gt;$J627,$F627,IF($I627&lt;$J627,$G627,$K627))&lt;&gt;"",IF($L627&gt;$M627,$F627,IF($L627&lt;$M627,$G627,$N627))&lt;&gt;"",IF($I627&gt;$J627,$F627,IF($I627&lt;$J627,$G627,$K627))=IF($L627&gt;$M627,$F627,IF($L627&lt;$M627,$G627,$N627))),1,0))</x:f>
      </x:c>
      <x:c r="Q627" s="59" t="str">
        <x:f>IF($O627="","",$O627+$P627)</x:f>
      </x:c>
      <x:c r="R627" s="59" t="str">
        <x:f>IF($Q627="","",IF($O627=3,"Cravada",IF(AND($H627="Sim",$L627=$M627,$I627=$J627,$O627=2),"Empate cravado",IF($O627=1,"Resultado certo",IF($O627=-2,"Invertida",IF($P627=1,"Acertou quem passa","Erro"))))))</x:f>
      </x:c>
      <x:c r="S627" s="59" t="str">
        <x:f>IF($O627="","",--(OR($O627=3,AND($H627="Sim",$L627=$M627,$I627=$J627,$O627=2))))</x:f>
      </x:c>
      <x:c r="T627" s="59" t="str">
        <x:f>IF($O627="","",--($O627=-2))</x:f>
      </x:c>
      <x:c r="U627" s="59" t="str">
        <x:f>IF($O627="","",--($O627=1))</x:f>
      </x:c>
      <x:c r="V627" s="59" t="n">
        <x:f>--(AND($I627&lt;&gt;"",$J627&lt;&gt;""))</x:f>
        <x:v>0</x:v>
      </x:c>
    </x:row>
    <x:row r="628">
      <x:c r="A628" s="21" t="str">
        <x:f>INDEX(Config!$B$10:$B$16,INT((ROW()-5)/104)+1)</x:f>
        <x:v>Vitão</x:v>
      </x:c>
      <x:c r="B628" s="21" t="str">
        <x:v>FINAL</x:v>
      </x:c>
      <x:c r="C628" s="21" t="n">
        <x:v>104</x:v>
      </x:c>
      <x:c r="D628" s="21" t="str">
        <x:v>Final</x:v>
      </x:c>
      <x:c r="E628" s="21" t="str">
        <x:v>2026-07-19</x:v>
      </x:c>
      <x:c r="F628" s="21" t="str">
        <x:f>IFERROR(INDEX('Resultados'!$G$5:$G$108,MATCH($B628,'Resultados'!$A$5:$A$108,0)),"")</x:f>
        <x:v>Vencedor M101</x:v>
      </x:c>
      <x:c r="G628" s="21" t="str">
        <x:f>IFERROR(INDEX('Resultados'!$J$5:$J$108,MATCH($B628,'Resultados'!$A$5:$A$108,0)),"")</x:f>
        <x:v>Vencedor M102</x:v>
      </x:c>
      <x:c r="H628" s="21" t="str">
        <x:v>Sim</x:v>
      </x:c>
      <x:c r="I628" s="22"/>
      <x:c r="J628" s="22"/>
      <x:c r="K628" s="23"/>
      <x:c r="L628" s="21" t="str">
        <x:f>IFERROR(INDEX('Resultados'!$H$5:$H$108,MATCH($B628,'Resultados'!$A$5:$A$108,0)),"")</x:f>
      </x:c>
      <x:c r="M628" s="21" t="str">
        <x:f>IFERROR(INDEX('Resultados'!$I$5:$I$108,MATCH($B628,'Resultados'!$A$5:$A$108,0)),"")</x:f>
      </x:c>
      <x:c r="N628" s="21" t="str">
        <x:f>IFERROR(INDEX('Resultados'!$L$5:$L$108,MATCH($B628,'Resultados'!$A$5:$A$108,0)),"")</x:f>
      </x:c>
      <x:c r="O628" s="59" t="str">
        <x:f>IF(OR($I628="",$J628="",$L628="",$M628=""),"",IF(AND($H628="Sim",$L628=$M628),IF($I628&lt;&gt;$J628,0,IF(AND($I628=$L628,$J628=$M628),2,1)),IF(AND($I628=$L628,$J628=$M628),3,IF(AND($I628&lt;&gt;$J628,$I628=$M628,$J628=$L628),-2,IF(SIGN($I628-$J628)=SIGN($L628-$M628),1,0)))))</x:f>
      </x:c>
      <x:c r="P628" s="59" t="str">
        <x:f>IF(OR($H628&lt;&gt;"Sim",$I628="",$J628="",$L628="",$M628=""),"",IF(AND(IF($I628&gt;$J628,$F628,IF($I628&lt;$J628,$G628,$K628))&lt;&gt;"",IF($L628&gt;$M628,$F628,IF($L628&lt;$M628,$G628,$N628))&lt;&gt;"",IF($I628&gt;$J628,$F628,IF($I628&lt;$J628,$G628,$K628))=IF($L628&gt;$M628,$F628,IF($L628&lt;$M628,$G628,$N628))),1,0))</x:f>
      </x:c>
      <x:c r="Q628" s="59" t="str">
        <x:f>IF($O628="","",$O628+$P628)</x:f>
      </x:c>
      <x:c r="R628" s="59" t="str">
        <x:f>IF($Q628="","",IF($O628=3,"Cravada",IF(AND($H628="Sim",$L628=$M628,$I628=$J628,$O628=2),"Empate cravado",IF($O628=1,"Resultado certo",IF($O628=-2,"Invertida",IF($P628=1,"Acertou quem passa","Erro"))))))</x:f>
      </x:c>
      <x:c r="S628" s="59" t="str">
        <x:f>IF($O628="","",--(OR($O628=3,AND($H628="Sim",$L628=$M628,$I628=$J628,$O628=2))))</x:f>
      </x:c>
      <x:c r="T628" s="59" t="str">
        <x:f>IF($O628="","",--($O628=-2))</x:f>
      </x:c>
      <x:c r="U628" s="59" t="str">
        <x:f>IF($O628="","",--($O628=1))</x:f>
      </x:c>
      <x:c r="V628" s="59" t="n">
        <x:f>--(AND($I628&lt;&gt;"",$J628&lt;&gt;""))</x:f>
        <x:v>0</x:v>
      </x:c>
    </x:row>
    <x:row r="629">
      <x:c r="A629" s="21" t="str">
        <x:f>INDEX(Config!$B$10:$B$16,INT((ROW()-5)/104)+1)</x:f>
        <x:v>Thyago</x:v>
      </x:c>
      <x:c r="B629" s="21" t="str">
        <x:v>GA1</x:v>
      </x:c>
      <x:c r="C629" s="21" t="n">
        <x:v>1</x:v>
      </x:c>
      <x:c r="D629" s="21" t="str">
        <x:v>Grupo A</x:v>
      </x:c>
      <x:c r="E629" s="21" t="str">
        <x:v>2026-06-11</x:v>
      </x:c>
      <x:c r="F629" s="21" t="str">
        <x:f>IFERROR(INDEX('Resultados'!$G$5:$G$108,MATCH($B629,'Resultados'!$A$5:$A$108,0)),"")</x:f>
        <x:v>México</x:v>
      </x:c>
      <x:c r="G629" s="21" t="str">
        <x:f>IFERROR(INDEX('Resultados'!$J$5:$J$108,MATCH($B629,'Resultados'!$A$5:$A$108,0)),"")</x:f>
        <x:v>África do Sul</x:v>
      </x:c>
      <x:c r="H629" s="21" t="str">
        <x:v>Não</x:v>
      </x:c>
      <x:c r="I629" s="22"/>
      <x:c r="J629" s="22"/>
      <x:c r="K629" s="23"/>
      <x:c r="L629" s="21" t="str">
        <x:f>IFERROR(INDEX('Resultados'!$H$5:$H$108,MATCH($B629,'Resultados'!$A$5:$A$108,0)),"")</x:f>
      </x:c>
      <x:c r="M629" s="21" t="str">
        <x:f>IFERROR(INDEX('Resultados'!$I$5:$I$108,MATCH($B629,'Resultados'!$A$5:$A$108,0)),"")</x:f>
      </x:c>
      <x:c r="N629" s="21" t="str">
        <x:f>IFERROR(INDEX('Resultados'!$L$5:$L$108,MATCH($B629,'Resultados'!$A$5:$A$108,0)),"")</x:f>
      </x:c>
      <x:c r="O629" s="59" t="str">
        <x:f>IF(OR($I629="",$J629="",$L629="",$M629=""),"",IF(AND($H629="Sim",$L629=$M629),IF($I629&lt;&gt;$J629,0,IF(AND($I629=$L629,$J629=$M629),2,1)),IF(AND($I629=$L629,$J629=$M629),3,IF(AND($I629&lt;&gt;$J629,$I629=$M629,$J629=$L629),-2,IF(SIGN($I629-$J629)=SIGN($L629-$M629),1,0)))))</x:f>
      </x:c>
      <x:c r="P629" s="59" t="str">
        <x:f>IF(OR($H629&lt;&gt;"Sim",$I629="",$J629="",$L629="",$M629=""),"",IF(AND(IF($I629&gt;$J629,$F629,IF($I629&lt;$J629,$G629,$K629))&lt;&gt;"",IF($L629&gt;$M629,$F629,IF($L629&lt;$M629,$G629,$N629))&lt;&gt;"",IF($I629&gt;$J629,$F629,IF($I629&lt;$J629,$G629,$K629))=IF($L629&gt;$M629,$F629,IF($L629&lt;$M629,$G629,$N629))),1,0))</x:f>
      </x:c>
      <x:c r="Q629" s="59" t="str">
        <x:f>IF($O629="","",$O629+$P629)</x:f>
      </x:c>
      <x:c r="R629" s="59" t="str">
        <x:f>IF($Q629="","",IF($O629=3,"Cravada",IF(AND($H629="Sim",$L629=$M629,$I629=$J629,$O629=2),"Empate cravado",IF($O629=1,"Resultado certo",IF($O629=-2,"Invertida",IF($P629=1,"Acertou quem passa","Erro"))))))</x:f>
      </x:c>
      <x:c r="S629" s="59" t="str">
        <x:f>IF($O629="","",--(OR($O629=3,AND($H629="Sim",$L629=$M629,$I629=$J629,$O629=2))))</x:f>
      </x:c>
      <x:c r="T629" s="59" t="str">
        <x:f>IF($O629="","",--($O629=-2))</x:f>
      </x:c>
      <x:c r="U629" s="59" t="str">
        <x:f>IF($O629="","",--($O629=1))</x:f>
      </x:c>
      <x:c r="V629" s="59" t="n">
        <x:f>--(AND($I629&lt;&gt;"",$J629&lt;&gt;""))</x:f>
        <x:v>0</x:v>
      </x:c>
    </x:row>
    <x:row r="630">
      <x:c r="A630" s="21" t="str">
        <x:f>INDEX(Config!$B$10:$B$16,INT((ROW()-5)/104)+1)</x:f>
        <x:v>Thyago</x:v>
      </x:c>
      <x:c r="B630" s="21" t="str">
        <x:v>GA2</x:v>
      </x:c>
      <x:c r="C630" s="21" t="n">
        <x:v>2</x:v>
      </x:c>
      <x:c r="D630" s="21" t="str">
        <x:v>Grupo A</x:v>
      </x:c>
      <x:c r="E630" s="21" t="str">
        <x:v>2026-06-11</x:v>
      </x:c>
      <x:c r="F630" s="21" t="str">
        <x:f>IFERROR(INDEX('Resultados'!$G$5:$G$108,MATCH($B630,'Resultados'!$A$5:$A$108,0)),"")</x:f>
        <x:v>Coreia do Sul</x:v>
      </x:c>
      <x:c r="G630" s="21" t="str">
        <x:f>IFERROR(INDEX('Resultados'!$J$5:$J$108,MATCH($B630,'Resultados'!$A$5:$A$108,0)),"")</x:f>
        <x:v>Rep. Tcheca</x:v>
      </x:c>
      <x:c r="H630" s="21" t="str">
        <x:v>Não</x:v>
      </x:c>
      <x:c r="I630" s="22"/>
      <x:c r="J630" s="22"/>
      <x:c r="K630" s="23"/>
      <x:c r="L630" s="21" t="str">
        <x:f>IFERROR(INDEX('Resultados'!$H$5:$H$108,MATCH($B630,'Resultados'!$A$5:$A$108,0)),"")</x:f>
      </x:c>
      <x:c r="M630" s="21" t="str">
        <x:f>IFERROR(INDEX('Resultados'!$I$5:$I$108,MATCH($B630,'Resultados'!$A$5:$A$108,0)),"")</x:f>
      </x:c>
      <x:c r="N630" s="21" t="str">
        <x:f>IFERROR(INDEX('Resultados'!$L$5:$L$108,MATCH($B630,'Resultados'!$A$5:$A$108,0)),"")</x:f>
      </x:c>
      <x:c r="O630" s="59" t="str">
        <x:f>IF(OR($I630="",$J630="",$L630="",$M630=""),"",IF(AND($H630="Sim",$L630=$M630),IF($I630&lt;&gt;$J630,0,IF(AND($I630=$L630,$J630=$M630),2,1)),IF(AND($I630=$L630,$J630=$M630),3,IF(AND($I630&lt;&gt;$J630,$I630=$M630,$J630=$L630),-2,IF(SIGN($I630-$J630)=SIGN($L630-$M630),1,0)))))</x:f>
      </x:c>
      <x:c r="P630" s="59" t="str">
        <x:f>IF(OR($H630&lt;&gt;"Sim",$I630="",$J630="",$L630="",$M630=""),"",IF(AND(IF($I630&gt;$J630,$F630,IF($I630&lt;$J630,$G630,$K630))&lt;&gt;"",IF($L630&gt;$M630,$F630,IF($L630&lt;$M630,$G630,$N630))&lt;&gt;"",IF($I630&gt;$J630,$F630,IF($I630&lt;$J630,$G630,$K630))=IF($L630&gt;$M630,$F630,IF($L630&lt;$M630,$G630,$N630))),1,0))</x:f>
      </x:c>
      <x:c r="Q630" s="59" t="str">
        <x:f>IF($O630="","",$O630+$P630)</x:f>
      </x:c>
      <x:c r="R630" s="59" t="str">
        <x:f>IF($Q630="","",IF($O630=3,"Cravada",IF(AND($H630="Sim",$L630=$M630,$I630=$J630,$O630=2),"Empate cravado",IF($O630=1,"Resultado certo",IF($O630=-2,"Invertida",IF($P630=1,"Acertou quem passa","Erro"))))))</x:f>
      </x:c>
      <x:c r="S630" s="59" t="str">
        <x:f>IF($O630="","",--(OR($O630=3,AND($H630="Sim",$L630=$M630,$I630=$J630,$O630=2))))</x:f>
      </x:c>
      <x:c r="T630" s="59" t="str">
        <x:f>IF($O630="","",--($O630=-2))</x:f>
      </x:c>
      <x:c r="U630" s="59" t="str">
        <x:f>IF($O630="","",--($O630=1))</x:f>
      </x:c>
      <x:c r="V630" s="59" t="n">
        <x:f>--(AND($I630&lt;&gt;"",$J630&lt;&gt;""))</x:f>
        <x:v>0</x:v>
      </x:c>
    </x:row>
    <x:row r="631">
      <x:c r="A631" s="21" t="str">
        <x:f>INDEX(Config!$B$10:$B$16,INT((ROW()-5)/104)+1)</x:f>
        <x:v>Thyago</x:v>
      </x:c>
      <x:c r="B631" s="21" t="str">
        <x:v>GA3</x:v>
      </x:c>
      <x:c r="C631" s="21" t="n">
        <x:v>3</x:v>
      </x:c>
      <x:c r="D631" s="21" t="str">
        <x:v>Grupo A</x:v>
      </x:c>
      <x:c r="E631" s="21" t="str">
        <x:v>2026-06-18</x:v>
      </x:c>
      <x:c r="F631" s="21" t="str">
        <x:f>IFERROR(INDEX('Resultados'!$G$5:$G$108,MATCH($B631,'Resultados'!$A$5:$A$108,0)),"")</x:f>
        <x:v>México</x:v>
      </x:c>
      <x:c r="G631" s="21" t="str">
        <x:f>IFERROR(INDEX('Resultados'!$J$5:$J$108,MATCH($B631,'Resultados'!$A$5:$A$108,0)),"")</x:f>
        <x:v>Coreia do Sul</x:v>
      </x:c>
      <x:c r="H631" s="21" t="str">
        <x:v>Não</x:v>
      </x:c>
      <x:c r="I631" s="22"/>
      <x:c r="J631" s="22"/>
      <x:c r="K631" s="23"/>
      <x:c r="L631" s="21" t="str">
        <x:f>IFERROR(INDEX('Resultados'!$H$5:$H$108,MATCH($B631,'Resultados'!$A$5:$A$108,0)),"")</x:f>
      </x:c>
      <x:c r="M631" s="21" t="str">
        <x:f>IFERROR(INDEX('Resultados'!$I$5:$I$108,MATCH($B631,'Resultados'!$A$5:$A$108,0)),"")</x:f>
      </x:c>
      <x:c r="N631" s="21" t="str">
        <x:f>IFERROR(INDEX('Resultados'!$L$5:$L$108,MATCH($B631,'Resultados'!$A$5:$A$108,0)),"")</x:f>
      </x:c>
      <x:c r="O631" s="59" t="str">
        <x:f>IF(OR($I631="",$J631="",$L631="",$M631=""),"",IF(AND($H631="Sim",$L631=$M631),IF($I631&lt;&gt;$J631,0,IF(AND($I631=$L631,$J631=$M631),2,1)),IF(AND($I631=$L631,$J631=$M631),3,IF(AND($I631&lt;&gt;$J631,$I631=$M631,$J631=$L631),-2,IF(SIGN($I631-$J631)=SIGN($L631-$M631),1,0)))))</x:f>
      </x:c>
      <x:c r="P631" s="59" t="str">
        <x:f>IF(OR($H631&lt;&gt;"Sim",$I631="",$J631="",$L631="",$M631=""),"",IF(AND(IF($I631&gt;$J631,$F631,IF($I631&lt;$J631,$G631,$K631))&lt;&gt;"",IF($L631&gt;$M631,$F631,IF($L631&lt;$M631,$G631,$N631))&lt;&gt;"",IF($I631&gt;$J631,$F631,IF($I631&lt;$J631,$G631,$K631))=IF($L631&gt;$M631,$F631,IF($L631&lt;$M631,$G631,$N631))),1,0))</x:f>
      </x:c>
      <x:c r="Q631" s="59" t="str">
        <x:f>IF($O631="","",$O631+$P631)</x:f>
      </x:c>
      <x:c r="R631" s="59" t="str">
        <x:f>IF($Q631="","",IF($O631=3,"Cravada",IF(AND($H631="Sim",$L631=$M631,$I631=$J631,$O631=2),"Empate cravado",IF($O631=1,"Resultado certo",IF($O631=-2,"Invertida",IF($P631=1,"Acertou quem passa","Erro"))))))</x:f>
      </x:c>
      <x:c r="S631" s="59" t="str">
        <x:f>IF($O631="","",--(OR($O631=3,AND($H631="Sim",$L631=$M631,$I631=$J631,$O631=2))))</x:f>
      </x:c>
      <x:c r="T631" s="59" t="str">
        <x:f>IF($O631="","",--($O631=-2))</x:f>
      </x:c>
      <x:c r="U631" s="59" t="str">
        <x:f>IF($O631="","",--($O631=1))</x:f>
      </x:c>
      <x:c r="V631" s="59" t="n">
        <x:f>--(AND($I631&lt;&gt;"",$J631&lt;&gt;""))</x:f>
        <x:v>0</x:v>
      </x:c>
    </x:row>
    <x:row r="632">
      <x:c r="A632" s="21" t="str">
        <x:f>INDEX(Config!$B$10:$B$16,INT((ROW()-5)/104)+1)</x:f>
        <x:v>Thyago</x:v>
      </x:c>
      <x:c r="B632" s="21" t="str">
        <x:v>GA4</x:v>
      </x:c>
      <x:c r="C632" s="21" t="n">
        <x:v>4</x:v>
      </x:c>
      <x:c r="D632" s="21" t="str">
        <x:v>Grupo A</x:v>
      </x:c>
      <x:c r="E632" s="21" t="str">
        <x:v>2026-06-18</x:v>
      </x:c>
      <x:c r="F632" s="21" t="str">
        <x:f>IFERROR(INDEX('Resultados'!$G$5:$G$108,MATCH($B632,'Resultados'!$A$5:$A$108,0)),"")</x:f>
        <x:v>África do Sul</x:v>
      </x:c>
      <x:c r="G632" s="21" t="str">
        <x:f>IFERROR(INDEX('Resultados'!$J$5:$J$108,MATCH($B632,'Resultados'!$A$5:$A$108,0)),"")</x:f>
        <x:v>Rep. Tcheca</x:v>
      </x:c>
      <x:c r="H632" s="21" t="str">
        <x:v>Não</x:v>
      </x:c>
      <x:c r="I632" s="22"/>
      <x:c r="J632" s="22"/>
      <x:c r="K632" s="23"/>
      <x:c r="L632" s="21" t="str">
        <x:f>IFERROR(INDEX('Resultados'!$H$5:$H$108,MATCH($B632,'Resultados'!$A$5:$A$108,0)),"")</x:f>
      </x:c>
      <x:c r="M632" s="21" t="str">
        <x:f>IFERROR(INDEX('Resultados'!$I$5:$I$108,MATCH($B632,'Resultados'!$A$5:$A$108,0)),"")</x:f>
      </x:c>
      <x:c r="N632" s="21" t="str">
        <x:f>IFERROR(INDEX('Resultados'!$L$5:$L$108,MATCH($B632,'Resultados'!$A$5:$A$108,0)),"")</x:f>
      </x:c>
      <x:c r="O632" s="59" t="str">
        <x:f>IF(OR($I632="",$J632="",$L632="",$M632=""),"",IF(AND($H632="Sim",$L632=$M632),IF($I632&lt;&gt;$J632,0,IF(AND($I632=$L632,$J632=$M632),2,1)),IF(AND($I632=$L632,$J632=$M632),3,IF(AND($I632&lt;&gt;$J632,$I632=$M632,$J632=$L632),-2,IF(SIGN($I632-$J632)=SIGN($L632-$M632),1,0)))))</x:f>
      </x:c>
      <x:c r="P632" s="59" t="str">
        <x:f>IF(OR($H632&lt;&gt;"Sim",$I632="",$J632="",$L632="",$M632=""),"",IF(AND(IF($I632&gt;$J632,$F632,IF($I632&lt;$J632,$G632,$K632))&lt;&gt;"",IF($L632&gt;$M632,$F632,IF($L632&lt;$M632,$G632,$N632))&lt;&gt;"",IF($I632&gt;$J632,$F632,IF($I632&lt;$J632,$G632,$K632))=IF($L632&gt;$M632,$F632,IF($L632&lt;$M632,$G632,$N632))),1,0))</x:f>
      </x:c>
      <x:c r="Q632" s="59" t="str">
        <x:f>IF($O632="","",$O632+$P632)</x:f>
      </x:c>
      <x:c r="R632" s="59" t="str">
        <x:f>IF($Q632="","",IF($O632=3,"Cravada",IF(AND($H632="Sim",$L632=$M632,$I632=$J632,$O632=2),"Empate cravado",IF($O632=1,"Resultado certo",IF($O632=-2,"Invertida",IF($P632=1,"Acertou quem passa","Erro"))))))</x:f>
      </x:c>
      <x:c r="S632" s="59" t="str">
        <x:f>IF($O632="","",--(OR($O632=3,AND($H632="Sim",$L632=$M632,$I632=$J632,$O632=2))))</x:f>
      </x:c>
      <x:c r="T632" s="59" t="str">
        <x:f>IF($O632="","",--($O632=-2))</x:f>
      </x:c>
      <x:c r="U632" s="59" t="str">
        <x:f>IF($O632="","",--($O632=1))</x:f>
      </x:c>
      <x:c r="V632" s="59" t="n">
        <x:f>--(AND($I632&lt;&gt;"",$J632&lt;&gt;""))</x:f>
        <x:v>0</x:v>
      </x:c>
    </x:row>
    <x:row r="633">
      <x:c r="A633" s="21" t="str">
        <x:f>INDEX(Config!$B$10:$B$16,INT((ROW()-5)/104)+1)</x:f>
        <x:v>Thyago</x:v>
      </x:c>
      <x:c r="B633" s="21" t="str">
        <x:v>GA5</x:v>
      </x:c>
      <x:c r="C633" s="21" t="n">
        <x:v>5</x:v>
      </x:c>
      <x:c r="D633" s="21" t="str">
        <x:v>Grupo A</x:v>
      </x:c>
      <x:c r="E633" s="21" t="str">
        <x:v>2026-06-24</x:v>
      </x:c>
      <x:c r="F633" s="21" t="str">
        <x:f>IFERROR(INDEX('Resultados'!$G$5:$G$108,MATCH($B633,'Resultados'!$A$5:$A$108,0)),"")</x:f>
        <x:v>México</x:v>
      </x:c>
      <x:c r="G633" s="21" t="str">
        <x:f>IFERROR(INDEX('Resultados'!$J$5:$J$108,MATCH($B633,'Resultados'!$A$5:$A$108,0)),"")</x:f>
        <x:v>Rep. Tcheca</x:v>
      </x:c>
      <x:c r="H633" s="21" t="str">
        <x:v>Não</x:v>
      </x:c>
      <x:c r="I633" s="22"/>
      <x:c r="J633" s="22"/>
      <x:c r="K633" s="23"/>
      <x:c r="L633" s="21" t="str">
        <x:f>IFERROR(INDEX('Resultados'!$H$5:$H$108,MATCH($B633,'Resultados'!$A$5:$A$108,0)),"")</x:f>
      </x:c>
      <x:c r="M633" s="21" t="str">
        <x:f>IFERROR(INDEX('Resultados'!$I$5:$I$108,MATCH($B633,'Resultados'!$A$5:$A$108,0)),"")</x:f>
      </x:c>
      <x:c r="N633" s="21" t="str">
        <x:f>IFERROR(INDEX('Resultados'!$L$5:$L$108,MATCH($B633,'Resultados'!$A$5:$A$108,0)),"")</x:f>
      </x:c>
      <x:c r="O633" s="59" t="str">
        <x:f>IF(OR($I633="",$J633="",$L633="",$M633=""),"",IF(AND($H633="Sim",$L633=$M633),IF($I633&lt;&gt;$J633,0,IF(AND($I633=$L633,$J633=$M633),2,1)),IF(AND($I633=$L633,$J633=$M633),3,IF(AND($I633&lt;&gt;$J633,$I633=$M633,$J633=$L633),-2,IF(SIGN($I633-$J633)=SIGN($L633-$M633),1,0)))))</x:f>
      </x:c>
      <x:c r="P633" s="59" t="str">
        <x:f>IF(OR($H633&lt;&gt;"Sim",$I633="",$J633="",$L633="",$M633=""),"",IF(AND(IF($I633&gt;$J633,$F633,IF($I633&lt;$J633,$G633,$K633))&lt;&gt;"",IF($L633&gt;$M633,$F633,IF($L633&lt;$M633,$G633,$N633))&lt;&gt;"",IF($I633&gt;$J633,$F633,IF($I633&lt;$J633,$G633,$K633))=IF($L633&gt;$M633,$F633,IF($L633&lt;$M633,$G633,$N633))),1,0))</x:f>
      </x:c>
      <x:c r="Q633" s="59" t="str">
        <x:f>IF($O633="","",$O633+$P633)</x:f>
      </x:c>
      <x:c r="R633" s="59" t="str">
        <x:f>IF($Q633="","",IF($O633=3,"Cravada",IF(AND($H633="Sim",$L633=$M633,$I633=$J633,$O633=2),"Empate cravado",IF($O633=1,"Resultado certo",IF($O633=-2,"Invertida",IF($P633=1,"Acertou quem passa","Erro"))))))</x:f>
      </x:c>
      <x:c r="S633" s="59" t="str">
        <x:f>IF($O633="","",--(OR($O633=3,AND($H633="Sim",$L633=$M633,$I633=$J633,$O633=2))))</x:f>
      </x:c>
      <x:c r="T633" s="59" t="str">
        <x:f>IF($O633="","",--($O633=-2))</x:f>
      </x:c>
      <x:c r="U633" s="59" t="str">
        <x:f>IF($O633="","",--($O633=1))</x:f>
      </x:c>
      <x:c r="V633" s="59" t="n">
        <x:f>--(AND($I633&lt;&gt;"",$J633&lt;&gt;""))</x:f>
        <x:v>0</x:v>
      </x:c>
    </x:row>
    <x:row r="634">
      <x:c r="A634" s="21" t="str">
        <x:f>INDEX(Config!$B$10:$B$16,INT((ROW()-5)/104)+1)</x:f>
        <x:v>Thyago</x:v>
      </x:c>
      <x:c r="B634" s="21" t="str">
        <x:v>GA6</x:v>
      </x:c>
      <x:c r="C634" s="21" t="n">
        <x:v>6</x:v>
      </x:c>
      <x:c r="D634" s="21" t="str">
        <x:v>Grupo A</x:v>
      </x:c>
      <x:c r="E634" s="21" t="str">
        <x:v>2026-06-24</x:v>
      </x:c>
      <x:c r="F634" s="21" t="str">
        <x:f>IFERROR(INDEX('Resultados'!$G$5:$G$108,MATCH($B634,'Resultados'!$A$5:$A$108,0)),"")</x:f>
        <x:v>África do Sul</x:v>
      </x:c>
      <x:c r="G634" s="21" t="str">
        <x:f>IFERROR(INDEX('Resultados'!$J$5:$J$108,MATCH($B634,'Resultados'!$A$5:$A$108,0)),"")</x:f>
        <x:v>Coreia do Sul</x:v>
      </x:c>
      <x:c r="H634" s="21" t="str">
        <x:v>Não</x:v>
      </x:c>
      <x:c r="I634" s="22"/>
      <x:c r="J634" s="22"/>
      <x:c r="K634" s="23"/>
      <x:c r="L634" s="21" t="str">
        <x:f>IFERROR(INDEX('Resultados'!$H$5:$H$108,MATCH($B634,'Resultados'!$A$5:$A$108,0)),"")</x:f>
      </x:c>
      <x:c r="M634" s="21" t="str">
        <x:f>IFERROR(INDEX('Resultados'!$I$5:$I$108,MATCH($B634,'Resultados'!$A$5:$A$108,0)),"")</x:f>
      </x:c>
      <x:c r="N634" s="21" t="str">
        <x:f>IFERROR(INDEX('Resultados'!$L$5:$L$108,MATCH($B634,'Resultados'!$A$5:$A$108,0)),"")</x:f>
      </x:c>
      <x:c r="O634" s="59" t="str">
        <x:f>IF(OR($I634="",$J634="",$L634="",$M634=""),"",IF(AND($H634="Sim",$L634=$M634),IF($I634&lt;&gt;$J634,0,IF(AND($I634=$L634,$J634=$M634),2,1)),IF(AND($I634=$L634,$J634=$M634),3,IF(AND($I634&lt;&gt;$J634,$I634=$M634,$J634=$L634),-2,IF(SIGN($I634-$J634)=SIGN($L634-$M634),1,0)))))</x:f>
      </x:c>
      <x:c r="P634" s="59" t="str">
        <x:f>IF(OR($H634&lt;&gt;"Sim",$I634="",$J634="",$L634="",$M634=""),"",IF(AND(IF($I634&gt;$J634,$F634,IF($I634&lt;$J634,$G634,$K634))&lt;&gt;"",IF($L634&gt;$M634,$F634,IF($L634&lt;$M634,$G634,$N634))&lt;&gt;"",IF($I634&gt;$J634,$F634,IF($I634&lt;$J634,$G634,$K634))=IF($L634&gt;$M634,$F634,IF($L634&lt;$M634,$G634,$N634))),1,0))</x:f>
      </x:c>
      <x:c r="Q634" s="59" t="str">
        <x:f>IF($O634="","",$O634+$P634)</x:f>
      </x:c>
      <x:c r="R634" s="59" t="str">
        <x:f>IF($Q634="","",IF($O634=3,"Cravada",IF(AND($H634="Sim",$L634=$M634,$I634=$J634,$O634=2),"Empate cravado",IF($O634=1,"Resultado certo",IF($O634=-2,"Invertida",IF($P634=1,"Acertou quem passa","Erro"))))))</x:f>
      </x:c>
      <x:c r="S634" s="59" t="str">
        <x:f>IF($O634="","",--(OR($O634=3,AND($H634="Sim",$L634=$M634,$I634=$J634,$O634=2))))</x:f>
      </x:c>
      <x:c r="T634" s="59" t="str">
        <x:f>IF($O634="","",--($O634=-2))</x:f>
      </x:c>
      <x:c r="U634" s="59" t="str">
        <x:f>IF($O634="","",--($O634=1))</x:f>
      </x:c>
      <x:c r="V634" s="59" t="n">
        <x:f>--(AND($I634&lt;&gt;"",$J634&lt;&gt;""))</x:f>
        <x:v>0</x:v>
      </x:c>
    </x:row>
    <x:row r="635">
      <x:c r="A635" s="21" t="str">
        <x:f>INDEX(Config!$B$10:$B$16,INT((ROW()-5)/104)+1)</x:f>
        <x:v>Thyago</x:v>
      </x:c>
      <x:c r="B635" s="21" t="str">
        <x:v>GB1</x:v>
      </x:c>
      <x:c r="C635" s="21" t="n">
        <x:v>7</x:v>
      </x:c>
      <x:c r="D635" s="21" t="str">
        <x:v>Grupo B</x:v>
      </x:c>
      <x:c r="E635" s="21" t="str">
        <x:v>2026-06-12</x:v>
      </x:c>
      <x:c r="F635" s="21" t="str">
        <x:f>IFERROR(INDEX('Resultados'!$G$5:$G$108,MATCH($B635,'Resultados'!$A$5:$A$108,0)),"")</x:f>
        <x:v>Canadá</x:v>
      </x:c>
      <x:c r="G635" s="21" t="str">
        <x:f>IFERROR(INDEX('Resultados'!$J$5:$J$108,MATCH($B635,'Resultados'!$A$5:$A$108,0)),"")</x:f>
        <x:v>Bósnia-Herzegovina</x:v>
      </x:c>
      <x:c r="H635" s="21" t="str">
        <x:v>Não</x:v>
      </x:c>
      <x:c r="I635" s="22"/>
      <x:c r="J635" s="22"/>
      <x:c r="K635" s="23"/>
      <x:c r="L635" s="21" t="str">
        <x:f>IFERROR(INDEX('Resultados'!$H$5:$H$108,MATCH($B635,'Resultados'!$A$5:$A$108,0)),"")</x:f>
      </x:c>
      <x:c r="M635" s="21" t="str">
        <x:f>IFERROR(INDEX('Resultados'!$I$5:$I$108,MATCH($B635,'Resultados'!$A$5:$A$108,0)),"")</x:f>
      </x:c>
      <x:c r="N635" s="21" t="str">
        <x:f>IFERROR(INDEX('Resultados'!$L$5:$L$108,MATCH($B635,'Resultados'!$A$5:$A$108,0)),"")</x:f>
      </x:c>
      <x:c r="O635" s="59" t="str">
        <x:f>IF(OR($I635="",$J635="",$L635="",$M635=""),"",IF(AND($H635="Sim",$L635=$M635),IF($I635&lt;&gt;$J635,0,IF(AND($I635=$L635,$J635=$M635),2,1)),IF(AND($I635=$L635,$J635=$M635),3,IF(AND($I635&lt;&gt;$J635,$I635=$M635,$J635=$L635),-2,IF(SIGN($I635-$J635)=SIGN($L635-$M635),1,0)))))</x:f>
      </x:c>
      <x:c r="P635" s="59" t="str">
        <x:f>IF(OR($H635&lt;&gt;"Sim",$I635="",$J635="",$L635="",$M635=""),"",IF(AND(IF($I635&gt;$J635,$F635,IF($I635&lt;$J635,$G635,$K635))&lt;&gt;"",IF($L635&gt;$M635,$F635,IF($L635&lt;$M635,$G635,$N635))&lt;&gt;"",IF($I635&gt;$J635,$F635,IF($I635&lt;$J635,$G635,$K635))=IF($L635&gt;$M635,$F635,IF($L635&lt;$M635,$G635,$N635))),1,0))</x:f>
      </x:c>
      <x:c r="Q635" s="59" t="str">
        <x:f>IF($O635="","",$O635+$P635)</x:f>
      </x:c>
      <x:c r="R635" s="59" t="str">
        <x:f>IF($Q635="","",IF($O635=3,"Cravada",IF(AND($H635="Sim",$L635=$M635,$I635=$J635,$O635=2),"Empate cravado",IF($O635=1,"Resultado certo",IF($O635=-2,"Invertida",IF($P635=1,"Acertou quem passa","Erro"))))))</x:f>
      </x:c>
      <x:c r="S635" s="59" t="str">
        <x:f>IF($O635="","",--(OR($O635=3,AND($H635="Sim",$L635=$M635,$I635=$J635,$O635=2))))</x:f>
      </x:c>
      <x:c r="T635" s="59" t="str">
        <x:f>IF($O635="","",--($O635=-2))</x:f>
      </x:c>
      <x:c r="U635" s="59" t="str">
        <x:f>IF($O635="","",--($O635=1))</x:f>
      </x:c>
      <x:c r="V635" s="59" t="n">
        <x:f>--(AND($I635&lt;&gt;"",$J635&lt;&gt;""))</x:f>
        <x:v>0</x:v>
      </x:c>
    </x:row>
    <x:row r="636">
      <x:c r="A636" s="21" t="str">
        <x:f>INDEX(Config!$B$10:$B$16,INT((ROW()-5)/104)+1)</x:f>
        <x:v>Thyago</x:v>
      </x:c>
      <x:c r="B636" s="21" t="str">
        <x:v>GB2</x:v>
      </x:c>
      <x:c r="C636" s="21" t="n">
        <x:v>8</x:v>
      </x:c>
      <x:c r="D636" s="21" t="str">
        <x:v>Grupo B</x:v>
      </x:c>
      <x:c r="E636" s="21" t="str">
        <x:v>2026-06-13</x:v>
      </x:c>
      <x:c r="F636" s="21" t="str">
        <x:f>IFERROR(INDEX('Resultados'!$G$5:$G$108,MATCH($B636,'Resultados'!$A$5:$A$108,0)),"")</x:f>
        <x:v>Catar</x:v>
      </x:c>
      <x:c r="G636" s="21" t="str">
        <x:f>IFERROR(INDEX('Resultados'!$J$5:$J$108,MATCH($B636,'Resultados'!$A$5:$A$108,0)),"")</x:f>
        <x:v>Suíça</x:v>
      </x:c>
      <x:c r="H636" s="21" t="str">
        <x:v>Não</x:v>
      </x:c>
      <x:c r="I636" s="22"/>
      <x:c r="J636" s="22"/>
      <x:c r="K636" s="23"/>
      <x:c r="L636" s="21" t="str">
        <x:f>IFERROR(INDEX('Resultados'!$H$5:$H$108,MATCH($B636,'Resultados'!$A$5:$A$108,0)),"")</x:f>
      </x:c>
      <x:c r="M636" s="21" t="str">
        <x:f>IFERROR(INDEX('Resultados'!$I$5:$I$108,MATCH($B636,'Resultados'!$A$5:$A$108,0)),"")</x:f>
      </x:c>
      <x:c r="N636" s="21" t="str">
        <x:f>IFERROR(INDEX('Resultados'!$L$5:$L$108,MATCH($B636,'Resultados'!$A$5:$A$108,0)),"")</x:f>
      </x:c>
      <x:c r="O636" s="59" t="str">
        <x:f>IF(OR($I636="",$J636="",$L636="",$M636=""),"",IF(AND($H636="Sim",$L636=$M636),IF($I636&lt;&gt;$J636,0,IF(AND($I636=$L636,$J636=$M636),2,1)),IF(AND($I636=$L636,$J636=$M636),3,IF(AND($I636&lt;&gt;$J636,$I636=$M636,$J636=$L636),-2,IF(SIGN($I636-$J636)=SIGN($L636-$M636),1,0)))))</x:f>
      </x:c>
      <x:c r="P636" s="59" t="str">
        <x:f>IF(OR($H636&lt;&gt;"Sim",$I636="",$J636="",$L636="",$M636=""),"",IF(AND(IF($I636&gt;$J636,$F636,IF($I636&lt;$J636,$G636,$K636))&lt;&gt;"",IF($L636&gt;$M636,$F636,IF($L636&lt;$M636,$G636,$N636))&lt;&gt;"",IF($I636&gt;$J636,$F636,IF($I636&lt;$J636,$G636,$K636))=IF($L636&gt;$M636,$F636,IF($L636&lt;$M636,$G636,$N636))),1,0))</x:f>
      </x:c>
      <x:c r="Q636" s="59" t="str">
        <x:f>IF($O636="","",$O636+$P636)</x:f>
      </x:c>
      <x:c r="R636" s="59" t="str">
        <x:f>IF($Q636="","",IF($O636=3,"Cravada",IF(AND($H636="Sim",$L636=$M636,$I636=$J636,$O636=2),"Empate cravado",IF($O636=1,"Resultado certo",IF($O636=-2,"Invertida",IF($P636=1,"Acertou quem passa","Erro"))))))</x:f>
      </x:c>
      <x:c r="S636" s="59" t="str">
        <x:f>IF($O636="","",--(OR($O636=3,AND($H636="Sim",$L636=$M636,$I636=$J636,$O636=2))))</x:f>
      </x:c>
      <x:c r="T636" s="59" t="str">
        <x:f>IF($O636="","",--($O636=-2))</x:f>
      </x:c>
      <x:c r="U636" s="59" t="str">
        <x:f>IF($O636="","",--($O636=1))</x:f>
      </x:c>
      <x:c r="V636" s="59" t="n">
        <x:f>--(AND($I636&lt;&gt;"",$J636&lt;&gt;""))</x:f>
        <x:v>0</x:v>
      </x:c>
    </x:row>
    <x:row r="637">
      <x:c r="A637" s="21" t="str">
        <x:f>INDEX(Config!$B$10:$B$16,INT((ROW()-5)/104)+1)</x:f>
        <x:v>Thyago</x:v>
      </x:c>
      <x:c r="B637" s="21" t="str">
        <x:v>GB3</x:v>
      </x:c>
      <x:c r="C637" s="21" t="n">
        <x:v>9</x:v>
      </x:c>
      <x:c r="D637" s="21" t="str">
        <x:v>Grupo B</x:v>
      </x:c>
      <x:c r="E637" s="21" t="str">
        <x:v>2026-06-18</x:v>
      </x:c>
      <x:c r="F637" s="21" t="str">
        <x:f>IFERROR(INDEX('Resultados'!$G$5:$G$108,MATCH($B637,'Resultados'!$A$5:$A$108,0)),"")</x:f>
        <x:v>Canadá</x:v>
      </x:c>
      <x:c r="G637" s="21" t="str">
        <x:f>IFERROR(INDEX('Resultados'!$J$5:$J$108,MATCH($B637,'Resultados'!$A$5:$A$108,0)),"")</x:f>
        <x:v>Catar</x:v>
      </x:c>
      <x:c r="H637" s="21" t="str">
        <x:v>Não</x:v>
      </x:c>
      <x:c r="I637" s="22"/>
      <x:c r="J637" s="22"/>
      <x:c r="K637" s="23"/>
      <x:c r="L637" s="21" t="str">
        <x:f>IFERROR(INDEX('Resultados'!$H$5:$H$108,MATCH($B637,'Resultados'!$A$5:$A$108,0)),"")</x:f>
      </x:c>
      <x:c r="M637" s="21" t="str">
        <x:f>IFERROR(INDEX('Resultados'!$I$5:$I$108,MATCH($B637,'Resultados'!$A$5:$A$108,0)),"")</x:f>
      </x:c>
      <x:c r="N637" s="21" t="str">
        <x:f>IFERROR(INDEX('Resultados'!$L$5:$L$108,MATCH($B637,'Resultados'!$A$5:$A$108,0)),"")</x:f>
      </x:c>
      <x:c r="O637" s="59" t="str">
        <x:f>IF(OR($I637="",$J637="",$L637="",$M637=""),"",IF(AND($H637="Sim",$L637=$M637),IF($I637&lt;&gt;$J637,0,IF(AND($I637=$L637,$J637=$M637),2,1)),IF(AND($I637=$L637,$J637=$M637),3,IF(AND($I637&lt;&gt;$J637,$I637=$M637,$J637=$L637),-2,IF(SIGN($I637-$J637)=SIGN($L637-$M637),1,0)))))</x:f>
      </x:c>
      <x:c r="P637" s="59" t="str">
        <x:f>IF(OR($H637&lt;&gt;"Sim",$I637="",$J637="",$L637="",$M637=""),"",IF(AND(IF($I637&gt;$J637,$F637,IF($I637&lt;$J637,$G637,$K637))&lt;&gt;"",IF($L637&gt;$M637,$F637,IF($L637&lt;$M637,$G637,$N637))&lt;&gt;"",IF($I637&gt;$J637,$F637,IF($I637&lt;$J637,$G637,$K637))=IF($L637&gt;$M637,$F637,IF($L637&lt;$M637,$G637,$N637))),1,0))</x:f>
      </x:c>
      <x:c r="Q637" s="59" t="str">
        <x:f>IF($O637="","",$O637+$P637)</x:f>
      </x:c>
      <x:c r="R637" s="59" t="str">
        <x:f>IF($Q637="","",IF($O637=3,"Cravada",IF(AND($H637="Sim",$L637=$M637,$I637=$J637,$O637=2),"Empate cravado",IF($O637=1,"Resultado certo",IF($O637=-2,"Invertida",IF($P637=1,"Acertou quem passa","Erro"))))))</x:f>
      </x:c>
      <x:c r="S637" s="59" t="str">
        <x:f>IF($O637="","",--(OR($O637=3,AND($H637="Sim",$L637=$M637,$I637=$J637,$O637=2))))</x:f>
      </x:c>
      <x:c r="T637" s="59" t="str">
        <x:f>IF($O637="","",--($O637=-2))</x:f>
      </x:c>
      <x:c r="U637" s="59" t="str">
        <x:f>IF($O637="","",--($O637=1))</x:f>
      </x:c>
      <x:c r="V637" s="59" t="n">
        <x:f>--(AND($I637&lt;&gt;"",$J637&lt;&gt;""))</x:f>
        <x:v>0</x:v>
      </x:c>
    </x:row>
    <x:row r="638">
      <x:c r="A638" s="21" t="str">
        <x:f>INDEX(Config!$B$10:$B$16,INT((ROW()-5)/104)+1)</x:f>
        <x:v>Thyago</x:v>
      </x:c>
      <x:c r="B638" s="21" t="str">
        <x:v>GB4</x:v>
      </x:c>
      <x:c r="C638" s="21" t="n">
        <x:v>10</x:v>
      </x:c>
      <x:c r="D638" s="21" t="str">
        <x:v>Grupo B</x:v>
      </x:c>
      <x:c r="E638" s="21" t="str">
        <x:v>2026-06-18</x:v>
      </x:c>
      <x:c r="F638" s="21" t="str">
        <x:f>IFERROR(INDEX('Resultados'!$G$5:$G$108,MATCH($B638,'Resultados'!$A$5:$A$108,0)),"")</x:f>
        <x:v>Bósnia-Herzegovina</x:v>
      </x:c>
      <x:c r="G638" s="21" t="str">
        <x:f>IFERROR(INDEX('Resultados'!$J$5:$J$108,MATCH($B638,'Resultados'!$A$5:$A$108,0)),"")</x:f>
        <x:v>Suíça</x:v>
      </x:c>
      <x:c r="H638" s="21" t="str">
        <x:v>Não</x:v>
      </x:c>
      <x:c r="I638" s="22"/>
      <x:c r="J638" s="22"/>
      <x:c r="K638" s="23"/>
      <x:c r="L638" s="21" t="str">
        <x:f>IFERROR(INDEX('Resultados'!$H$5:$H$108,MATCH($B638,'Resultados'!$A$5:$A$108,0)),"")</x:f>
      </x:c>
      <x:c r="M638" s="21" t="str">
        <x:f>IFERROR(INDEX('Resultados'!$I$5:$I$108,MATCH($B638,'Resultados'!$A$5:$A$108,0)),"")</x:f>
      </x:c>
      <x:c r="N638" s="21" t="str">
        <x:f>IFERROR(INDEX('Resultados'!$L$5:$L$108,MATCH($B638,'Resultados'!$A$5:$A$108,0)),"")</x:f>
      </x:c>
      <x:c r="O638" s="59" t="str">
        <x:f>IF(OR($I638="",$J638="",$L638="",$M638=""),"",IF(AND($H638="Sim",$L638=$M638),IF($I638&lt;&gt;$J638,0,IF(AND($I638=$L638,$J638=$M638),2,1)),IF(AND($I638=$L638,$J638=$M638),3,IF(AND($I638&lt;&gt;$J638,$I638=$M638,$J638=$L638),-2,IF(SIGN($I638-$J638)=SIGN($L638-$M638),1,0)))))</x:f>
      </x:c>
      <x:c r="P638" s="59" t="str">
        <x:f>IF(OR($H638&lt;&gt;"Sim",$I638="",$J638="",$L638="",$M638=""),"",IF(AND(IF($I638&gt;$J638,$F638,IF($I638&lt;$J638,$G638,$K638))&lt;&gt;"",IF($L638&gt;$M638,$F638,IF($L638&lt;$M638,$G638,$N638))&lt;&gt;"",IF($I638&gt;$J638,$F638,IF($I638&lt;$J638,$G638,$K638))=IF($L638&gt;$M638,$F638,IF($L638&lt;$M638,$G638,$N638))),1,0))</x:f>
      </x:c>
      <x:c r="Q638" s="59" t="str">
        <x:f>IF($O638="","",$O638+$P638)</x:f>
      </x:c>
      <x:c r="R638" s="59" t="str">
        <x:f>IF($Q638="","",IF($O638=3,"Cravada",IF(AND($H638="Sim",$L638=$M638,$I638=$J638,$O638=2),"Empate cravado",IF($O638=1,"Resultado certo",IF($O638=-2,"Invertida",IF($P638=1,"Acertou quem passa","Erro"))))))</x:f>
      </x:c>
      <x:c r="S638" s="59" t="str">
        <x:f>IF($O638="","",--(OR($O638=3,AND($H638="Sim",$L638=$M638,$I638=$J638,$O638=2))))</x:f>
      </x:c>
      <x:c r="T638" s="59" t="str">
        <x:f>IF($O638="","",--($O638=-2))</x:f>
      </x:c>
      <x:c r="U638" s="59" t="str">
        <x:f>IF($O638="","",--($O638=1))</x:f>
      </x:c>
      <x:c r="V638" s="59" t="n">
        <x:f>--(AND($I638&lt;&gt;"",$J638&lt;&gt;""))</x:f>
        <x:v>0</x:v>
      </x:c>
    </x:row>
    <x:row r="639">
      <x:c r="A639" s="21" t="str">
        <x:f>INDEX(Config!$B$10:$B$16,INT((ROW()-5)/104)+1)</x:f>
        <x:v>Thyago</x:v>
      </x:c>
      <x:c r="B639" s="21" t="str">
        <x:v>GB5</x:v>
      </x:c>
      <x:c r="C639" s="21" t="n">
        <x:v>11</x:v>
      </x:c>
      <x:c r="D639" s="21" t="str">
        <x:v>Grupo B</x:v>
      </x:c>
      <x:c r="E639" s="21" t="str">
        <x:v>2026-06-24</x:v>
      </x:c>
      <x:c r="F639" s="21" t="str">
        <x:f>IFERROR(INDEX('Resultados'!$G$5:$G$108,MATCH($B639,'Resultados'!$A$5:$A$108,0)),"")</x:f>
        <x:v>Canadá</x:v>
      </x:c>
      <x:c r="G639" s="21" t="str">
        <x:f>IFERROR(INDEX('Resultados'!$J$5:$J$108,MATCH($B639,'Resultados'!$A$5:$A$108,0)),"")</x:f>
        <x:v>Suíça</x:v>
      </x:c>
      <x:c r="H639" s="21" t="str">
        <x:v>Não</x:v>
      </x:c>
      <x:c r="I639" s="22"/>
      <x:c r="J639" s="22"/>
      <x:c r="K639" s="23"/>
      <x:c r="L639" s="21" t="str">
        <x:f>IFERROR(INDEX('Resultados'!$H$5:$H$108,MATCH($B639,'Resultados'!$A$5:$A$108,0)),"")</x:f>
      </x:c>
      <x:c r="M639" s="21" t="str">
        <x:f>IFERROR(INDEX('Resultados'!$I$5:$I$108,MATCH($B639,'Resultados'!$A$5:$A$108,0)),"")</x:f>
      </x:c>
      <x:c r="N639" s="21" t="str">
        <x:f>IFERROR(INDEX('Resultados'!$L$5:$L$108,MATCH($B639,'Resultados'!$A$5:$A$108,0)),"")</x:f>
      </x:c>
      <x:c r="O639" s="59" t="str">
        <x:f>IF(OR($I639="",$J639="",$L639="",$M639=""),"",IF(AND($H639="Sim",$L639=$M639),IF($I639&lt;&gt;$J639,0,IF(AND($I639=$L639,$J639=$M639),2,1)),IF(AND($I639=$L639,$J639=$M639),3,IF(AND($I639&lt;&gt;$J639,$I639=$M639,$J639=$L639),-2,IF(SIGN($I639-$J639)=SIGN($L639-$M639),1,0)))))</x:f>
      </x:c>
      <x:c r="P639" s="59" t="str">
        <x:f>IF(OR($H639&lt;&gt;"Sim",$I639="",$J639="",$L639="",$M639=""),"",IF(AND(IF($I639&gt;$J639,$F639,IF($I639&lt;$J639,$G639,$K639))&lt;&gt;"",IF($L639&gt;$M639,$F639,IF($L639&lt;$M639,$G639,$N639))&lt;&gt;"",IF($I639&gt;$J639,$F639,IF($I639&lt;$J639,$G639,$K639))=IF($L639&gt;$M639,$F639,IF($L639&lt;$M639,$G639,$N639))),1,0))</x:f>
      </x:c>
      <x:c r="Q639" s="59" t="str">
        <x:f>IF($O639="","",$O639+$P639)</x:f>
      </x:c>
      <x:c r="R639" s="59" t="str">
        <x:f>IF($Q639="","",IF($O639=3,"Cravada",IF(AND($H639="Sim",$L639=$M639,$I639=$J639,$O639=2),"Empate cravado",IF($O639=1,"Resultado certo",IF($O639=-2,"Invertida",IF($P639=1,"Acertou quem passa","Erro"))))))</x:f>
      </x:c>
      <x:c r="S639" s="59" t="str">
        <x:f>IF($O639="","",--(OR($O639=3,AND($H639="Sim",$L639=$M639,$I639=$J639,$O639=2))))</x:f>
      </x:c>
      <x:c r="T639" s="59" t="str">
        <x:f>IF($O639="","",--($O639=-2))</x:f>
      </x:c>
      <x:c r="U639" s="59" t="str">
        <x:f>IF($O639="","",--($O639=1))</x:f>
      </x:c>
      <x:c r="V639" s="59" t="n">
        <x:f>--(AND($I639&lt;&gt;"",$J639&lt;&gt;""))</x:f>
        <x:v>0</x:v>
      </x:c>
    </x:row>
    <x:row r="640">
      <x:c r="A640" s="21" t="str">
        <x:f>INDEX(Config!$B$10:$B$16,INT((ROW()-5)/104)+1)</x:f>
        <x:v>Thyago</x:v>
      </x:c>
      <x:c r="B640" s="21" t="str">
        <x:v>GB6</x:v>
      </x:c>
      <x:c r="C640" s="21" t="n">
        <x:v>12</x:v>
      </x:c>
      <x:c r="D640" s="21" t="str">
        <x:v>Grupo B</x:v>
      </x:c>
      <x:c r="E640" s="21" t="str">
        <x:v>2026-06-24</x:v>
      </x:c>
      <x:c r="F640" s="21" t="str">
        <x:f>IFERROR(INDEX('Resultados'!$G$5:$G$108,MATCH($B640,'Resultados'!$A$5:$A$108,0)),"")</x:f>
        <x:v>Bósnia-Herzegovina</x:v>
      </x:c>
      <x:c r="G640" s="21" t="str">
        <x:f>IFERROR(INDEX('Resultados'!$J$5:$J$108,MATCH($B640,'Resultados'!$A$5:$A$108,0)),"")</x:f>
        <x:v>Catar</x:v>
      </x:c>
      <x:c r="H640" s="21" t="str">
        <x:v>Não</x:v>
      </x:c>
      <x:c r="I640" s="22"/>
      <x:c r="J640" s="22"/>
      <x:c r="K640" s="23"/>
      <x:c r="L640" s="21" t="str">
        <x:f>IFERROR(INDEX('Resultados'!$H$5:$H$108,MATCH($B640,'Resultados'!$A$5:$A$108,0)),"")</x:f>
      </x:c>
      <x:c r="M640" s="21" t="str">
        <x:f>IFERROR(INDEX('Resultados'!$I$5:$I$108,MATCH($B640,'Resultados'!$A$5:$A$108,0)),"")</x:f>
      </x:c>
      <x:c r="N640" s="21" t="str">
        <x:f>IFERROR(INDEX('Resultados'!$L$5:$L$108,MATCH($B640,'Resultados'!$A$5:$A$108,0)),"")</x:f>
      </x:c>
      <x:c r="O640" s="59" t="str">
        <x:f>IF(OR($I640="",$J640="",$L640="",$M640=""),"",IF(AND($H640="Sim",$L640=$M640),IF($I640&lt;&gt;$J640,0,IF(AND($I640=$L640,$J640=$M640),2,1)),IF(AND($I640=$L640,$J640=$M640),3,IF(AND($I640&lt;&gt;$J640,$I640=$M640,$J640=$L640),-2,IF(SIGN($I640-$J640)=SIGN($L640-$M640),1,0)))))</x:f>
      </x:c>
      <x:c r="P640" s="59" t="str">
        <x:f>IF(OR($H640&lt;&gt;"Sim",$I640="",$J640="",$L640="",$M640=""),"",IF(AND(IF($I640&gt;$J640,$F640,IF($I640&lt;$J640,$G640,$K640))&lt;&gt;"",IF($L640&gt;$M640,$F640,IF($L640&lt;$M640,$G640,$N640))&lt;&gt;"",IF($I640&gt;$J640,$F640,IF($I640&lt;$J640,$G640,$K640))=IF($L640&gt;$M640,$F640,IF($L640&lt;$M640,$G640,$N640))),1,0))</x:f>
      </x:c>
      <x:c r="Q640" s="59" t="str">
        <x:f>IF($O640="","",$O640+$P640)</x:f>
      </x:c>
      <x:c r="R640" s="59" t="str">
        <x:f>IF($Q640="","",IF($O640=3,"Cravada",IF(AND($H640="Sim",$L640=$M640,$I640=$J640,$O640=2),"Empate cravado",IF($O640=1,"Resultado certo",IF($O640=-2,"Invertida",IF($P640=1,"Acertou quem passa","Erro"))))))</x:f>
      </x:c>
      <x:c r="S640" s="59" t="str">
        <x:f>IF($O640="","",--(OR($O640=3,AND($H640="Sim",$L640=$M640,$I640=$J640,$O640=2))))</x:f>
      </x:c>
      <x:c r="T640" s="59" t="str">
        <x:f>IF($O640="","",--($O640=-2))</x:f>
      </x:c>
      <x:c r="U640" s="59" t="str">
        <x:f>IF($O640="","",--($O640=1))</x:f>
      </x:c>
      <x:c r="V640" s="59" t="n">
        <x:f>--(AND($I640&lt;&gt;"",$J640&lt;&gt;""))</x:f>
        <x:v>0</x:v>
      </x:c>
    </x:row>
    <x:row r="641">
      <x:c r="A641" s="21" t="str">
        <x:f>INDEX(Config!$B$10:$B$16,INT((ROW()-5)/104)+1)</x:f>
        <x:v>Thyago</x:v>
      </x:c>
      <x:c r="B641" s="21" t="str">
        <x:v>GC1</x:v>
      </x:c>
      <x:c r="C641" s="21" t="n">
        <x:v>13</x:v>
      </x:c>
      <x:c r="D641" s="21" t="str">
        <x:v>Grupo C</x:v>
      </x:c>
      <x:c r="E641" s="21" t="str">
        <x:v>2026-06-13</x:v>
      </x:c>
      <x:c r="F641" s="21" t="str">
        <x:f>IFERROR(INDEX('Resultados'!$G$5:$G$108,MATCH($B641,'Resultados'!$A$5:$A$108,0)),"")</x:f>
        <x:v>Brasil</x:v>
      </x:c>
      <x:c r="G641" s="21" t="str">
        <x:f>IFERROR(INDEX('Resultados'!$J$5:$J$108,MATCH($B641,'Resultados'!$A$5:$A$108,0)),"")</x:f>
        <x:v>Marrocos</x:v>
      </x:c>
      <x:c r="H641" s="21" t="str">
        <x:v>Não</x:v>
      </x:c>
      <x:c r="I641" s="22"/>
      <x:c r="J641" s="22"/>
      <x:c r="K641" s="23"/>
      <x:c r="L641" s="21" t="str">
        <x:f>IFERROR(INDEX('Resultados'!$H$5:$H$108,MATCH($B641,'Resultados'!$A$5:$A$108,0)),"")</x:f>
      </x:c>
      <x:c r="M641" s="21" t="str">
        <x:f>IFERROR(INDEX('Resultados'!$I$5:$I$108,MATCH($B641,'Resultados'!$A$5:$A$108,0)),"")</x:f>
      </x:c>
      <x:c r="N641" s="21" t="str">
        <x:f>IFERROR(INDEX('Resultados'!$L$5:$L$108,MATCH($B641,'Resultados'!$A$5:$A$108,0)),"")</x:f>
      </x:c>
      <x:c r="O641" s="59" t="str">
        <x:f>IF(OR($I641="",$J641="",$L641="",$M641=""),"",IF(AND($H641="Sim",$L641=$M641),IF($I641&lt;&gt;$J641,0,IF(AND($I641=$L641,$J641=$M641),2,1)),IF(AND($I641=$L641,$J641=$M641),3,IF(AND($I641&lt;&gt;$J641,$I641=$M641,$J641=$L641),-2,IF(SIGN($I641-$J641)=SIGN($L641-$M641),1,0)))))</x:f>
      </x:c>
      <x:c r="P641" s="59" t="str">
        <x:f>IF(OR($H641&lt;&gt;"Sim",$I641="",$J641="",$L641="",$M641=""),"",IF(AND(IF($I641&gt;$J641,$F641,IF($I641&lt;$J641,$G641,$K641))&lt;&gt;"",IF($L641&gt;$M641,$F641,IF($L641&lt;$M641,$G641,$N641))&lt;&gt;"",IF($I641&gt;$J641,$F641,IF($I641&lt;$J641,$G641,$K641))=IF($L641&gt;$M641,$F641,IF($L641&lt;$M641,$G641,$N641))),1,0))</x:f>
      </x:c>
      <x:c r="Q641" s="59" t="str">
        <x:f>IF($O641="","",$O641+$P641)</x:f>
      </x:c>
      <x:c r="R641" s="59" t="str">
        <x:f>IF($Q641="","",IF($O641=3,"Cravada",IF(AND($H641="Sim",$L641=$M641,$I641=$J641,$O641=2),"Empate cravado",IF($O641=1,"Resultado certo",IF($O641=-2,"Invertida",IF($P641=1,"Acertou quem passa","Erro"))))))</x:f>
      </x:c>
      <x:c r="S641" s="59" t="str">
        <x:f>IF($O641="","",--(OR($O641=3,AND($H641="Sim",$L641=$M641,$I641=$J641,$O641=2))))</x:f>
      </x:c>
      <x:c r="T641" s="59" t="str">
        <x:f>IF($O641="","",--($O641=-2))</x:f>
      </x:c>
      <x:c r="U641" s="59" t="str">
        <x:f>IF($O641="","",--($O641=1))</x:f>
      </x:c>
      <x:c r="V641" s="59" t="n">
        <x:f>--(AND($I641&lt;&gt;"",$J641&lt;&gt;""))</x:f>
        <x:v>0</x:v>
      </x:c>
    </x:row>
    <x:row r="642">
      <x:c r="A642" s="21" t="str">
        <x:f>INDEX(Config!$B$10:$B$16,INT((ROW()-5)/104)+1)</x:f>
        <x:v>Thyago</x:v>
      </x:c>
      <x:c r="B642" s="21" t="str">
        <x:v>GC2</x:v>
      </x:c>
      <x:c r="C642" s="21" t="n">
        <x:v>14</x:v>
      </x:c>
      <x:c r="D642" s="21" t="str">
        <x:v>Grupo C</x:v>
      </x:c>
      <x:c r="E642" s="21" t="str">
        <x:v>2026-06-13</x:v>
      </x:c>
      <x:c r="F642" s="21" t="str">
        <x:f>IFERROR(INDEX('Resultados'!$G$5:$G$108,MATCH($B642,'Resultados'!$A$5:$A$108,0)),"")</x:f>
        <x:v>Haiti</x:v>
      </x:c>
      <x:c r="G642" s="21" t="str">
        <x:f>IFERROR(INDEX('Resultados'!$J$5:$J$108,MATCH($B642,'Resultados'!$A$5:$A$108,0)),"")</x:f>
        <x:v>Escócia</x:v>
      </x:c>
      <x:c r="H642" s="21" t="str">
        <x:v>Não</x:v>
      </x:c>
      <x:c r="I642" s="22"/>
      <x:c r="J642" s="22"/>
      <x:c r="K642" s="23"/>
      <x:c r="L642" s="21" t="str">
        <x:f>IFERROR(INDEX('Resultados'!$H$5:$H$108,MATCH($B642,'Resultados'!$A$5:$A$108,0)),"")</x:f>
      </x:c>
      <x:c r="M642" s="21" t="str">
        <x:f>IFERROR(INDEX('Resultados'!$I$5:$I$108,MATCH($B642,'Resultados'!$A$5:$A$108,0)),"")</x:f>
      </x:c>
      <x:c r="N642" s="21" t="str">
        <x:f>IFERROR(INDEX('Resultados'!$L$5:$L$108,MATCH($B642,'Resultados'!$A$5:$A$108,0)),"")</x:f>
      </x:c>
      <x:c r="O642" s="59" t="str">
        <x:f>IF(OR($I642="",$J642="",$L642="",$M642=""),"",IF(AND($H642="Sim",$L642=$M642),IF($I642&lt;&gt;$J642,0,IF(AND($I642=$L642,$J642=$M642),2,1)),IF(AND($I642=$L642,$J642=$M642),3,IF(AND($I642&lt;&gt;$J642,$I642=$M642,$J642=$L642),-2,IF(SIGN($I642-$J642)=SIGN($L642-$M642),1,0)))))</x:f>
      </x:c>
      <x:c r="P642" s="59" t="str">
        <x:f>IF(OR($H642&lt;&gt;"Sim",$I642="",$J642="",$L642="",$M642=""),"",IF(AND(IF($I642&gt;$J642,$F642,IF($I642&lt;$J642,$G642,$K642))&lt;&gt;"",IF($L642&gt;$M642,$F642,IF($L642&lt;$M642,$G642,$N642))&lt;&gt;"",IF($I642&gt;$J642,$F642,IF($I642&lt;$J642,$G642,$K642))=IF($L642&gt;$M642,$F642,IF($L642&lt;$M642,$G642,$N642))),1,0))</x:f>
      </x:c>
      <x:c r="Q642" s="59" t="str">
        <x:f>IF($O642="","",$O642+$P642)</x:f>
      </x:c>
      <x:c r="R642" s="59" t="str">
        <x:f>IF($Q642="","",IF($O642=3,"Cravada",IF(AND($H642="Sim",$L642=$M642,$I642=$J642,$O642=2),"Empate cravado",IF($O642=1,"Resultado certo",IF($O642=-2,"Invertida",IF($P642=1,"Acertou quem passa","Erro"))))))</x:f>
      </x:c>
      <x:c r="S642" s="59" t="str">
        <x:f>IF($O642="","",--(OR($O642=3,AND($H642="Sim",$L642=$M642,$I642=$J642,$O642=2))))</x:f>
      </x:c>
      <x:c r="T642" s="59" t="str">
        <x:f>IF($O642="","",--($O642=-2))</x:f>
      </x:c>
      <x:c r="U642" s="59" t="str">
        <x:f>IF($O642="","",--($O642=1))</x:f>
      </x:c>
      <x:c r="V642" s="59" t="n">
        <x:f>--(AND($I642&lt;&gt;"",$J642&lt;&gt;""))</x:f>
        <x:v>0</x:v>
      </x:c>
    </x:row>
    <x:row r="643">
      <x:c r="A643" s="21" t="str">
        <x:f>INDEX(Config!$B$10:$B$16,INT((ROW()-5)/104)+1)</x:f>
        <x:v>Thyago</x:v>
      </x:c>
      <x:c r="B643" s="21" t="str">
        <x:v>GC3</x:v>
      </x:c>
      <x:c r="C643" s="21" t="n">
        <x:v>15</x:v>
      </x:c>
      <x:c r="D643" s="21" t="str">
        <x:v>Grupo C</x:v>
      </x:c>
      <x:c r="E643" s="21" t="str">
        <x:v>2026-06-19</x:v>
      </x:c>
      <x:c r="F643" s="21" t="str">
        <x:f>IFERROR(INDEX('Resultados'!$G$5:$G$108,MATCH($B643,'Resultados'!$A$5:$A$108,0)),"")</x:f>
        <x:v>Brasil</x:v>
      </x:c>
      <x:c r="G643" s="21" t="str">
        <x:f>IFERROR(INDEX('Resultados'!$J$5:$J$108,MATCH($B643,'Resultados'!$A$5:$A$108,0)),"")</x:f>
        <x:v>Haiti</x:v>
      </x:c>
      <x:c r="H643" s="21" t="str">
        <x:v>Não</x:v>
      </x:c>
      <x:c r="I643" s="22"/>
      <x:c r="J643" s="22"/>
      <x:c r="K643" s="23"/>
      <x:c r="L643" s="21" t="str">
        <x:f>IFERROR(INDEX('Resultados'!$H$5:$H$108,MATCH($B643,'Resultados'!$A$5:$A$108,0)),"")</x:f>
      </x:c>
      <x:c r="M643" s="21" t="str">
        <x:f>IFERROR(INDEX('Resultados'!$I$5:$I$108,MATCH($B643,'Resultados'!$A$5:$A$108,0)),"")</x:f>
      </x:c>
      <x:c r="N643" s="21" t="str">
        <x:f>IFERROR(INDEX('Resultados'!$L$5:$L$108,MATCH($B643,'Resultados'!$A$5:$A$108,0)),"")</x:f>
      </x:c>
      <x:c r="O643" s="59" t="str">
        <x:f>IF(OR($I643="",$J643="",$L643="",$M643=""),"",IF(AND($H643="Sim",$L643=$M643),IF($I643&lt;&gt;$J643,0,IF(AND($I643=$L643,$J643=$M643),2,1)),IF(AND($I643=$L643,$J643=$M643),3,IF(AND($I643&lt;&gt;$J643,$I643=$M643,$J643=$L643),-2,IF(SIGN($I643-$J643)=SIGN($L643-$M643),1,0)))))</x:f>
      </x:c>
      <x:c r="P643" s="59" t="str">
        <x:f>IF(OR($H643&lt;&gt;"Sim",$I643="",$J643="",$L643="",$M643=""),"",IF(AND(IF($I643&gt;$J643,$F643,IF($I643&lt;$J643,$G643,$K643))&lt;&gt;"",IF($L643&gt;$M643,$F643,IF($L643&lt;$M643,$G643,$N643))&lt;&gt;"",IF($I643&gt;$J643,$F643,IF($I643&lt;$J643,$G643,$K643))=IF($L643&gt;$M643,$F643,IF($L643&lt;$M643,$G643,$N643))),1,0))</x:f>
      </x:c>
      <x:c r="Q643" s="59" t="str">
        <x:f>IF($O643="","",$O643+$P643)</x:f>
      </x:c>
      <x:c r="R643" s="59" t="str">
        <x:f>IF($Q643="","",IF($O643=3,"Cravada",IF(AND($H643="Sim",$L643=$M643,$I643=$J643,$O643=2),"Empate cravado",IF($O643=1,"Resultado certo",IF($O643=-2,"Invertida",IF($P643=1,"Acertou quem passa","Erro"))))))</x:f>
      </x:c>
      <x:c r="S643" s="59" t="str">
        <x:f>IF($O643="","",--(OR($O643=3,AND($H643="Sim",$L643=$M643,$I643=$J643,$O643=2))))</x:f>
      </x:c>
      <x:c r="T643" s="59" t="str">
        <x:f>IF($O643="","",--($O643=-2))</x:f>
      </x:c>
      <x:c r="U643" s="59" t="str">
        <x:f>IF($O643="","",--($O643=1))</x:f>
      </x:c>
      <x:c r="V643" s="59" t="n">
        <x:f>--(AND($I643&lt;&gt;"",$J643&lt;&gt;""))</x:f>
        <x:v>0</x:v>
      </x:c>
    </x:row>
    <x:row r="644">
      <x:c r="A644" s="21" t="str">
        <x:f>INDEX(Config!$B$10:$B$16,INT((ROW()-5)/104)+1)</x:f>
        <x:v>Thyago</x:v>
      </x:c>
      <x:c r="B644" s="21" t="str">
        <x:v>GC4</x:v>
      </x:c>
      <x:c r="C644" s="21" t="n">
        <x:v>16</x:v>
      </x:c>
      <x:c r="D644" s="21" t="str">
        <x:v>Grupo C</x:v>
      </x:c>
      <x:c r="E644" s="21" t="str">
        <x:v>2026-06-19</x:v>
      </x:c>
      <x:c r="F644" s="21" t="str">
        <x:f>IFERROR(INDEX('Resultados'!$G$5:$G$108,MATCH($B644,'Resultados'!$A$5:$A$108,0)),"")</x:f>
        <x:v>Marrocos</x:v>
      </x:c>
      <x:c r="G644" s="21" t="str">
        <x:f>IFERROR(INDEX('Resultados'!$J$5:$J$108,MATCH($B644,'Resultados'!$A$5:$A$108,0)),"")</x:f>
        <x:v>Escócia</x:v>
      </x:c>
      <x:c r="H644" s="21" t="str">
        <x:v>Não</x:v>
      </x:c>
      <x:c r="I644" s="22"/>
      <x:c r="J644" s="22"/>
      <x:c r="K644" s="23"/>
      <x:c r="L644" s="21" t="str">
        <x:f>IFERROR(INDEX('Resultados'!$H$5:$H$108,MATCH($B644,'Resultados'!$A$5:$A$108,0)),"")</x:f>
      </x:c>
      <x:c r="M644" s="21" t="str">
        <x:f>IFERROR(INDEX('Resultados'!$I$5:$I$108,MATCH($B644,'Resultados'!$A$5:$A$108,0)),"")</x:f>
      </x:c>
      <x:c r="N644" s="21" t="str">
        <x:f>IFERROR(INDEX('Resultados'!$L$5:$L$108,MATCH($B644,'Resultados'!$A$5:$A$108,0)),"")</x:f>
      </x:c>
      <x:c r="O644" s="59" t="str">
        <x:f>IF(OR($I644="",$J644="",$L644="",$M644=""),"",IF(AND($H644="Sim",$L644=$M644),IF($I644&lt;&gt;$J644,0,IF(AND($I644=$L644,$J644=$M644),2,1)),IF(AND($I644=$L644,$J644=$M644),3,IF(AND($I644&lt;&gt;$J644,$I644=$M644,$J644=$L644),-2,IF(SIGN($I644-$J644)=SIGN($L644-$M644),1,0)))))</x:f>
      </x:c>
      <x:c r="P644" s="59" t="str">
        <x:f>IF(OR($H644&lt;&gt;"Sim",$I644="",$J644="",$L644="",$M644=""),"",IF(AND(IF($I644&gt;$J644,$F644,IF($I644&lt;$J644,$G644,$K644))&lt;&gt;"",IF($L644&gt;$M644,$F644,IF($L644&lt;$M644,$G644,$N644))&lt;&gt;"",IF($I644&gt;$J644,$F644,IF($I644&lt;$J644,$G644,$K644))=IF($L644&gt;$M644,$F644,IF($L644&lt;$M644,$G644,$N644))),1,0))</x:f>
      </x:c>
      <x:c r="Q644" s="59" t="str">
        <x:f>IF($O644="","",$O644+$P644)</x:f>
      </x:c>
      <x:c r="R644" s="59" t="str">
        <x:f>IF($Q644="","",IF($O644=3,"Cravada",IF(AND($H644="Sim",$L644=$M644,$I644=$J644,$O644=2),"Empate cravado",IF($O644=1,"Resultado certo",IF($O644=-2,"Invertida",IF($P644=1,"Acertou quem passa","Erro"))))))</x:f>
      </x:c>
      <x:c r="S644" s="59" t="str">
        <x:f>IF($O644="","",--(OR($O644=3,AND($H644="Sim",$L644=$M644,$I644=$J644,$O644=2))))</x:f>
      </x:c>
      <x:c r="T644" s="59" t="str">
        <x:f>IF($O644="","",--($O644=-2))</x:f>
      </x:c>
      <x:c r="U644" s="59" t="str">
        <x:f>IF($O644="","",--($O644=1))</x:f>
      </x:c>
      <x:c r="V644" s="59" t="n">
        <x:f>--(AND($I644&lt;&gt;"",$J644&lt;&gt;""))</x:f>
        <x:v>0</x:v>
      </x:c>
    </x:row>
    <x:row r="645">
      <x:c r="A645" s="21" t="str">
        <x:f>INDEX(Config!$B$10:$B$16,INT((ROW()-5)/104)+1)</x:f>
        <x:v>Thyago</x:v>
      </x:c>
      <x:c r="B645" s="21" t="str">
        <x:v>GC5</x:v>
      </x:c>
      <x:c r="C645" s="21" t="n">
        <x:v>17</x:v>
      </x:c>
      <x:c r="D645" s="21" t="str">
        <x:v>Grupo C</x:v>
      </x:c>
      <x:c r="E645" s="21" t="str">
        <x:v>2026-06-24</x:v>
      </x:c>
      <x:c r="F645" s="21" t="str">
        <x:f>IFERROR(INDEX('Resultados'!$G$5:$G$108,MATCH($B645,'Resultados'!$A$5:$A$108,0)),"")</x:f>
        <x:v>Brasil</x:v>
      </x:c>
      <x:c r="G645" s="21" t="str">
        <x:f>IFERROR(INDEX('Resultados'!$J$5:$J$108,MATCH($B645,'Resultados'!$A$5:$A$108,0)),"")</x:f>
        <x:v>Escócia</x:v>
      </x:c>
      <x:c r="H645" s="21" t="str">
        <x:v>Não</x:v>
      </x:c>
      <x:c r="I645" s="22"/>
      <x:c r="J645" s="22"/>
      <x:c r="K645" s="23"/>
      <x:c r="L645" s="21" t="str">
        <x:f>IFERROR(INDEX('Resultados'!$H$5:$H$108,MATCH($B645,'Resultados'!$A$5:$A$108,0)),"")</x:f>
      </x:c>
      <x:c r="M645" s="21" t="str">
        <x:f>IFERROR(INDEX('Resultados'!$I$5:$I$108,MATCH($B645,'Resultados'!$A$5:$A$108,0)),"")</x:f>
      </x:c>
      <x:c r="N645" s="21" t="str">
        <x:f>IFERROR(INDEX('Resultados'!$L$5:$L$108,MATCH($B645,'Resultados'!$A$5:$A$108,0)),"")</x:f>
      </x:c>
      <x:c r="O645" s="59" t="str">
        <x:f>IF(OR($I645="",$J645="",$L645="",$M645=""),"",IF(AND($H645="Sim",$L645=$M645),IF($I645&lt;&gt;$J645,0,IF(AND($I645=$L645,$J645=$M645),2,1)),IF(AND($I645=$L645,$J645=$M645),3,IF(AND($I645&lt;&gt;$J645,$I645=$M645,$J645=$L645),-2,IF(SIGN($I645-$J645)=SIGN($L645-$M645),1,0)))))</x:f>
      </x:c>
      <x:c r="P645" s="59" t="str">
        <x:f>IF(OR($H645&lt;&gt;"Sim",$I645="",$J645="",$L645="",$M645=""),"",IF(AND(IF($I645&gt;$J645,$F645,IF($I645&lt;$J645,$G645,$K645))&lt;&gt;"",IF($L645&gt;$M645,$F645,IF($L645&lt;$M645,$G645,$N645))&lt;&gt;"",IF($I645&gt;$J645,$F645,IF($I645&lt;$J645,$G645,$K645))=IF($L645&gt;$M645,$F645,IF($L645&lt;$M645,$G645,$N645))),1,0))</x:f>
      </x:c>
      <x:c r="Q645" s="59" t="str">
        <x:f>IF($O645="","",$O645+$P645)</x:f>
      </x:c>
      <x:c r="R645" s="59" t="str">
        <x:f>IF($Q645="","",IF($O645=3,"Cravada",IF(AND($H645="Sim",$L645=$M645,$I645=$J645,$O645=2),"Empate cravado",IF($O645=1,"Resultado certo",IF($O645=-2,"Invertida",IF($P645=1,"Acertou quem passa","Erro"))))))</x:f>
      </x:c>
      <x:c r="S645" s="59" t="str">
        <x:f>IF($O645="","",--(OR($O645=3,AND($H645="Sim",$L645=$M645,$I645=$J645,$O645=2))))</x:f>
      </x:c>
      <x:c r="T645" s="59" t="str">
        <x:f>IF($O645="","",--($O645=-2))</x:f>
      </x:c>
      <x:c r="U645" s="59" t="str">
        <x:f>IF($O645="","",--($O645=1))</x:f>
      </x:c>
      <x:c r="V645" s="59" t="n">
        <x:f>--(AND($I645&lt;&gt;"",$J645&lt;&gt;""))</x:f>
        <x:v>0</x:v>
      </x:c>
    </x:row>
    <x:row r="646">
      <x:c r="A646" s="21" t="str">
        <x:f>INDEX(Config!$B$10:$B$16,INT((ROW()-5)/104)+1)</x:f>
        <x:v>Thyago</x:v>
      </x:c>
      <x:c r="B646" s="21" t="str">
        <x:v>GC6</x:v>
      </x:c>
      <x:c r="C646" s="21" t="n">
        <x:v>18</x:v>
      </x:c>
      <x:c r="D646" s="21" t="str">
        <x:v>Grupo C</x:v>
      </x:c>
      <x:c r="E646" s="21" t="str">
        <x:v>2026-06-24</x:v>
      </x:c>
      <x:c r="F646" s="21" t="str">
        <x:f>IFERROR(INDEX('Resultados'!$G$5:$G$108,MATCH($B646,'Resultados'!$A$5:$A$108,0)),"")</x:f>
        <x:v>Marrocos</x:v>
      </x:c>
      <x:c r="G646" s="21" t="str">
        <x:f>IFERROR(INDEX('Resultados'!$J$5:$J$108,MATCH($B646,'Resultados'!$A$5:$A$108,0)),"")</x:f>
        <x:v>Haiti</x:v>
      </x:c>
      <x:c r="H646" s="21" t="str">
        <x:v>Não</x:v>
      </x:c>
      <x:c r="I646" s="22"/>
      <x:c r="J646" s="22"/>
      <x:c r="K646" s="23"/>
      <x:c r="L646" s="21" t="str">
        <x:f>IFERROR(INDEX('Resultados'!$H$5:$H$108,MATCH($B646,'Resultados'!$A$5:$A$108,0)),"")</x:f>
      </x:c>
      <x:c r="M646" s="21" t="str">
        <x:f>IFERROR(INDEX('Resultados'!$I$5:$I$108,MATCH($B646,'Resultados'!$A$5:$A$108,0)),"")</x:f>
      </x:c>
      <x:c r="N646" s="21" t="str">
        <x:f>IFERROR(INDEX('Resultados'!$L$5:$L$108,MATCH($B646,'Resultados'!$A$5:$A$108,0)),"")</x:f>
      </x:c>
      <x:c r="O646" s="59" t="str">
        <x:f>IF(OR($I646="",$J646="",$L646="",$M646=""),"",IF(AND($H646="Sim",$L646=$M646),IF($I646&lt;&gt;$J646,0,IF(AND($I646=$L646,$J646=$M646),2,1)),IF(AND($I646=$L646,$J646=$M646),3,IF(AND($I646&lt;&gt;$J646,$I646=$M646,$J646=$L646),-2,IF(SIGN($I646-$J646)=SIGN($L646-$M646),1,0)))))</x:f>
      </x:c>
      <x:c r="P646" s="59" t="str">
        <x:f>IF(OR($H646&lt;&gt;"Sim",$I646="",$J646="",$L646="",$M646=""),"",IF(AND(IF($I646&gt;$J646,$F646,IF($I646&lt;$J646,$G646,$K646))&lt;&gt;"",IF($L646&gt;$M646,$F646,IF($L646&lt;$M646,$G646,$N646))&lt;&gt;"",IF($I646&gt;$J646,$F646,IF($I646&lt;$J646,$G646,$K646))=IF($L646&gt;$M646,$F646,IF($L646&lt;$M646,$G646,$N646))),1,0))</x:f>
      </x:c>
      <x:c r="Q646" s="59" t="str">
        <x:f>IF($O646="","",$O646+$P646)</x:f>
      </x:c>
      <x:c r="R646" s="59" t="str">
        <x:f>IF($Q646="","",IF($O646=3,"Cravada",IF(AND($H646="Sim",$L646=$M646,$I646=$J646,$O646=2),"Empate cravado",IF($O646=1,"Resultado certo",IF($O646=-2,"Invertida",IF($P646=1,"Acertou quem passa","Erro"))))))</x:f>
      </x:c>
      <x:c r="S646" s="59" t="str">
        <x:f>IF($O646="","",--(OR($O646=3,AND($H646="Sim",$L646=$M646,$I646=$J646,$O646=2))))</x:f>
      </x:c>
      <x:c r="T646" s="59" t="str">
        <x:f>IF($O646="","",--($O646=-2))</x:f>
      </x:c>
      <x:c r="U646" s="59" t="str">
        <x:f>IF($O646="","",--($O646=1))</x:f>
      </x:c>
      <x:c r="V646" s="59" t="n">
        <x:f>--(AND($I646&lt;&gt;"",$J646&lt;&gt;""))</x:f>
        <x:v>0</x:v>
      </x:c>
    </x:row>
    <x:row r="647">
      <x:c r="A647" s="21" t="str">
        <x:f>INDEX(Config!$B$10:$B$16,INT((ROW()-5)/104)+1)</x:f>
        <x:v>Thyago</x:v>
      </x:c>
      <x:c r="B647" s="21" t="str">
        <x:v>GD1</x:v>
      </x:c>
      <x:c r="C647" s="21" t="n">
        <x:v>19</x:v>
      </x:c>
      <x:c r="D647" s="21" t="str">
        <x:v>Grupo D</x:v>
      </x:c>
      <x:c r="E647" s="21" t="str">
        <x:v>2026-06-12</x:v>
      </x:c>
      <x:c r="F647" s="21" t="str">
        <x:f>IFERROR(INDEX('Resultados'!$G$5:$G$108,MATCH($B647,'Resultados'!$A$5:$A$108,0)),"")</x:f>
        <x:v>EUA</x:v>
      </x:c>
      <x:c r="G647" s="21" t="str">
        <x:f>IFERROR(INDEX('Resultados'!$J$5:$J$108,MATCH($B647,'Resultados'!$A$5:$A$108,0)),"")</x:f>
        <x:v>Paraguai</x:v>
      </x:c>
      <x:c r="H647" s="21" t="str">
        <x:v>Não</x:v>
      </x:c>
      <x:c r="I647" s="22"/>
      <x:c r="J647" s="22"/>
      <x:c r="K647" s="23"/>
      <x:c r="L647" s="21" t="str">
        <x:f>IFERROR(INDEX('Resultados'!$H$5:$H$108,MATCH($B647,'Resultados'!$A$5:$A$108,0)),"")</x:f>
      </x:c>
      <x:c r="M647" s="21" t="str">
        <x:f>IFERROR(INDEX('Resultados'!$I$5:$I$108,MATCH($B647,'Resultados'!$A$5:$A$108,0)),"")</x:f>
      </x:c>
      <x:c r="N647" s="21" t="str">
        <x:f>IFERROR(INDEX('Resultados'!$L$5:$L$108,MATCH($B647,'Resultados'!$A$5:$A$108,0)),"")</x:f>
      </x:c>
      <x:c r="O647" s="59" t="str">
        <x:f>IF(OR($I647="",$J647="",$L647="",$M647=""),"",IF(AND($H647="Sim",$L647=$M647),IF($I647&lt;&gt;$J647,0,IF(AND($I647=$L647,$J647=$M647),2,1)),IF(AND($I647=$L647,$J647=$M647),3,IF(AND($I647&lt;&gt;$J647,$I647=$M647,$J647=$L647),-2,IF(SIGN($I647-$J647)=SIGN($L647-$M647),1,0)))))</x:f>
      </x:c>
      <x:c r="P647" s="59" t="str">
        <x:f>IF(OR($H647&lt;&gt;"Sim",$I647="",$J647="",$L647="",$M647=""),"",IF(AND(IF($I647&gt;$J647,$F647,IF($I647&lt;$J647,$G647,$K647))&lt;&gt;"",IF($L647&gt;$M647,$F647,IF($L647&lt;$M647,$G647,$N647))&lt;&gt;"",IF($I647&gt;$J647,$F647,IF($I647&lt;$J647,$G647,$K647))=IF($L647&gt;$M647,$F647,IF($L647&lt;$M647,$G647,$N647))),1,0))</x:f>
      </x:c>
      <x:c r="Q647" s="59" t="str">
        <x:f>IF($O647="","",$O647+$P647)</x:f>
      </x:c>
      <x:c r="R647" s="59" t="str">
        <x:f>IF($Q647="","",IF($O647=3,"Cravada",IF(AND($H647="Sim",$L647=$M647,$I647=$J647,$O647=2),"Empate cravado",IF($O647=1,"Resultado certo",IF($O647=-2,"Invertida",IF($P647=1,"Acertou quem passa","Erro"))))))</x:f>
      </x:c>
      <x:c r="S647" s="59" t="str">
        <x:f>IF($O647="","",--(OR($O647=3,AND($H647="Sim",$L647=$M647,$I647=$J647,$O647=2))))</x:f>
      </x:c>
      <x:c r="T647" s="59" t="str">
        <x:f>IF($O647="","",--($O647=-2))</x:f>
      </x:c>
      <x:c r="U647" s="59" t="str">
        <x:f>IF($O647="","",--($O647=1))</x:f>
      </x:c>
      <x:c r="V647" s="59" t="n">
        <x:f>--(AND($I647&lt;&gt;"",$J647&lt;&gt;""))</x:f>
        <x:v>0</x:v>
      </x:c>
    </x:row>
    <x:row r="648">
      <x:c r="A648" s="21" t="str">
        <x:f>INDEX(Config!$B$10:$B$16,INT((ROW()-5)/104)+1)</x:f>
        <x:v>Thyago</x:v>
      </x:c>
      <x:c r="B648" s="21" t="str">
        <x:v>GD2</x:v>
      </x:c>
      <x:c r="C648" s="21" t="n">
        <x:v>20</x:v>
      </x:c>
      <x:c r="D648" s="21" t="str">
        <x:v>Grupo D</x:v>
      </x:c>
      <x:c r="E648" s="21" t="str">
        <x:v>2026-06-14</x:v>
      </x:c>
      <x:c r="F648" s="21" t="str">
        <x:f>IFERROR(INDEX('Resultados'!$G$5:$G$108,MATCH($B648,'Resultados'!$A$5:$A$108,0)),"")</x:f>
        <x:v>Austrália</x:v>
      </x:c>
      <x:c r="G648" s="21" t="str">
        <x:f>IFERROR(INDEX('Resultados'!$J$5:$J$108,MATCH($B648,'Resultados'!$A$5:$A$108,0)),"")</x:f>
        <x:v>Turquia</x:v>
      </x:c>
      <x:c r="H648" s="21" t="str">
        <x:v>Não</x:v>
      </x:c>
      <x:c r="I648" s="22"/>
      <x:c r="J648" s="22"/>
      <x:c r="K648" s="23"/>
      <x:c r="L648" s="21" t="str">
        <x:f>IFERROR(INDEX('Resultados'!$H$5:$H$108,MATCH($B648,'Resultados'!$A$5:$A$108,0)),"")</x:f>
      </x:c>
      <x:c r="M648" s="21" t="str">
        <x:f>IFERROR(INDEX('Resultados'!$I$5:$I$108,MATCH($B648,'Resultados'!$A$5:$A$108,0)),"")</x:f>
      </x:c>
      <x:c r="N648" s="21" t="str">
        <x:f>IFERROR(INDEX('Resultados'!$L$5:$L$108,MATCH($B648,'Resultados'!$A$5:$A$108,0)),"")</x:f>
      </x:c>
      <x:c r="O648" s="59" t="str">
        <x:f>IF(OR($I648="",$J648="",$L648="",$M648=""),"",IF(AND($H648="Sim",$L648=$M648),IF($I648&lt;&gt;$J648,0,IF(AND($I648=$L648,$J648=$M648),2,1)),IF(AND($I648=$L648,$J648=$M648),3,IF(AND($I648&lt;&gt;$J648,$I648=$M648,$J648=$L648),-2,IF(SIGN($I648-$J648)=SIGN($L648-$M648),1,0)))))</x:f>
      </x:c>
      <x:c r="P648" s="59" t="str">
        <x:f>IF(OR($H648&lt;&gt;"Sim",$I648="",$J648="",$L648="",$M648=""),"",IF(AND(IF($I648&gt;$J648,$F648,IF($I648&lt;$J648,$G648,$K648))&lt;&gt;"",IF($L648&gt;$M648,$F648,IF($L648&lt;$M648,$G648,$N648))&lt;&gt;"",IF($I648&gt;$J648,$F648,IF($I648&lt;$J648,$G648,$K648))=IF($L648&gt;$M648,$F648,IF($L648&lt;$M648,$G648,$N648))),1,0))</x:f>
      </x:c>
      <x:c r="Q648" s="59" t="str">
        <x:f>IF($O648="","",$O648+$P648)</x:f>
      </x:c>
      <x:c r="R648" s="59" t="str">
        <x:f>IF($Q648="","",IF($O648=3,"Cravada",IF(AND($H648="Sim",$L648=$M648,$I648=$J648,$O648=2),"Empate cravado",IF($O648=1,"Resultado certo",IF($O648=-2,"Invertida",IF($P648=1,"Acertou quem passa","Erro"))))))</x:f>
      </x:c>
      <x:c r="S648" s="59" t="str">
        <x:f>IF($O648="","",--(OR($O648=3,AND($H648="Sim",$L648=$M648,$I648=$J648,$O648=2))))</x:f>
      </x:c>
      <x:c r="T648" s="59" t="str">
        <x:f>IF($O648="","",--($O648=-2))</x:f>
      </x:c>
      <x:c r="U648" s="59" t="str">
        <x:f>IF($O648="","",--($O648=1))</x:f>
      </x:c>
      <x:c r="V648" s="59" t="n">
        <x:f>--(AND($I648&lt;&gt;"",$J648&lt;&gt;""))</x:f>
        <x:v>0</x:v>
      </x:c>
    </x:row>
    <x:row r="649">
      <x:c r="A649" s="21" t="str">
        <x:f>INDEX(Config!$B$10:$B$16,INT((ROW()-5)/104)+1)</x:f>
        <x:v>Thyago</x:v>
      </x:c>
      <x:c r="B649" s="21" t="str">
        <x:v>GD3</x:v>
      </x:c>
      <x:c r="C649" s="21" t="n">
        <x:v>21</x:v>
      </x:c>
      <x:c r="D649" s="21" t="str">
        <x:v>Grupo D</x:v>
      </x:c>
      <x:c r="E649" s="21" t="str">
        <x:v>2026-06-19</x:v>
      </x:c>
      <x:c r="F649" s="21" t="str">
        <x:f>IFERROR(INDEX('Resultados'!$G$5:$G$108,MATCH($B649,'Resultados'!$A$5:$A$108,0)),"")</x:f>
        <x:v>EUA</x:v>
      </x:c>
      <x:c r="G649" s="21" t="str">
        <x:f>IFERROR(INDEX('Resultados'!$J$5:$J$108,MATCH($B649,'Resultados'!$A$5:$A$108,0)),"")</x:f>
        <x:v>Austrália</x:v>
      </x:c>
      <x:c r="H649" s="21" t="str">
        <x:v>Não</x:v>
      </x:c>
      <x:c r="I649" s="22"/>
      <x:c r="J649" s="22"/>
      <x:c r="K649" s="23"/>
      <x:c r="L649" s="21" t="str">
        <x:f>IFERROR(INDEX('Resultados'!$H$5:$H$108,MATCH($B649,'Resultados'!$A$5:$A$108,0)),"")</x:f>
      </x:c>
      <x:c r="M649" s="21" t="str">
        <x:f>IFERROR(INDEX('Resultados'!$I$5:$I$108,MATCH($B649,'Resultados'!$A$5:$A$108,0)),"")</x:f>
      </x:c>
      <x:c r="N649" s="21" t="str">
        <x:f>IFERROR(INDEX('Resultados'!$L$5:$L$108,MATCH($B649,'Resultados'!$A$5:$A$108,0)),"")</x:f>
      </x:c>
      <x:c r="O649" s="59" t="str">
        <x:f>IF(OR($I649="",$J649="",$L649="",$M649=""),"",IF(AND($H649="Sim",$L649=$M649),IF($I649&lt;&gt;$J649,0,IF(AND($I649=$L649,$J649=$M649),2,1)),IF(AND($I649=$L649,$J649=$M649),3,IF(AND($I649&lt;&gt;$J649,$I649=$M649,$J649=$L649),-2,IF(SIGN($I649-$J649)=SIGN($L649-$M649),1,0)))))</x:f>
      </x:c>
      <x:c r="P649" s="59" t="str">
        <x:f>IF(OR($H649&lt;&gt;"Sim",$I649="",$J649="",$L649="",$M649=""),"",IF(AND(IF($I649&gt;$J649,$F649,IF($I649&lt;$J649,$G649,$K649))&lt;&gt;"",IF($L649&gt;$M649,$F649,IF($L649&lt;$M649,$G649,$N649))&lt;&gt;"",IF($I649&gt;$J649,$F649,IF($I649&lt;$J649,$G649,$K649))=IF($L649&gt;$M649,$F649,IF($L649&lt;$M649,$G649,$N649))),1,0))</x:f>
      </x:c>
      <x:c r="Q649" s="59" t="str">
        <x:f>IF($O649="","",$O649+$P649)</x:f>
      </x:c>
      <x:c r="R649" s="59" t="str">
        <x:f>IF($Q649="","",IF($O649=3,"Cravada",IF(AND($H649="Sim",$L649=$M649,$I649=$J649,$O649=2),"Empate cravado",IF($O649=1,"Resultado certo",IF($O649=-2,"Invertida",IF($P649=1,"Acertou quem passa","Erro"))))))</x:f>
      </x:c>
      <x:c r="S649" s="59" t="str">
        <x:f>IF($O649="","",--(OR($O649=3,AND($H649="Sim",$L649=$M649,$I649=$J649,$O649=2))))</x:f>
      </x:c>
      <x:c r="T649" s="59" t="str">
        <x:f>IF($O649="","",--($O649=-2))</x:f>
      </x:c>
      <x:c r="U649" s="59" t="str">
        <x:f>IF($O649="","",--($O649=1))</x:f>
      </x:c>
      <x:c r="V649" s="59" t="n">
        <x:f>--(AND($I649&lt;&gt;"",$J649&lt;&gt;""))</x:f>
        <x:v>0</x:v>
      </x:c>
    </x:row>
    <x:row r="650">
      <x:c r="A650" s="21" t="str">
        <x:f>INDEX(Config!$B$10:$B$16,INT((ROW()-5)/104)+1)</x:f>
        <x:v>Thyago</x:v>
      </x:c>
      <x:c r="B650" s="21" t="str">
        <x:v>GD4</x:v>
      </x:c>
      <x:c r="C650" s="21" t="n">
        <x:v>22</x:v>
      </x:c>
      <x:c r="D650" s="21" t="str">
        <x:v>Grupo D</x:v>
      </x:c>
      <x:c r="E650" s="21" t="str">
        <x:v>2026-06-20</x:v>
      </x:c>
      <x:c r="F650" s="21" t="str">
        <x:f>IFERROR(INDEX('Resultados'!$G$5:$G$108,MATCH($B650,'Resultados'!$A$5:$A$108,0)),"")</x:f>
        <x:v>Paraguai</x:v>
      </x:c>
      <x:c r="G650" s="21" t="str">
        <x:f>IFERROR(INDEX('Resultados'!$J$5:$J$108,MATCH($B650,'Resultados'!$A$5:$A$108,0)),"")</x:f>
        <x:v>Turquia</x:v>
      </x:c>
      <x:c r="H650" s="21" t="str">
        <x:v>Não</x:v>
      </x:c>
      <x:c r="I650" s="22"/>
      <x:c r="J650" s="22"/>
      <x:c r="K650" s="23"/>
      <x:c r="L650" s="21" t="str">
        <x:f>IFERROR(INDEX('Resultados'!$H$5:$H$108,MATCH($B650,'Resultados'!$A$5:$A$108,0)),"")</x:f>
      </x:c>
      <x:c r="M650" s="21" t="str">
        <x:f>IFERROR(INDEX('Resultados'!$I$5:$I$108,MATCH($B650,'Resultados'!$A$5:$A$108,0)),"")</x:f>
      </x:c>
      <x:c r="N650" s="21" t="str">
        <x:f>IFERROR(INDEX('Resultados'!$L$5:$L$108,MATCH($B650,'Resultados'!$A$5:$A$108,0)),"")</x:f>
      </x:c>
      <x:c r="O650" s="59" t="str">
        <x:f>IF(OR($I650="",$J650="",$L650="",$M650=""),"",IF(AND($H650="Sim",$L650=$M650),IF($I650&lt;&gt;$J650,0,IF(AND($I650=$L650,$J650=$M650),2,1)),IF(AND($I650=$L650,$J650=$M650),3,IF(AND($I650&lt;&gt;$J650,$I650=$M650,$J650=$L650),-2,IF(SIGN($I650-$J650)=SIGN($L650-$M650),1,0)))))</x:f>
      </x:c>
      <x:c r="P650" s="59" t="str">
        <x:f>IF(OR($H650&lt;&gt;"Sim",$I650="",$J650="",$L650="",$M650=""),"",IF(AND(IF($I650&gt;$J650,$F650,IF($I650&lt;$J650,$G650,$K650))&lt;&gt;"",IF($L650&gt;$M650,$F650,IF($L650&lt;$M650,$G650,$N650))&lt;&gt;"",IF($I650&gt;$J650,$F650,IF($I650&lt;$J650,$G650,$K650))=IF($L650&gt;$M650,$F650,IF($L650&lt;$M650,$G650,$N650))),1,0))</x:f>
      </x:c>
      <x:c r="Q650" s="59" t="str">
        <x:f>IF($O650="","",$O650+$P650)</x:f>
      </x:c>
      <x:c r="R650" s="59" t="str">
        <x:f>IF($Q650="","",IF($O650=3,"Cravada",IF(AND($H650="Sim",$L650=$M650,$I650=$J650,$O650=2),"Empate cravado",IF($O650=1,"Resultado certo",IF($O650=-2,"Invertida",IF($P650=1,"Acertou quem passa","Erro"))))))</x:f>
      </x:c>
      <x:c r="S650" s="59" t="str">
        <x:f>IF($O650="","",--(OR($O650=3,AND($H650="Sim",$L650=$M650,$I650=$J650,$O650=2))))</x:f>
      </x:c>
      <x:c r="T650" s="59" t="str">
        <x:f>IF($O650="","",--($O650=-2))</x:f>
      </x:c>
      <x:c r="U650" s="59" t="str">
        <x:f>IF($O650="","",--($O650=1))</x:f>
      </x:c>
      <x:c r="V650" s="59" t="n">
        <x:f>--(AND($I650&lt;&gt;"",$J650&lt;&gt;""))</x:f>
        <x:v>0</x:v>
      </x:c>
    </x:row>
    <x:row r="651">
      <x:c r="A651" s="21" t="str">
        <x:f>INDEX(Config!$B$10:$B$16,INT((ROW()-5)/104)+1)</x:f>
        <x:v>Thyago</x:v>
      </x:c>
      <x:c r="B651" s="21" t="str">
        <x:v>GD5</x:v>
      </x:c>
      <x:c r="C651" s="21" t="n">
        <x:v>23</x:v>
      </x:c>
      <x:c r="D651" s="21" t="str">
        <x:v>Grupo D</x:v>
      </x:c>
      <x:c r="E651" s="21" t="str">
        <x:v>2026-06-25</x:v>
      </x:c>
      <x:c r="F651" s="21" t="str">
        <x:f>IFERROR(INDEX('Resultados'!$G$5:$G$108,MATCH($B651,'Resultados'!$A$5:$A$108,0)),"")</x:f>
        <x:v>EUA</x:v>
      </x:c>
      <x:c r="G651" s="21" t="str">
        <x:f>IFERROR(INDEX('Resultados'!$J$5:$J$108,MATCH($B651,'Resultados'!$A$5:$A$108,0)),"")</x:f>
        <x:v>Turquia</x:v>
      </x:c>
      <x:c r="H651" s="21" t="str">
        <x:v>Não</x:v>
      </x:c>
      <x:c r="I651" s="22"/>
      <x:c r="J651" s="22"/>
      <x:c r="K651" s="23"/>
      <x:c r="L651" s="21" t="str">
        <x:f>IFERROR(INDEX('Resultados'!$H$5:$H$108,MATCH($B651,'Resultados'!$A$5:$A$108,0)),"")</x:f>
      </x:c>
      <x:c r="M651" s="21" t="str">
        <x:f>IFERROR(INDEX('Resultados'!$I$5:$I$108,MATCH($B651,'Resultados'!$A$5:$A$108,0)),"")</x:f>
      </x:c>
      <x:c r="N651" s="21" t="str">
        <x:f>IFERROR(INDEX('Resultados'!$L$5:$L$108,MATCH($B651,'Resultados'!$A$5:$A$108,0)),"")</x:f>
      </x:c>
      <x:c r="O651" s="59" t="str">
        <x:f>IF(OR($I651="",$J651="",$L651="",$M651=""),"",IF(AND($H651="Sim",$L651=$M651),IF($I651&lt;&gt;$J651,0,IF(AND($I651=$L651,$J651=$M651),2,1)),IF(AND($I651=$L651,$J651=$M651),3,IF(AND($I651&lt;&gt;$J651,$I651=$M651,$J651=$L651),-2,IF(SIGN($I651-$J651)=SIGN($L651-$M651),1,0)))))</x:f>
      </x:c>
      <x:c r="P651" s="59" t="str">
        <x:f>IF(OR($H651&lt;&gt;"Sim",$I651="",$J651="",$L651="",$M651=""),"",IF(AND(IF($I651&gt;$J651,$F651,IF($I651&lt;$J651,$G651,$K651))&lt;&gt;"",IF($L651&gt;$M651,$F651,IF($L651&lt;$M651,$G651,$N651))&lt;&gt;"",IF($I651&gt;$J651,$F651,IF($I651&lt;$J651,$G651,$K651))=IF($L651&gt;$M651,$F651,IF($L651&lt;$M651,$G651,$N651))),1,0))</x:f>
      </x:c>
      <x:c r="Q651" s="59" t="str">
        <x:f>IF($O651="","",$O651+$P651)</x:f>
      </x:c>
      <x:c r="R651" s="59" t="str">
        <x:f>IF($Q651="","",IF($O651=3,"Cravada",IF(AND($H651="Sim",$L651=$M651,$I651=$J651,$O651=2),"Empate cravado",IF($O651=1,"Resultado certo",IF($O651=-2,"Invertida",IF($P651=1,"Acertou quem passa","Erro"))))))</x:f>
      </x:c>
      <x:c r="S651" s="59" t="str">
        <x:f>IF($O651="","",--(OR($O651=3,AND($H651="Sim",$L651=$M651,$I651=$J651,$O651=2))))</x:f>
      </x:c>
      <x:c r="T651" s="59" t="str">
        <x:f>IF($O651="","",--($O651=-2))</x:f>
      </x:c>
      <x:c r="U651" s="59" t="str">
        <x:f>IF($O651="","",--($O651=1))</x:f>
      </x:c>
      <x:c r="V651" s="59" t="n">
        <x:f>--(AND($I651&lt;&gt;"",$J651&lt;&gt;""))</x:f>
        <x:v>0</x:v>
      </x:c>
    </x:row>
    <x:row r="652">
      <x:c r="A652" s="21" t="str">
        <x:f>INDEX(Config!$B$10:$B$16,INT((ROW()-5)/104)+1)</x:f>
        <x:v>Thyago</x:v>
      </x:c>
      <x:c r="B652" s="21" t="str">
        <x:v>GD6</x:v>
      </x:c>
      <x:c r="C652" s="21" t="n">
        <x:v>24</x:v>
      </x:c>
      <x:c r="D652" s="21" t="str">
        <x:v>Grupo D</x:v>
      </x:c>
      <x:c r="E652" s="21" t="str">
        <x:v>2026-06-25</x:v>
      </x:c>
      <x:c r="F652" s="21" t="str">
        <x:f>IFERROR(INDEX('Resultados'!$G$5:$G$108,MATCH($B652,'Resultados'!$A$5:$A$108,0)),"")</x:f>
        <x:v>Paraguai</x:v>
      </x:c>
      <x:c r="G652" s="21" t="str">
        <x:f>IFERROR(INDEX('Resultados'!$J$5:$J$108,MATCH($B652,'Resultados'!$A$5:$A$108,0)),"")</x:f>
        <x:v>Austrália</x:v>
      </x:c>
      <x:c r="H652" s="21" t="str">
        <x:v>Não</x:v>
      </x:c>
      <x:c r="I652" s="22"/>
      <x:c r="J652" s="22"/>
      <x:c r="K652" s="23"/>
      <x:c r="L652" s="21" t="str">
        <x:f>IFERROR(INDEX('Resultados'!$H$5:$H$108,MATCH($B652,'Resultados'!$A$5:$A$108,0)),"")</x:f>
      </x:c>
      <x:c r="M652" s="21" t="str">
        <x:f>IFERROR(INDEX('Resultados'!$I$5:$I$108,MATCH($B652,'Resultados'!$A$5:$A$108,0)),"")</x:f>
      </x:c>
      <x:c r="N652" s="21" t="str">
        <x:f>IFERROR(INDEX('Resultados'!$L$5:$L$108,MATCH($B652,'Resultados'!$A$5:$A$108,0)),"")</x:f>
      </x:c>
      <x:c r="O652" s="59" t="str">
        <x:f>IF(OR($I652="",$J652="",$L652="",$M652=""),"",IF(AND($H652="Sim",$L652=$M652),IF($I652&lt;&gt;$J652,0,IF(AND($I652=$L652,$J652=$M652),2,1)),IF(AND($I652=$L652,$J652=$M652),3,IF(AND($I652&lt;&gt;$J652,$I652=$M652,$J652=$L652),-2,IF(SIGN($I652-$J652)=SIGN($L652-$M652),1,0)))))</x:f>
      </x:c>
      <x:c r="P652" s="59" t="str">
        <x:f>IF(OR($H652&lt;&gt;"Sim",$I652="",$J652="",$L652="",$M652=""),"",IF(AND(IF($I652&gt;$J652,$F652,IF($I652&lt;$J652,$G652,$K652))&lt;&gt;"",IF($L652&gt;$M652,$F652,IF($L652&lt;$M652,$G652,$N652))&lt;&gt;"",IF($I652&gt;$J652,$F652,IF($I652&lt;$J652,$G652,$K652))=IF($L652&gt;$M652,$F652,IF($L652&lt;$M652,$G652,$N652))),1,0))</x:f>
      </x:c>
      <x:c r="Q652" s="59" t="str">
        <x:f>IF($O652="","",$O652+$P652)</x:f>
      </x:c>
      <x:c r="R652" s="59" t="str">
        <x:f>IF($Q652="","",IF($O652=3,"Cravada",IF(AND($H652="Sim",$L652=$M652,$I652=$J652,$O652=2),"Empate cravado",IF($O652=1,"Resultado certo",IF($O652=-2,"Invertida",IF($P652=1,"Acertou quem passa","Erro"))))))</x:f>
      </x:c>
      <x:c r="S652" s="59" t="str">
        <x:f>IF($O652="","",--(OR($O652=3,AND($H652="Sim",$L652=$M652,$I652=$J652,$O652=2))))</x:f>
      </x:c>
      <x:c r="T652" s="59" t="str">
        <x:f>IF($O652="","",--($O652=-2))</x:f>
      </x:c>
      <x:c r="U652" s="59" t="str">
        <x:f>IF($O652="","",--($O652=1))</x:f>
      </x:c>
      <x:c r="V652" s="59" t="n">
        <x:f>--(AND($I652&lt;&gt;"",$J652&lt;&gt;""))</x:f>
        <x:v>0</x:v>
      </x:c>
    </x:row>
    <x:row r="653">
      <x:c r="A653" s="21" t="str">
        <x:f>INDEX(Config!$B$10:$B$16,INT((ROW()-5)/104)+1)</x:f>
        <x:v>Thyago</x:v>
      </x:c>
      <x:c r="B653" s="21" t="str">
        <x:v>GE1</x:v>
      </x:c>
      <x:c r="C653" s="21" t="n">
        <x:v>25</x:v>
      </x:c>
      <x:c r="D653" s="21" t="str">
        <x:v>Grupo E</x:v>
      </x:c>
      <x:c r="E653" s="21" t="str">
        <x:v>2026-06-14</x:v>
      </x:c>
      <x:c r="F653" s="21" t="str">
        <x:f>IFERROR(INDEX('Resultados'!$G$5:$G$108,MATCH($B653,'Resultados'!$A$5:$A$108,0)),"")</x:f>
        <x:v>Alemanha</x:v>
      </x:c>
      <x:c r="G653" s="21" t="str">
        <x:f>IFERROR(INDEX('Resultados'!$J$5:$J$108,MATCH($B653,'Resultados'!$A$5:$A$108,0)),"")</x:f>
        <x:v>Curaçau</x:v>
      </x:c>
      <x:c r="H653" s="21" t="str">
        <x:v>Não</x:v>
      </x:c>
      <x:c r="I653" s="22"/>
      <x:c r="J653" s="22"/>
      <x:c r="K653" s="23"/>
      <x:c r="L653" s="21" t="str">
        <x:f>IFERROR(INDEX('Resultados'!$H$5:$H$108,MATCH($B653,'Resultados'!$A$5:$A$108,0)),"")</x:f>
      </x:c>
      <x:c r="M653" s="21" t="str">
        <x:f>IFERROR(INDEX('Resultados'!$I$5:$I$108,MATCH($B653,'Resultados'!$A$5:$A$108,0)),"")</x:f>
      </x:c>
      <x:c r="N653" s="21" t="str">
        <x:f>IFERROR(INDEX('Resultados'!$L$5:$L$108,MATCH($B653,'Resultados'!$A$5:$A$108,0)),"")</x:f>
      </x:c>
      <x:c r="O653" s="59" t="str">
        <x:f>IF(OR($I653="",$J653="",$L653="",$M653=""),"",IF(AND($H653="Sim",$L653=$M653),IF($I653&lt;&gt;$J653,0,IF(AND($I653=$L653,$J653=$M653),2,1)),IF(AND($I653=$L653,$J653=$M653),3,IF(AND($I653&lt;&gt;$J653,$I653=$M653,$J653=$L653),-2,IF(SIGN($I653-$J653)=SIGN($L653-$M653),1,0)))))</x:f>
      </x:c>
      <x:c r="P653" s="59" t="str">
        <x:f>IF(OR($H653&lt;&gt;"Sim",$I653="",$J653="",$L653="",$M653=""),"",IF(AND(IF($I653&gt;$J653,$F653,IF($I653&lt;$J653,$G653,$K653))&lt;&gt;"",IF($L653&gt;$M653,$F653,IF($L653&lt;$M653,$G653,$N653))&lt;&gt;"",IF($I653&gt;$J653,$F653,IF($I653&lt;$J653,$G653,$K653))=IF($L653&gt;$M653,$F653,IF($L653&lt;$M653,$G653,$N653))),1,0))</x:f>
      </x:c>
      <x:c r="Q653" s="59" t="str">
        <x:f>IF($O653="","",$O653+$P653)</x:f>
      </x:c>
      <x:c r="R653" s="59" t="str">
        <x:f>IF($Q653="","",IF($O653=3,"Cravada",IF(AND($H653="Sim",$L653=$M653,$I653=$J653,$O653=2),"Empate cravado",IF($O653=1,"Resultado certo",IF($O653=-2,"Invertida",IF($P653=1,"Acertou quem passa","Erro"))))))</x:f>
      </x:c>
      <x:c r="S653" s="59" t="str">
        <x:f>IF($O653="","",--(OR($O653=3,AND($H653="Sim",$L653=$M653,$I653=$J653,$O653=2))))</x:f>
      </x:c>
      <x:c r="T653" s="59" t="str">
        <x:f>IF($O653="","",--($O653=-2))</x:f>
      </x:c>
      <x:c r="U653" s="59" t="str">
        <x:f>IF($O653="","",--($O653=1))</x:f>
      </x:c>
      <x:c r="V653" s="59" t="n">
        <x:f>--(AND($I653&lt;&gt;"",$J653&lt;&gt;""))</x:f>
        <x:v>0</x:v>
      </x:c>
    </x:row>
    <x:row r="654">
      <x:c r="A654" s="21" t="str">
        <x:f>INDEX(Config!$B$10:$B$16,INT((ROW()-5)/104)+1)</x:f>
        <x:v>Thyago</x:v>
      </x:c>
      <x:c r="B654" s="21" t="str">
        <x:v>GE2</x:v>
      </x:c>
      <x:c r="C654" s="21" t="n">
        <x:v>26</x:v>
      </x:c>
      <x:c r="D654" s="21" t="str">
        <x:v>Grupo E</x:v>
      </x:c>
      <x:c r="E654" s="21" t="str">
        <x:v>2026-06-14</x:v>
      </x:c>
      <x:c r="F654" s="21" t="str">
        <x:f>IFERROR(INDEX('Resultados'!$G$5:$G$108,MATCH($B654,'Resultados'!$A$5:$A$108,0)),"")</x:f>
        <x:v>Costa do Marfim</x:v>
      </x:c>
      <x:c r="G654" s="21" t="str">
        <x:f>IFERROR(INDEX('Resultados'!$J$5:$J$108,MATCH($B654,'Resultados'!$A$5:$A$108,0)),"")</x:f>
        <x:v>Equador</x:v>
      </x:c>
      <x:c r="H654" s="21" t="str">
        <x:v>Não</x:v>
      </x:c>
      <x:c r="I654" s="22"/>
      <x:c r="J654" s="22"/>
      <x:c r="K654" s="23"/>
      <x:c r="L654" s="21" t="str">
        <x:f>IFERROR(INDEX('Resultados'!$H$5:$H$108,MATCH($B654,'Resultados'!$A$5:$A$108,0)),"")</x:f>
      </x:c>
      <x:c r="M654" s="21" t="str">
        <x:f>IFERROR(INDEX('Resultados'!$I$5:$I$108,MATCH($B654,'Resultados'!$A$5:$A$108,0)),"")</x:f>
      </x:c>
      <x:c r="N654" s="21" t="str">
        <x:f>IFERROR(INDEX('Resultados'!$L$5:$L$108,MATCH($B654,'Resultados'!$A$5:$A$108,0)),"")</x:f>
      </x:c>
      <x:c r="O654" s="59" t="str">
        <x:f>IF(OR($I654="",$J654="",$L654="",$M654=""),"",IF(AND($H654="Sim",$L654=$M654),IF($I654&lt;&gt;$J654,0,IF(AND($I654=$L654,$J654=$M654),2,1)),IF(AND($I654=$L654,$J654=$M654),3,IF(AND($I654&lt;&gt;$J654,$I654=$M654,$J654=$L654),-2,IF(SIGN($I654-$J654)=SIGN($L654-$M654),1,0)))))</x:f>
      </x:c>
      <x:c r="P654" s="59" t="str">
        <x:f>IF(OR($H654&lt;&gt;"Sim",$I654="",$J654="",$L654="",$M654=""),"",IF(AND(IF($I654&gt;$J654,$F654,IF($I654&lt;$J654,$G654,$K654))&lt;&gt;"",IF($L654&gt;$M654,$F654,IF($L654&lt;$M654,$G654,$N654))&lt;&gt;"",IF($I654&gt;$J654,$F654,IF($I654&lt;$J654,$G654,$K654))=IF($L654&gt;$M654,$F654,IF($L654&lt;$M654,$G654,$N654))),1,0))</x:f>
      </x:c>
      <x:c r="Q654" s="59" t="str">
        <x:f>IF($O654="","",$O654+$P654)</x:f>
      </x:c>
      <x:c r="R654" s="59" t="str">
        <x:f>IF($Q654="","",IF($O654=3,"Cravada",IF(AND($H654="Sim",$L654=$M654,$I654=$J654,$O654=2),"Empate cravado",IF($O654=1,"Resultado certo",IF($O654=-2,"Invertida",IF($P654=1,"Acertou quem passa","Erro"))))))</x:f>
      </x:c>
      <x:c r="S654" s="59" t="str">
        <x:f>IF($O654="","",--(OR($O654=3,AND($H654="Sim",$L654=$M654,$I654=$J654,$O654=2))))</x:f>
      </x:c>
      <x:c r="T654" s="59" t="str">
        <x:f>IF($O654="","",--($O654=-2))</x:f>
      </x:c>
      <x:c r="U654" s="59" t="str">
        <x:f>IF($O654="","",--($O654=1))</x:f>
      </x:c>
      <x:c r="V654" s="59" t="n">
        <x:f>--(AND($I654&lt;&gt;"",$J654&lt;&gt;""))</x:f>
        <x:v>0</x:v>
      </x:c>
    </x:row>
    <x:row r="655">
      <x:c r="A655" s="21" t="str">
        <x:f>INDEX(Config!$B$10:$B$16,INT((ROW()-5)/104)+1)</x:f>
        <x:v>Thyago</x:v>
      </x:c>
      <x:c r="B655" s="21" t="str">
        <x:v>GE3</x:v>
      </x:c>
      <x:c r="C655" s="21" t="n">
        <x:v>27</x:v>
      </x:c>
      <x:c r="D655" s="21" t="str">
        <x:v>Grupo E</x:v>
      </x:c>
      <x:c r="E655" s="21" t="str">
        <x:v>2026-06-20</x:v>
      </x:c>
      <x:c r="F655" s="21" t="str">
        <x:f>IFERROR(INDEX('Resultados'!$G$5:$G$108,MATCH($B655,'Resultados'!$A$5:$A$108,0)),"")</x:f>
        <x:v>Alemanha</x:v>
      </x:c>
      <x:c r="G655" s="21" t="str">
        <x:f>IFERROR(INDEX('Resultados'!$J$5:$J$108,MATCH($B655,'Resultados'!$A$5:$A$108,0)),"")</x:f>
        <x:v>Costa do Marfim</x:v>
      </x:c>
      <x:c r="H655" s="21" t="str">
        <x:v>Não</x:v>
      </x:c>
      <x:c r="I655" s="22"/>
      <x:c r="J655" s="22"/>
      <x:c r="K655" s="23"/>
      <x:c r="L655" s="21" t="str">
        <x:f>IFERROR(INDEX('Resultados'!$H$5:$H$108,MATCH($B655,'Resultados'!$A$5:$A$108,0)),"")</x:f>
      </x:c>
      <x:c r="M655" s="21" t="str">
        <x:f>IFERROR(INDEX('Resultados'!$I$5:$I$108,MATCH($B655,'Resultados'!$A$5:$A$108,0)),"")</x:f>
      </x:c>
      <x:c r="N655" s="21" t="str">
        <x:f>IFERROR(INDEX('Resultados'!$L$5:$L$108,MATCH($B655,'Resultados'!$A$5:$A$108,0)),"")</x:f>
      </x:c>
      <x:c r="O655" s="59" t="str">
        <x:f>IF(OR($I655="",$J655="",$L655="",$M655=""),"",IF(AND($H655="Sim",$L655=$M655),IF($I655&lt;&gt;$J655,0,IF(AND($I655=$L655,$J655=$M655),2,1)),IF(AND($I655=$L655,$J655=$M655),3,IF(AND($I655&lt;&gt;$J655,$I655=$M655,$J655=$L655),-2,IF(SIGN($I655-$J655)=SIGN($L655-$M655),1,0)))))</x:f>
      </x:c>
      <x:c r="P655" s="59" t="str">
        <x:f>IF(OR($H655&lt;&gt;"Sim",$I655="",$J655="",$L655="",$M655=""),"",IF(AND(IF($I655&gt;$J655,$F655,IF($I655&lt;$J655,$G655,$K655))&lt;&gt;"",IF($L655&gt;$M655,$F655,IF($L655&lt;$M655,$G655,$N655))&lt;&gt;"",IF($I655&gt;$J655,$F655,IF($I655&lt;$J655,$G655,$K655))=IF($L655&gt;$M655,$F655,IF($L655&lt;$M655,$G655,$N655))),1,0))</x:f>
      </x:c>
      <x:c r="Q655" s="59" t="str">
        <x:f>IF($O655="","",$O655+$P655)</x:f>
      </x:c>
      <x:c r="R655" s="59" t="str">
        <x:f>IF($Q655="","",IF($O655=3,"Cravada",IF(AND($H655="Sim",$L655=$M655,$I655=$J655,$O655=2),"Empate cravado",IF($O655=1,"Resultado certo",IF($O655=-2,"Invertida",IF($P655=1,"Acertou quem passa","Erro"))))))</x:f>
      </x:c>
      <x:c r="S655" s="59" t="str">
        <x:f>IF($O655="","",--(OR($O655=3,AND($H655="Sim",$L655=$M655,$I655=$J655,$O655=2))))</x:f>
      </x:c>
      <x:c r="T655" s="59" t="str">
        <x:f>IF($O655="","",--($O655=-2))</x:f>
      </x:c>
      <x:c r="U655" s="59" t="str">
        <x:f>IF($O655="","",--($O655=1))</x:f>
      </x:c>
      <x:c r="V655" s="59" t="n">
        <x:f>--(AND($I655&lt;&gt;"",$J655&lt;&gt;""))</x:f>
        <x:v>0</x:v>
      </x:c>
    </x:row>
    <x:row r="656">
      <x:c r="A656" s="21" t="str">
        <x:f>INDEX(Config!$B$10:$B$16,INT((ROW()-5)/104)+1)</x:f>
        <x:v>Thyago</x:v>
      </x:c>
      <x:c r="B656" s="21" t="str">
        <x:v>GE4</x:v>
      </x:c>
      <x:c r="C656" s="21" t="n">
        <x:v>28</x:v>
      </x:c>
      <x:c r="D656" s="21" t="str">
        <x:v>Grupo E</x:v>
      </x:c>
      <x:c r="E656" s="21" t="str">
        <x:v>2026-06-20</x:v>
      </x:c>
      <x:c r="F656" s="21" t="str">
        <x:f>IFERROR(INDEX('Resultados'!$G$5:$G$108,MATCH($B656,'Resultados'!$A$5:$A$108,0)),"")</x:f>
        <x:v>Curaçau</x:v>
      </x:c>
      <x:c r="G656" s="21" t="str">
        <x:f>IFERROR(INDEX('Resultados'!$J$5:$J$108,MATCH($B656,'Resultados'!$A$5:$A$108,0)),"")</x:f>
        <x:v>Equador</x:v>
      </x:c>
      <x:c r="H656" s="21" t="str">
        <x:v>Não</x:v>
      </x:c>
      <x:c r="I656" s="22"/>
      <x:c r="J656" s="22"/>
      <x:c r="K656" s="23"/>
      <x:c r="L656" s="21" t="str">
        <x:f>IFERROR(INDEX('Resultados'!$H$5:$H$108,MATCH($B656,'Resultados'!$A$5:$A$108,0)),"")</x:f>
      </x:c>
      <x:c r="M656" s="21" t="str">
        <x:f>IFERROR(INDEX('Resultados'!$I$5:$I$108,MATCH($B656,'Resultados'!$A$5:$A$108,0)),"")</x:f>
      </x:c>
      <x:c r="N656" s="21" t="str">
        <x:f>IFERROR(INDEX('Resultados'!$L$5:$L$108,MATCH($B656,'Resultados'!$A$5:$A$108,0)),"")</x:f>
      </x:c>
      <x:c r="O656" s="59" t="str">
        <x:f>IF(OR($I656="",$J656="",$L656="",$M656=""),"",IF(AND($H656="Sim",$L656=$M656),IF($I656&lt;&gt;$J656,0,IF(AND($I656=$L656,$J656=$M656),2,1)),IF(AND($I656=$L656,$J656=$M656),3,IF(AND($I656&lt;&gt;$J656,$I656=$M656,$J656=$L656),-2,IF(SIGN($I656-$J656)=SIGN($L656-$M656),1,0)))))</x:f>
      </x:c>
      <x:c r="P656" s="59" t="str">
        <x:f>IF(OR($H656&lt;&gt;"Sim",$I656="",$J656="",$L656="",$M656=""),"",IF(AND(IF($I656&gt;$J656,$F656,IF($I656&lt;$J656,$G656,$K656))&lt;&gt;"",IF($L656&gt;$M656,$F656,IF($L656&lt;$M656,$G656,$N656))&lt;&gt;"",IF($I656&gt;$J656,$F656,IF($I656&lt;$J656,$G656,$K656))=IF($L656&gt;$M656,$F656,IF($L656&lt;$M656,$G656,$N656))),1,0))</x:f>
      </x:c>
      <x:c r="Q656" s="59" t="str">
        <x:f>IF($O656="","",$O656+$P656)</x:f>
      </x:c>
      <x:c r="R656" s="59" t="str">
        <x:f>IF($Q656="","",IF($O656=3,"Cravada",IF(AND($H656="Sim",$L656=$M656,$I656=$J656,$O656=2),"Empate cravado",IF($O656=1,"Resultado certo",IF($O656=-2,"Invertida",IF($P656=1,"Acertou quem passa","Erro"))))))</x:f>
      </x:c>
      <x:c r="S656" s="59" t="str">
        <x:f>IF($O656="","",--(OR($O656=3,AND($H656="Sim",$L656=$M656,$I656=$J656,$O656=2))))</x:f>
      </x:c>
      <x:c r="T656" s="59" t="str">
        <x:f>IF($O656="","",--($O656=-2))</x:f>
      </x:c>
      <x:c r="U656" s="59" t="str">
        <x:f>IF($O656="","",--($O656=1))</x:f>
      </x:c>
      <x:c r="V656" s="59" t="n">
        <x:f>--(AND($I656&lt;&gt;"",$J656&lt;&gt;""))</x:f>
        <x:v>0</x:v>
      </x:c>
    </x:row>
    <x:row r="657">
      <x:c r="A657" s="21" t="str">
        <x:f>INDEX(Config!$B$10:$B$16,INT((ROW()-5)/104)+1)</x:f>
        <x:v>Thyago</x:v>
      </x:c>
      <x:c r="B657" s="21" t="str">
        <x:v>GE5</x:v>
      </x:c>
      <x:c r="C657" s="21" t="n">
        <x:v>29</x:v>
      </x:c>
      <x:c r="D657" s="21" t="str">
        <x:v>Grupo E</x:v>
      </x:c>
      <x:c r="E657" s="21" t="str">
        <x:v>2026-06-25</x:v>
      </x:c>
      <x:c r="F657" s="21" t="str">
        <x:f>IFERROR(INDEX('Resultados'!$G$5:$G$108,MATCH($B657,'Resultados'!$A$5:$A$108,0)),"")</x:f>
        <x:v>Alemanha</x:v>
      </x:c>
      <x:c r="G657" s="21" t="str">
        <x:f>IFERROR(INDEX('Resultados'!$J$5:$J$108,MATCH($B657,'Resultados'!$A$5:$A$108,0)),"")</x:f>
        <x:v>Equador</x:v>
      </x:c>
      <x:c r="H657" s="21" t="str">
        <x:v>Não</x:v>
      </x:c>
      <x:c r="I657" s="22"/>
      <x:c r="J657" s="22"/>
      <x:c r="K657" s="23"/>
      <x:c r="L657" s="21" t="str">
        <x:f>IFERROR(INDEX('Resultados'!$H$5:$H$108,MATCH($B657,'Resultados'!$A$5:$A$108,0)),"")</x:f>
      </x:c>
      <x:c r="M657" s="21" t="str">
        <x:f>IFERROR(INDEX('Resultados'!$I$5:$I$108,MATCH($B657,'Resultados'!$A$5:$A$108,0)),"")</x:f>
      </x:c>
      <x:c r="N657" s="21" t="str">
        <x:f>IFERROR(INDEX('Resultados'!$L$5:$L$108,MATCH($B657,'Resultados'!$A$5:$A$108,0)),"")</x:f>
      </x:c>
      <x:c r="O657" s="59" t="str">
        <x:f>IF(OR($I657="",$J657="",$L657="",$M657=""),"",IF(AND($H657="Sim",$L657=$M657),IF($I657&lt;&gt;$J657,0,IF(AND($I657=$L657,$J657=$M657),2,1)),IF(AND($I657=$L657,$J657=$M657),3,IF(AND($I657&lt;&gt;$J657,$I657=$M657,$J657=$L657),-2,IF(SIGN($I657-$J657)=SIGN($L657-$M657),1,0)))))</x:f>
      </x:c>
      <x:c r="P657" s="59" t="str">
        <x:f>IF(OR($H657&lt;&gt;"Sim",$I657="",$J657="",$L657="",$M657=""),"",IF(AND(IF($I657&gt;$J657,$F657,IF($I657&lt;$J657,$G657,$K657))&lt;&gt;"",IF($L657&gt;$M657,$F657,IF($L657&lt;$M657,$G657,$N657))&lt;&gt;"",IF($I657&gt;$J657,$F657,IF($I657&lt;$J657,$G657,$K657))=IF($L657&gt;$M657,$F657,IF($L657&lt;$M657,$G657,$N657))),1,0))</x:f>
      </x:c>
      <x:c r="Q657" s="59" t="str">
        <x:f>IF($O657="","",$O657+$P657)</x:f>
      </x:c>
      <x:c r="R657" s="59" t="str">
        <x:f>IF($Q657="","",IF($O657=3,"Cravada",IF(AND($H657="Sim",$L657=$M657,$I657=$J657,$O657=2),"Empate cravado",IF($O657=1,"Resultado certo",IF($O657=-2,"Invertida",IF($P657=1,"Acertou quem passa","Erro"))))))</x:f>
      </x:c>
      <x:c r="S657" s="59" t="str">
        <x:f>IF($O657="","",--(OR($O657=3,AND($H657="Sim",$L657=$M657,$I657=$J657,$O657=2))))</x:f>
      </x:c>
      <x:c r="T657" s="59" t="str">
        <x:f>IF($O657="","",--($O657=-2))</x:f>
      </x:c>
      <x:c r="U657" s="59" t="str">
        <x:f>IF($O657="","",--($O657=1))</x:f>
      </x:c>
      <x:c r="V657" s="59" t="n">
        <x:f>--(AND($I657&lt;&gt;"",$J657&lt;&gt;""))</x:f>
        <x:v>0</x:v>
      </x:c>
    </x:row>
    <x:row r="658">
      <x:c r="A658" s="21" t="str">
        <x:f>INDEX(Config!$B$10:$B$16,INT((ROW()-5)/104)+1)</x:f>
        <x:v>Thyago</x:v>
      </x:c>
      <x:c r="B658" s="21" t="str">
        <x:v>GE6</x:v>
      </x:c>
      <x:c r="C658" s="21" t="n">
        <x:v>30</x:v>
      </x:c>
      <x:c r="D658" s="21" t="str">
        <x:v>Grupo E</x:v>
      </x:c>
      <x:c r="E658" s="21" t="str">
        <x:v>2026-06-25</x:v>
      </x:c>
      <x:c r="F658" s="21" t="str">
        <x:f>IFERROR(INDEX('Resultados'!$G$5:$G$108,MATCH($B658,'Resultados'!$A$5:$A$108,0)),"")</x:f>
        <x:v>Curaçau</x:v>
      </x:c>
      <x:c r="G658" s="21" t="str">
        <x:f>IFERROR(INDEX('Resultados'!$J$5:$J$108,MATCH($B658,'Resultados'!$A$5:$A$108,0)),"")</x:f>
        <x:v>Costa do Marfim</x:v>
      </x:c>
      <x:c r="H658" s="21" t="str">
        <x:v>Não</x:v>
      </x:c>
      <x:c r="I658" s="22"/>
      <x:c r="J658" s="22"/>
      <x:c r="K658" s="23"/>
      <x:c r="L658" s="21" t="str">
        <x:f>IFERROR(INDEX('Resultados'!$H$5:$H$108,MATCH($B658,'Resultados'!$A$5:$A$108,0)),"")</x:f>
      </x:c>
      <x:c r="M658" s="21" t="str">
        <x:f>IFERROR(INDEX('Resultados'!$I$5:$I$108,MATCH($B658,'Resultados'!$A$5:$A$108,0)),"")</x:f>
      </x:c>
      <x:c r="N658" s="21" t="str">
        <x:f>IFERROR(INDEX('Resultados'!$L$5:$L$108,MATCH($B658,'Resultados'!$A$5:$A$108,0)),"")</x:f>
      </x:c>
      <x:c r="O658" s="59" t="str">
        <x:f>IF(OR($I658="",$J658="",$L658="",$M658=""),"",IF(AND($H658="Sim",$L658=$M658),IF($I658&lt;&gt;$J658,0,IF(AND($I658=$L658,$J658=$M658),2,1)),IF(AND($I658=$L658,$J658=$M658),3,IF(AND($I658&lt;&gt;$J658,$I658=$M658,$J658=$L658),-2,IF(SIGN($I658-$J658)=SIGN($L658-$M658),1,0)))))</x:f>
      </x:c>
      <x:c r="P658" s="59" t="str">
        <x:f>IF(OR($H658&lt;&gt;"Sim",$I658="",$J658="",$L658="",$M658=""),"",IF(AND(IF($I658&gt;$J658,$F658,IF($I658&lt;$J658,$G658,$K658))&lt;&gt;"",IF($L658&gt;$M658,$F658,IF($L658&lt;$M658,$G658,$N658))&lt;&gt;"",IF($I658&gt;$J658,$F658,IF($I658&lt;$J658,$G658,$K658))=IF($L658&gt;$M658,$F658,IF($L658&lt;$M658,$G658,$N658))),1,0))</x:f>
      </x:c>
      <x:c r="Q658" s="59" t="str">
        <x:f>IF($O658="","",$O658+$P658)</x:f>
      </x:c>
      <x:c r="R658" s="59" t="str">
        <x:f>IF($Q658="","",IF($O658=3,"Cravada",IF(AND($H658="Sim",$L658=$M658,$I658=$J658,$O658=2),"Empate cravado",IF($O658=1,"Resultado certo",IF($O658=-2,"Invertida",IF($P658=1,"Acertou quem passa","Erro"))))))</x:f>
      </x:c>
      <x:c r="S658" s="59" t="str">
        <x:f>IF($O658="","",--(OR($O658=3,AND($H658="Sim",$L658=$M658,$I658=$J658,$O658=2))))</x:f>
      </x:c>
      <x:c r="T658" s="59" t="str">
        <x:f>IF($O658="","",--($O658=-2))</x:f>
      </x:c>
      <x:c r="U658" s="59" t="str">
        <x:f>IF($O658="","",--($O658=1))</x:f>
      </x:c>
      <x:c r="V658" s="59" t="n">
        <x:f>--(AND($I658&lt;&gt;"",$J658&lt;&gt;""))</x:f>
        <x:v>0</x:v>
      </x:c>
    </x:row>
    <x:row r="659">
      <x:c r="A659" s="21" t="str">
        <x:f>INDEX(Config!$B$10:$B$16,INT((ROW()-5)/104)+1)</x:f>
        <x:v>Thyago</x:v>
      </x:c>
      <x:c r="B659" s="21" t="str">
        <x:v>GF1</x:v>
      </x:c>
      <x:c r="C659" s="21" t="n">
        <x:v>31</x:v>
      </x:c>
      <x:c r="D659" s="21" t="str">
        <x:v>Grupo F</x:v>
      </x:c>
      <x:c r="E659" s="21" t="str">
        <x:v>2026-06-14</x:v>
      </x:c>
      <x:c r="F659" s="21" t="str">
        <x:f>IFERROR(INDEX('Resultados'!$G$5:$G$108,MATCH($B659,'Resultados'!$A$5:$A$108,0)),"")</x:f>
        <x:v>Holanda</x:v>
      </x:c>
      <x:c r="G659" s="21" t="str">
        <x:f>IFERROR(INDEX('Resultados'!$J$5:$J$108,MATCH($B659,'Resultados'!$A$5:$A$108,0)),"")</x:f>
        <x:v>Japão</x:v>
      </x:c>
      <x:c r="H659" s="21" t="str">
        <x:v>Não</x:v>
      </x:c>
      <x:c r="I659" s="22"/>
      <x:c r="J659" s="22"/>
      <x:c r="K659" s="23"/>
      <x:c r="L659" s="21" t="str">
        <x:f>IFERROR(INDEX('Resultados'!$H$5:$H$108,MATCH($B659,'Resultados'!$A$5:$A$108,0)),"")</x:f>
      </x:c>
      <x:c r="M659" s="21" t="str">
        <x:f>IFERROR(INDEX('Resultados'!$I$5:$I$108,MATCH($B659,'Resultados'!$A$5:$A$108,0)),"")</x:f>
      </x:c>
      <x:c r="N659" s="21" t="str">
        <x:f>IFERROR(INDEX('Resultados'!$L$5:$L$108,MATCH($B659,'Resultados'!$A$5:$A$108,0)),"")</x:f>
      </x:c>
      <x:c r="O659" s="59" t="str">
        <x:f>IF(OR($I659="",$J659="",$L659="",$M659=""),"",IF(AND($H659="Sim",$L659=$M659),IF($I659&lt;&gt;$J659,0,IF(AND($I659=$L659,$J659=$M659),2,1)),IF(AND($I659=$L659,$J659=$M659),3,IF(AND($I659&lt;&gt;$J659,$I659=$M659,$J659=$L659),-2,IF(SIGN($I659-$J659)=SIGN($L659-$M659),1,0)))))</x:f>
      </x:c>
      <x:c r="P659" s="59" t="str">
        <x:f>IF(OR($H659&lt;&gt;"Sim",$I659="",$J659="",$L659="",$M659=""),"",IF(AND(IF($I659&gt;$J659,$F659,IF($I659&lt;$J659,$G659,$K659))&lt;&gt;"",IF($L659&gt;$M659,$F659,IF($L659&lt;$M659,$G659,$N659))&lt;&gt;"",IF($I659&gt;$J659,$F659,IF($I659&lt;$J659,$G659,$K659))=IF($L659&gt;$M659,$F659,IF($L659&lt;$M659,$G659,$N659))),1,0))</x:f>
      </x:c>
      <x:c r="Q659" s="59" t="str">
        <x:f>IF($O659="","",$O659+$P659)</x:f>
      </x:c>
      <x:c r="R659" s="59" t="str">
        <x:f>IF($Q659="","",IF($O659=3,"Cravada",IF(AND($H659="Sim",$L659=$M659,$I659=$J659,$O659=2),"Empate cravado",IF($O659=1,"Resultado certo",IF($O659=-2,"Invertida",IF($P659=1,"Acertou quem passa","Erro"))))))</x:f>
      </x:c>
      <x:c r="S659" s="59" t="str">
        <x:f>IF($O659="","",--(OR($O659=3,AND($H659="Sim",$L659=$M659,$I659=$J659,$O659=2))))</x:f>
      </x:c>
      <x:c r="T659" s="59" t="str">
        <x:f>IF($O659="","",--($O659=-2))</x:f>
      </x:c>
      <x:c r="U659" s="59" t="str">
        <x:f>IF($O659="","",--($O659=1))</x:f>
      </x:c>
      <x:c r="V659" s="59" t="n">
        <x:f>--(AND($I659&lt;&gt;"",$J659&lt;&gt;""))</x:f>
        <x:v>0</x:v>
      </x:c>
    </x:row>
    <x:row r="660">
      <x:c r="A660" s="21" t="str">
        <x:f>INDEX(Config!$B$10:$B$16,INT((ROW()-5)/104)+1)</x:f>
        <x:v>Thyago</x:v>
      </x:c>
      <x:c r="B660" s="21" t="str">
        <x:v>GF2</x:v>
      </x:c>
      <x:c r="C660" s="21" t="n">
        <x:v>32</x:v>
      </x:c>
      <x:c r="D660" s="21" t="str">
        <x:v>Grupo F</x:v>
      </x:c>
      <x:c r="E660" s="21" t="str">
        <x:v>2026-06-14</x:v>
      </x:c>
      <x:c r="F660" s="21" t="str">
        <x:f>IFERROR(INDEX('Resultados'!$G$5:$G$108,MATCH($B660,'Resultados'!$A$5:$A$108,0)),"")</x:f>
        <x:v>Suécia</x:v>
      </x:c>
      <x:c r="G660" s="21" t="str">
        <x:f>IFERROR(INDEX('Resultados'!$J$5:$J$108,MATCH($B660,'Resultados'!$A$5:$A$108,0)),"")</x:f>
        <x:v>Tunísia</x:v>
      </x:c>
      <x:c r="H660" s="21" t="str">
        <x:v>Não</x:v>
      </x:c>
      <x:c r="I660" s="22"/>
      <x:c r="J660" s="22"/>
      <x:c r="K660" s="23"/>
      <x:c r="L660" s="21" t="str">
        <x:f>IFERROR(INDEX('Resultados'!$H$5:$H$108,MATCH($B660,'Resultados'!$A$5:$A$108,0)),"")</x:f>
      </x:c>
      <x:c r="M660" s="21" t="str">
        <x:f>IFERROR(INDEX('Resultados'!$I$5:$I$108,MATCH($B660,'Resultados'!$A$5:$A$108,0)),"")</x:f>
      </x:c>
      <x:c r="N660" s="21" t="str">
        <x:f>IFERROR(INDEX('Resultados'!$L$5:$L$108,MATCH($B660,'Resultados'!$A$5:$A$108,0)),"")</x:f>
      </x:c>
      <x:c r="O660" s="59" t="str">
        <x:f>IF(OR($I660="",$J660="",$L660="",$M660=""),"",IF(AND($H660="Sim",$L660=$M660),IF($I660&lt;&gt;$J660,0,IF(AND($I660=$L660,$J660=$M660),2,1)),IF(AND($I660=$L660,$J660=$M660),3,IF(AND($I660&lt;&gt;$J660,$I660=$M660,$J660=$L660),-2,IF(SIGN($I660-$J660)=SIGN($L660-$M660),1,0)))))</x:f>
      </x:c>
      <x:c r="P660" s="59" t="str">
        <x:f>IF(OR($H660&lt;&gt;"Sim",$I660="",$J660="",$L660="",$M660=""),"",IF(AND(IF($I660&gt;$J660,$F660,IF($I660&lt;$J660,$G660,$K660))&lt;&gt;"",IF($L660&gt;$M660,$F660,IF($L660&lt;$M660,$G660,$N660))&lt;&gt;"",IF($I660&gt;$J660,$F660,IF($I660&lt;$J660,$G660,$K660))=IF($L660&gt;$M660,$F660,IF($L660&lt;$M660,$G660,$N660))),1,0))</x:f>
      </x:c>
      <x:c r="Q660" s="59" t="str">
        <x:f>IF($O660="","",$O660+$P660)</x:f>
      </x:c>
      <x:c r="R660" s="59" t="str">
        <x:f>IF($Q660="","",IF($O660=3,"Cravada",IF(AND($H660="Sim",$L660=$M660,$I660=$J660,$O660=2),"Empate cravado",IF($O660=1,"Resultado certo",IF($O660=-2,"Invertida",IF($P660=1,"Acertou quem passa","Erro"))))))</x:f>
      </x:c>
      <x:c r="S660" s="59" t="str">
        <x:f>IF($O660="","",--(OR($O660=3,AND($H660="Sim",$L660=$M660,$I660=$J660,$O660=2))))</x:f>
      </x:c>
      <x:c r="T660" s="59" t="str">
        <x:f>IF($O660="","",--($O660=-2))</x:f>
      </x:c>
      <x:c r="U660" s="59" t="str">
        <x:f>IF($O660="","",--($O660=1))</x:f>
      </x:c>
      <x:c r="V660" s="59" t="n">
        <x:f>--(AND($I660&lt;&gt;"",$J660&lt;&gt;""))</x:f>
        <x:v>0</x:v>
      </x:c>
    </x:row>
    <x:row r="661">
      <x:c r="A661" s="21" t="str">
        <x:f>INDEX(Config!$B$10:$B$16,INT((ROW()-5)/104)+1)</x:f>
        <x:v>Thyago</x:v>
      </x:c>
      <x:c r="B661" s="21" t="str">
        <x:v>GF3</x:v>
      </x:c>
      <x:c r="C661" s="21" t="n">
        <x:v>33</x:v>
      </x:c>
      <x:c r="D661" s="21" t="str">
        <x:v>Grupo F</x:v>
      </x:c>
      <x:c r="E661" s="21" t="str">
        <x:v>2026-06-20</x:v>
      </x:c>
      <x:c r="F661" s="21" t="str">
        <x:f>IFERROR(INDEX('Resultados'!$G$5:$G$108,MATCH($B661,'Resultados'!$A$5:$A$108,0)),"")</x:f>
        <x:v>Holanda</x:v>
      </x:c>
      <x:c r="G661" s="21" t="str">
        <x:f>IFERROR(INDEX('Resultados'!$J$5:$J$108,MATCH($B661,'Resultados'!$A$5:$A$108,0)),"")</x:f>
        <x:v>Suécia</x:v>
      </x:c>
      <x:c r="H661" s="21" t="str">
        <x:v>Não</x:v>
      </x:c>
      <x:c r="I661" s="22"/>
      <x:c r="J661" s="22"/>
      <x:c r="K661" s="23"/>
      <x:c r="L661" s="21" t="str">
        <x:f>IFERROR(INDEX('Resultados'!$H$5:$H$108,MATCH($B661,'Resultados'!$A$5:$A$108,0)),"")</x:f>
      </x:c>
      <x:c r="M661" s="21" t="str">
        <x:f>IFERROR(INDEX('Resultados'!$I$5:$I$108,MATCH($B661,'Resultados'!$A$5:$A$108,0)),"")</x:f>
      </x:c>
      <x:c r="N661" s="21" t="str">
        <x:f>IFERROR(INDEX('Resultados'!$L$5:$L$108,MATCH($B661,'Resultados'!$A$5:$A$108,0)),"")</x:f>
      </x:c>
      <x:c r="O661" s="59" t="str">
        <x:f>IF(OR($I661="",$J661="",$L661="",$M661=""),"",IF(AND($H661="Sim",$L661=$M661),IF($I661&lt;&gt;$J661,0,IF(AND($I661=$L661,$J661=$M661),2,1)),IF(AND($I661=$L661,$J661=$M661),3,IF(AND($I661&lt;&gt;$J661,$I661=$M661,$J661=$L661),-2,IF(SIGN($I661-$J661)=SIGN($L661-$M661),1,0)))))</x:f>
      </x:c>
      <x:c r="P661" s="59" t="str">
        <x:f>IF(OR($H661&lt;&gt;"Sim",$I661="",$J661="",$L661="",$M661=""),"",IF(AND(IF($I661&gt;$J661,$F661,IF($I661&lt;$J661,$G661,$K661))&lt;&gt;"",IF($L661&gt;$M661,$F661,IF($L661&lt;$M661,$G661,$N661))&lt;&gt;"",IF($I661&gt;$J661,$F661,IF($I661&lt;$J661,$G661,$K661))=IF($L661&gt;$M661,$F661,IF($L661&lt;$M661,$G661,$N661))),1,0))</x:f>
      </x:c>
      <x:c r="Q661" s="59" t="str">
        <x:f>IF($O661="","",$O661+$P661)</x:f>
      </x:c>
      <x:c r="R661" s="59" t="str">
        <x:f>IF($Q661="","",IF($O661=3,"Cravada",IF(AND($H661="Sim",$L661=$M661,$I661=$J661,$O661=2),"Empate cravado",IF($O661=1,"Resultado certo",IF($O661=-2,"Invertida",IF($P661=1,"Acertou quem passa","Erro"))))))</x:f>
      </x:c>
      <x:c r="S661" s="59" t="str">
        <x:f>IF($O661="","",--(OR($O661=3,AND($H661="Sim",$L661=$M661,$I661=$J661,$O661=2))))</x:f>
      </x:c>
      <x:c r="T661" s="59" t="str">
        <x:f>IF($O661="","",--($O661=-2))</x:f>
      </x:c>
      <x:c r="U661" s="59" t="str">
        <x:f>IF($O661="","",--($O661=1))</x:f>
      </x:c>
      <x:c r="V661" s="59" t="n">
        <x:f>--(AND($I661&lt;&gt;"",$J661&lt;&gt;""))</x:f>
        <x:v>0</x:v>
      </x:c>
    </x:row>
    <x:row r="662">
      <x:c r="A662" s="21" t="str">
        <x:f>INDEX(Config!$B$10:$B$16,INT((ROW()-5)/104)+1)</x:f>
        <x:v>Thyago</x:v>
      </x:c>
      <x:c r="B662" s="21" t="str">
        <x:v>GF4</x:v>
      </x:c>
      <x:c r="C662" s="21" t="n">
        <x:v>34</x:v>
      </x:c>
      <x:c r="D662" s="21" t="str">
        <x:v>Grupo F</x:v>
      </x:c>
      <x:c r="E662" s="21" t="str">
        <x:v>2026-06-21</x:v>
      </x:c>
      <x:c r="F662" s="21" t="str">
        <x:f>IFERROR(INDEX('Resultados'!$G$5:$G$108,MATCH($B662,'Resultados'!$A$5:$A$108,0)),"")</x:f>
        <x:v>Japão</x:v>
      </x:c>
      <x:c r="G662" s="21" t="str">
        <x:f>IFERROR(INDEX('Resultados'!$J$5:$J$108,MATCH($B662,'Resultados'!$A$5:$A$108,0)),"")</x:f>
        <x:v>Tunísia</x:v>
      </x:c>
      <x:c r="H662" s="21" t="str">
        <x:v>Não</x:v>
      </x:c>
      <x:c r="I662" s="22"/>
      <x:c r="J662" s="22"/>
      <x:c r="K662" s="23"/>
      <x:c r="L662" s="21" t="str">
        <x:f>IFERROR(INDEX('Resultados'!$H$5:$H$108,MATCH($B662,'Resultados'!$A$5:$A$108,0)),"")</x:f>
      </x:c>
      <x:c r="M662" s="21" t="str">
        <x:f>IFERROR(INDEX('Resultados'!$I$5:$I$108,MATCH($B662,'Resultados'!$A$5:$A$108,0)),"")</x:f>
      </x:c>
      <x:c r="N662" s="21" t="str">
        <x:f>IFERROR(INDEX('Resultados'!$L$5:$L$108,MATCH($B662,'Resultados'!$A$5:$A$108,0)),"")</x:f>
      </x:c>
      <x:c r="O662" s="59" t="str">
        <x:f>IF(OR($I662="",$J662="",$L662="",$M662=""),"",IF(AND($H662="Sim",$L662=$M662),IF($I662&lt;&gt;$J662,0,IF(AND($I662=$L662,$J662=$M662),2,1)),IF(AND($I662=$L662,$J662=$M662),3,IF(AND($I662&lt;&gt;$J662,$I662=$M662,$J662=$L662),-2,IF(SIGN($I662-$J662)=SIGN($L662-$M662),1,0)))))</x:f>
      </x:c>
      <x:c r="P662" s="59" t="str">
        <x:f>IF(OR($H662&lt;&gt;"Sim",$I662="",$J662="",$L662="",$M662=""),"",IF(AND(IF($I662&gt;$J662,$F662,IF($I662&lt;$J662,$G662,$K662))&lt;&gt;"",IF($L662&gt;$M662,$F662,IF($L662&lt;$M662,$G662,$N662))&lt;&gt;"",IF($I662&gt;$J662,$F662,IF($I662&lt;$J662,$G662,$K662))=IF($L662&gt;$M662,$F662,IF($L662&lt;$M662,$G662,$N662))),1,0))</x:f>
      </x:c>
      <x:c r="Q662" s="59" t="str">
        <x:f>IF($O662="","",$O662+$P662)</x:f>
      </x:c>
      <x:c r="R662" s="59" t="str">
        <x:f>IF($Q662="","",IF($O662=3,"Cravada",IF(AND($H662="Sim",$L662=$M662,$I662=$J662,$O662=2),"Empate cravado",IF($O662=1,"Resultado certo",IF($O662=-2,"Invertida",IF($P662=1,"Acertou quem passa","Erro"))))))</x:f>
      </x:c>
      <x:c r="S662" s="59" t="str">
        <x:f>IF($O662="","",--(OR($O662=3,AND($H662="Sim",$L662=$M662,$I662=$J662,$O662=2))))</x:f>
      </x:c>
      <x:c r="T662" s="59" t="str">
        <x:f>IF($O662="","",--($O662=-2))</x:f>
      </x:c>
      <x:c r="U662" s="59" t="str">
        <x:f>IF($O662="","",--($O662=1))</x:f>
      </x:c>
      <x:c r="V662" s="59" t="n">
        <x:f>--(AND($I662&lt;&gt;"",$J662&lt;&gt;""))</x:f>
        <x:v>0</x:v>
      </x:c>
    </x:row>
    <x:row r="663">
      <x:c r="A663" s="21" t="str">
        <x:f>INDEX(Config!$B$10:$B$16,INT((ROW()-5)/104)+1)</x:f>
        <x:v>Thyago</x:v>
      </x:c>
      <x:c r="B663" s="21" t="str">
        <x:v>GF5</x:v>
      </x:c>
      <x:c r="C663" s="21" t="n">
        <x:v>35</x:v>
      </x:c>
      <x:c r="D663" s="21" t="str">
        <x:v>Grupo F</x:v>
      </x:c>
      <x:c r="E663" s="21" t="str">
        <x:v>2026-06-25</x:v>
      </x:c>
      <x:c r="F663" s="21" t="str">
        <x:f>IFERROR(INDEX('Resultados'!$G$5:$G$108,MATCH($B663,'Resultados'!$A$5:$A$108,0)),"")</x:f>
        <x:v>Holanda</x:v>
      </x:c>
      <x:c r="G663" s="21" t="str">
        <x:f>IFERROR(INDEX('Resultados'!$J$5:$J$108,MATCH($B663,'Resultados'!$A$5:$A$108,0)),"")</x:f>
        <x:v>Tunísia</x:v>
      </x:c>
      <x:c r="H663" s="21" t="str">
        <x:v>Não</x:v>
      </x:c>
      <x:c r="I663" s="22"/>
      <x:c r="J663" s="22"/>
      <x:c r="K663" s="23"/>
      <x:c r="L663" s="21" t="str">
        <x:f>IFERROR(INDEX('Resultados'!$H$5:$H$108,MATCH($B663,'Resultados'!$A$5:$A$108,0)),"")</x:f>
      </x:c>
      <x:c r="M663" s="21" t="str">
        <x:f>IFERROR(INDEX('Resultados'!$I$5:$I$108,MATCH($B663,'Resultados'!$A$5:$A$108,0)),"")</x:f>
      </x:c>
      <x:c r="N663" s="21" t="str">
        <x:f>IFERROR(INDEX('Resultados'!$L$5:$L$108,MATCH($B663,'Resultados'!$A$5:$A$108,0)),"")</x:f>
      </x:c>
      <x:c r="O663" s="59" t="str">
        <x:f>IF(OR($I663="",$J663="",$L663="",$M663=""),"",IF(AND($H663="Sim",$L663=$M663),IF($I663&lt;&gt;$J663,0,IF(AND($I663=$L663,$J663=$M663),2,1)),IF(AND($I663=$L663,$J663=$M663),3,IF(AND($I663&lt;&gt;$J663,$I663=$M663,$J663=$L663),-2,IF(SIGN($I663-$J663)=SIGN($L663-$M663),1,0)))))</x:f>
      </x:c>
      <x:c r="P663" s="59" t="str">
        <x:f>IF(OR($H663&lt;&gt;"Sim",$I663="",$J663="",$L663="",$M663=""),"",IF(AND(IF($I663&gt;$J663,$F663,IF($I663&lt;$J663,$G663,$K663))&lt;&gt;"",IF($L663&gt;$M663,$F663,IF($L663&lt;$M663,$G663,$N663))&lt;&gt;"",IF($I663&gt;$J663,$F663,IF($I663&lt;$J663,$G663,$K663))=IF($L663&gt;$M663,$F663,IF($L663&lt;$M663,$G663,$N663))),1,0))</x:f>
      </x:c>
      <x:c r="Q663" s="59" t="str">
        <x:f>IF($O663="","",$O663+$P663)</x:f>
      </x:c>
      <x:c r="R663" s="59" t="str">
        <x:f>IF($Q663="","",IF($O663=3,"Cravada",IF(AND($H663="Sim",$L663=$M663,$I663=$J663,$O663=2),"Empate cravado",IF($O663=1,"Resultado certo",IF($O663=-2,"Invertida",IF($P663=1,"Acertou quem passa","Erro"))))))</x:f>
      </x:c>
      <x:c r="S663" s="59" t="str">
        <x:f>IF($O663="","",--(OR($O663=3,AND($H663="Sim",$L663=$M663,$I663=$J663,$O663=2))))</x:f>
      </x:c>
      <x:c r="T663" s="59" t="str">
        <x:f>IF($O663="","",--($O663=-2))</x:f>
      </x:c>
      <x:c r="U663" s="59" t="str">
        <x:f>IF($O663="","",--($O663=1))</x:f>
      </x:c>
      <x:c r="V663" s="59" t="n">
        <x:f>--(AND($I663&lt;&gt;"",$J663&lt;&gt;""))</x:f>
        <x:v>0</x:v>
      </x:c>
    </x:row>
    <x:row r="664">
      <x:c r="A664" s="21" t="str">
        <x:f>INDEX(Config!$B$10:$B$16,INT((ROW()-5)/104)+1)</x:f>
        <x:v>Thyago</x:v>
      </x:c>
      <x:c r="B664" s="21" t="str">
        <x:v>GF6</x:v>
      </x:c>
      <x:c r="C664" s="21" t="n">
        <x:v>36</x:v>
      </x:c>
      <x:c r="D664" s="21" t="str">
        <x:v>Grupo F</x:v>
      </x:c>
      <x:c r="E664" s="21" t="str">
        <x:v>2026-06-25</x:v>
      </x:c>
      <x:c r="F664" s="21" t="str">
        <x:f>IFERROR(INDEX('Resultados'!$G$5:$G$108,MATCH($B664,'Resultados'!$A$5:$A$108,0)),"")</x:f>
        <x:v>Japão</x:v>
      </x:c>
      <x:c r="G664" s="21" t="str">
        <x:f>IFERROR(INDEX('Resultados'!$J$5:$J$108,MATCH($B664,'Resultados'!$A$5:$A$108,0)),"")</x:f>
        <x:v>Suécia</x:v>
      </x:c>
      <x:c r="H664" s="21" t="str">
        <x:v>Não</x:v>
      </x:c>
      <x:c r="I664" s="22"/>
      <x:c r="J664" s="22"/>
      <x:c r="K664" s="23"/>
      <x:c r="L664" s="21" t="str">
        <x:f>IFERROR(INDEX('Resultados'!$H$5:$H$108,MATCH($B664,'Resultados'!$A$5:$A$108,0)),"")</x:f>
      </x:c>
      <x:c r="M664" s="21" t="str">
        <x:f>IFERROR(INDEX('Resultados'!$I$5:$I$108,MATCH($B664,'Resultados'!$A$5:$A$108,0)),"")</x:f>
      </x:c>
      <x:c r="N664" s="21" t="str">
        <x:f>IFERROR(INDEX('Resultados'!$L$5:$L$108,MATCH($B664,'Resultados'!$A$5:$A$108,0)),"")</x:f>
      </x:c>
      <x:c r="O664" s="59" t="str">
        <x:f>IF(OR($I664="",$J664="",$L664="",$M664=""),"",IF(AND($H664="Sim",$L664=$M664),IF($I664&lt;&gt;$J664,0,IF(AND($I664=$L664,$J664=$M664),2,1)),IF(AND($I664=$L664,$J664=$M664),3,IF(AND($I664&lt;&gt;$J664,$I664=$M664,$J664=$L664),-2,IF(SIGN($I664-$J664)=SIGN($L664-$M664),1,0)))))</x:f>
      </x:c>
      <x:c r="P664" s="59" t="str">
        <x:f>IF(OR($H664&lt;&gt;"Sim",$I664="",$J664="",$L664="",$M664=""),"",IF(AND(IF($I664&gt;$J664,$F664,IF($I664&lt;$J664,$G664,$K664))&lt;&gt;"",IF($L664&gt;$M664,$F664,IF($L664&lt;$M664,$G664,$N664))&lt;&gt;"",IF($I664&gt;$J664,$F664,IF($I664&lt;$J664,$G664,$K664))=IF($L664&gt;$M664,$F664,IF($L664&lt;$M664,$G664,$N664))),1,0))</x:f>
      </x:c>
      <x:c r="Q664" s="59" t="str">
        <x:f>IF($O664="","",$O664+$P664)</x:f>
      </x:c>
      <x:c r="R664" s="59" t="str">
        <x:f>IF($Q664="","",IF($O664=3,"Cravada",IF(AND($H664="Sim",$L664=$M664,$I664=$J664,$O664=2),"Empate cravado",IF($O664=1,"Resultado certo",IF($O664=-2,"Invertida",IF($P664=1,"Acertou quem passa","Erro"))))))</x:f>
      </x:c>
      <x:c r="S664" s="59" t="str">
        <x:f>IF($O664="","",--(OR($O664=3,AND($H664="Sim",$L664=$M664,$I664=$J664,$O664=2))))</x:f>
      </x:c>
      <x:c r="T664" s="59" t="str">
        <x:f>IF($O664="","",--($O664=-2))</x:f>
      </x:c>
      <x:c r="U664" s="59" t="str">
        <x:f>IF($O664="","",--($O664=1))</x:f>
      </x:c>
      <x:c r="V664" s="59" t="n">
        <x:f>--(AND($I664&lt;&gt;"",$J664&lt;&gt;""))</x:f>
        <x:v>0</x:v>
      </x:c>
    </x:row>
    <x:row r="665">
      <x:c r="A665" s="21" t="str">
        <x:f>INDEX(Config!$B$10:$B$16,INT((ROW()-5)/104)+1)</x:f>
        <x:v>Thyago</x:v>
      </x:c>
      <x:c r="B665" s="21" t="str">
        <x:v>GG1</x:v>
      </x:c>
      <x:c r="C665" s="21" t="n">
        <x:v>37</x:v>
      </x:c>
      <x:c r="D665" s="21" t="str">
        <x:v>Grupo G</x:v>
      </x:c>
      <x:c r="E665" s="21" t="str">
        <x:v>2026-06-15</x:v>
      </x:c>
      <x:c r="F665" s="21" t="str">
        <x:f>IFERROR(INDEX('Resultados'!$G$5:$G$108,MATCH($B665,'Resultados'!$A$5:$A$108,0)),"")</x:f>
        <x:v>Bélgica</x:v>
      </x:c>
      <x:c r="G665" s="21" t="str">
        <x:f>IFERROR(INDEX('Resultados'!$J$5:$J$108,MATCH($B665,'Resultados'!$A$5:$A$108,0)),"")</x:f>
        <x:v>Egito</x:v>
      </x:c>
      <x:c r="H665" s="21" t="str">
        <x:v>Não</x:v>
      </x:c>
      <x:c r="I665" s="22"/>
      <x:c r="J665" s="22"/>
      <x:c r="K665" s="23"/>
      <x:c r="L665" s="21" t="str">
        <x:f>IFERROR(INDEX('Resultados'!$H$5:$H$108,MATCH($B665,'Resultados'!$A$5:$A$108,0)),"")</x:f>
      </x:c>
      <x:c r="M665" s="21" t="str">
        <x:f>IFERROR(INDEX('Resultados'!$I$5:$I$108,MATCH($B665,'Resultados'!$A$5:$A$108,0)),"")</x:f>
      </x:c>
      <x:c r="N665" s="21" t="str">
        <x:f>IFERROR(INDEX('Resultados'!$L$5:$L$108,MATCH($B665,'Resultados'!$A$5:$A$108,0)),"")</x:f>
      </x:c>
      <x:c r="O665" s="59" t="str">
        <x:f>IF(OR($I665="",$J665="",$L665="",$M665=""),"",IF(AND($H665="Sim",$L665=$M665),IF($I665&lt;&gt;$J665,0,IF(AND($I665=$L665,$J665=$M665),2,1)),IF(AND($I665=$L665,$J665=$M665),3,IF(AND($I665&lt;&gt;$J665,$I665=$M665,$J665=$L665),-2,IF(SIGN($I665-$J665)=SIGN($L665-$M665),1,0)))))</x:f>
      </x:c>
      <x:c r="P665" s="59" t="str">
        <x:f>IF(OR($H665&lt;&gt;"Sim",$I665="",$J665="",$L665="",$M665=""),"",IF(AND(IF($I665&gt;$J665,$F665,IF($I665&lt;$J665,$G665,$K665))&lt;&gt;"",IF($L665&gt;$M665,$F665,IF($L665&lt;$M665,$G665,$N665))&lt;&gt;"",IF($I665&gt;$J665,$F665,IF($I665&lt;$J665,$G665,$K665))=IF($L665&gt;$M665,$F665,IF($L665&lt;$M665,$G665,$N665))),1,0))</x:f>
      </x:c>
      <x:c r="Q665" s="59" t="str">
        <x:f>IF($O665="","",$O665+$P665)</x:f>
      </x:c>
      <x:c r="R665" s="59" t="str">
        <x:f>IF($Q665="","",IF($O665=3,"Cravada",IF(AND($H665="Sim",$L665=$M665,$I665=$J665,$O665=2),"Empate cravado",IF($O665=1,"Resultado certo",IF($O665=-2,"Invertida",IF($P665=1,"Acertou quem passa","Erro"))))))</x:f>
      </x:c>
      <x:c r="S665" s="59" t="str">
        <x:f>IF($O665="","",--(OR($O665=3,AND($H665="Sim",$L665=$M665,$I665=$J665,$O665=2))))</x:f>
      </x:c>
      <x:c r="T665" s="59" t="str">
        <x:f>IF($O665="","",--($O665=-2))</x:f>
      </x:c>
      <x:c r="U665" s="59" t="str">
        <x:f>IF($O665="","",--($O665=1))</x:f>
      </x:c>
      <x:c r="V665" s="59" t="n">
        <x:f>--(AND($I665&lt;&gt;"",$J665&lt;&gt;""))</x:f>
        <x:v>0</x:v>
      </x:c>
    </x:row>
    <x:row r="666">
      <x:c r="A666" s="21" t="str">
        <x:f>INDEX(Config!$B$10:$B$16,INT((ROW()-5)/104)+1)</x:f>
        <x:v>Thyago</x:v>
      </x:c>
      <x:c r="B666" s="21" t="str">
        <x:v>GG2</x:v>
      </x:c>
      <x:c r="C666" s="21" t="n">
        <x:v>38</x:v>
      </x:c>
      <x:c r="D666" s="21" t="str">
        <x:v>Grupo G</x:v>
      </x:c>
      <x:c r="E666" s="21" t="str">
        <x:v>2026-06-15</x:v>
      </x:c>
      <x:c r="F666" s="21" t="str">
        <x:f>IFERROR(INDEX('Resultados'!$G$5:$G$108,MATCH($B666,'Resultados'!$A$5:$A$108,0)),"")</x:f>
        <x:v>Irã</x:v>
      </x:c>
      <x:c r="G666" s="21" t="str">
        <x:f>IFERROR(INDEX('Resultados'!$J$5:$J$108,MATCH($B666,'Resultados'!$A$5:$A$108,0)),"")</x:f>
        <x:v>Nova Zelândia</x:v>
      </x:c>
      <x:c r="H666" s="21" t="str">
        <x:v>Não</x:v>
      </x:c>
      <x:c r="I666" s="22"/>
      <x:c r="J666" s="22"/>
      <x:c r="K666" s="23"/>
      <x:c r="L666" s="21" t="str">
        <x:f>IFERROR(INDEX('Resultados'!$H$5:$H$108,MATCH($B666,'Resultados'!$A$5:$A$108,0)),"")</x:f>
      </x:c>
      <x:c r="M666" s="21" t="str">
        <x:f>IFERROR(INDEX('Resultados'!$I$5:$I$108,MATCH($B666,'Resultados'!$A$5:$A$108,0)),"")</x:f>
      </x:c>
      <x:c r="N666" s="21" t="str">
        <x:f>IFERROR(INDEX('Resultados'!$L$5:$L$108,MATCH($B666,'Resultados'!$A$5:$A$108,0)),"")</x:f>
      </x:c>
      <x:c r="O666" s="59" t="str">
        <x:f>IF(OR($I666="",$J666="",$L666="",$M666=""),"",IF(AND($H666="Sim",$L666=$M666),IF($I666&lt;&gt;$J666,0,IF(AND($I666=$L666,$J666=$M666),2,1)),IF(AND($I666=$L666,$J666=$M666),3,IF(AND($I666&lt;&gt;$J666,$I666=$M666,$J666=$L666),-2,IF(SIGN($I666-$J666)=SIGN($L666-$M666),1,0)))))</x:f>
      </x:c>
      <x:c r="P666" s="59" t="str">
        <x:f>IF(OR($H666&lt;&gt;"Sim",$I666="",$J666="",$L666="",$M666=""),"",IF(AND(IF($I666&gt;$J666,$F666,IF($I666&lt;$J666,$G666,$K666))&lt;&gt;"",IF($L666&gt;$M666,$F666,IF($L666&lt;$M666,$G666,$N666))&lt;&gt;"",IF($I666&gt;$J666,$F666,IF($I666&lt;$J666,$G666,$K666))=IF($L666&gt;$M666,$F666,IF($L666&lt;$M666,$G666,$N666))),1,0))</x:f>
      </x:c>
      <x:c r="Q666" s="59" t="str">
        <x:f>IF($O666="","",$O666+$P666)</x:f>
      </x:c>
      <x:c r="R666" s="59" t="str">
        <x:f>IF($Q666="","",IF($O666=3,"Cravada",IF(AND($H666="Sim",$L666=$M666,$I666=$J666,$O666=2),"Empate cravado",IF($O666=1,"Resultado certo",IF($O666=-2,"Invertida",IF($P666=1,"Acertou quem passa","Erro"))))))</x:f>
      </x:c>
      <x:c r="S666" s="59" t="str">
        <x:f>IF($O666="","",--(OR($O666=3,AND($H666="Sim",$L666=$M666,$I666=$J666,$O666=2))))</x:f>
      </x:c>
      <x:c r="T666" s="59" t="str">
        <x:f>IF($O666="","",--($O666=-2))</x:f>
      </x:c>
      <x:c r="U666" s="59" t="str">
        <x:f>IF($O666="","",--($O666=1))</x:f>
      </x:c>
      <x:c r="V666" s="59" t="n">
        <x:f>--(AND($I666&lt;&gt;"",$J666&lt;&gt;""))</x:f>
        <x:v>0</x:v>
      </x:c>
    </x:row>
    <x:row r="667">
      <x:c r="A667" s="21" t="str">
        <x:f>INDEX(Config!$B$10:$B$16,INT((ROW()-5)/104)+1)</x:f>
        <x:v>Thyago</x:v>
      </x:c>
      <x:c r="B667" s="21" t="str">
        <x:v>GG3</x:v>
      </x:c>
      <x:c r="C667" s="21" t="n">
        <x:v>39</x:v>
      </x:c>
      <x:c r="D667" s="21" t="str">
        <x:v>Grupo G</x:v>
      </x:c>
      <x:c r="E667" s="21" t="str">
        <x:v>2026-06-21</x:v>
      </x:c>
      <x:c r="F667" s="21" t="str">
        <x:f>IFERROR(INDEX('Resultados'!$G$5:$G$108,MATCH($B667,'Resultados'!$A$5:$A$108,0)),"")</x:f>
        <x:v>Bélgica</x:v>
      </x:c>
      <x:c r="G667" s="21" t="str">
        <x:f>IFERROR(INDEX('Resultados'!$J$5:$J$108,MATCH($B667,'Resultados'!$A$5:$A$108,0)),"")</x:f>
        <x:v>Irã</x:v>
      </x:c>
      <x:c r="H667" s="21" t="str">
        <x:v>Não</x:v>
      </x:c>
      <x:c r="I667" s="22"/>
      <x:c r="J667" s="22"/>
      <x:c r="K667" s="23"/>
      <x:c r="L667" s="21" t="str">
        <x:f>IFERROR(INDEX('Resultados'!$H$5:$H$108,MATCH($B667,'Resultados'!$A$5:$A$108,0)),"")</x:f>
      </x:c>
      <x:c r="M667" s="21" t="str">
        <x:f>IFERROR(INDEX('Resultados'!$I$5:$I$108,MATCH($B667,'Resultados'!$A$5:$A$108,0)),"")</x:f>
      </x:c>
      <x:c r="N667" s="21" t="str">
        <x:f>IFERROR(INDEX('Resultados'!$L$5:$L$108,MATCH($B667,'Resultados'!$A$5:$A$108,0)),"")</x:f>
      </x:c>
      <x:c r="O667" s="59" t="str">
        <x:f>IF(OR($I667="",$J667="",$L667="",$M667=""),"",IF(AND($H667="Sim",$L667=$M667),IF($I667&lt;&gt;$J667,0,IF(AND($I667=$L667,$J667=$M667),2,1)),IF(AND($I667=$L667,$J667=$M667),3,IF(AND($I667&lt;&gt;$J667,$I667=$M667,$J667=$L667),-2,IF(SIGN($I667-$J667)=SIGN($L667-$M667),1,0)))))</x:f>
      </x:c>
      <x:c r="P667" s="59" t="str">
        <x:f>IF(OR($H667&lt;&gt;"Sim",$I667="",$J667="",$L667="",$M667=""),"",IF(AND(IF($I667&gt;$J667,$F667,IF($I667&lt;$J667,$G667,$K667))&lt;&gt;"",IF($L667&gt;$M667,$F667,IF($L667&lt;$M667,$G667,$N667))&lt;&gt;"",IF($I667&gt;$J667,$F667,IF($I667&lt;$J667,$G667,$K667))=IF($L667&gt;$M667,$F667,IF($L667&lt;$M667,$G667,$N667))),1,0))</x:f>
      </x:c>
      <x:c r="Q667" s="59" t="str">
        <x:f>IF($O667="","",$O667+$P667)</x:f>
      </x:c>
      <x:c r="R667" s="59" t="str">
        <x:f>IF($Q667="","",IF($O667=3,"Cravada",IF(AND($H667="Sim",$L667=$M667,$I667=$J667,$O667=2),"Empate cravado",IF($O667=1,"Resultado certo",IF($O667=-2,"Invertida",IF($P667=1,"Acertou quem passa","Erro"))))))</x:f>
      </x:c>
      <x:c r="S667" s="59" t="str">
        <x:f>IF($O667="","",--(OR($O667=3,AND($H667="Sim",$L667=$M667,$I667=$J667,$O667=2))))</x:f>
      </x:c>
      <x:c r="T667" s="59" t="str">
        <x:f>IF($O667="","",--($O667=-2))</x:f>
      </x:c>
      <x:c r="U667" s="59" t="str">
        <x:f>IF($O667="","",--($O667=1))</x:f>
      </x:c>
      <x:c r="V667" s="59" t="n">
        <x:f>--(AND($I667&lt;&gt;"",$J667&lt;&gt;""))</x:f>
        <x:v>0</x:v>
      </x:c>
    </x:row>
    <x:row r="668">
      <x:c r="A668" s="21" t="str">
        <x:f>INDEX(Config!$B$10:$B$16,INT((ROW()-5)/104)+1)</x:f>
        <x:v>Thyago</x:v>
      </x:c>
      <x:c r="B668" s="21" t="str">
        <x:v>GG4</x:v>
      </x:c>
      <x:c r="C668" s="21" t="n">
        <x:v>40</x:v>
      </x:c>
      <x:c r="D668" s="21" t="str">
        <x:v>Grupo G</x:v>
      </x:c>
      <x:c r="E668" s="21" t="str">
        <x:v>2026-06-21</x:v>
      </x:c>
      <x:c r="F668" s="21" t="str">
        <x:f>IFERROR(INDEX('Resultados'!$G$5:$G$108,MATCH($B668,'Resultados'!$A$5:$A$108,0)),"")</x:f>
        <x:v>Egito</x:v>
      </x:c>
      <x:c r="G668" s="21" t="str">
        <x:f>IFERROR(INDEX('Resultados'!$J$5:$J$108,MATCH($B668,'Resultados'!$A$5:$A$108,0)),"")</x:f>
        <x:v>Nova Zelândia</x:v>
      </x:c>
      <x:c r="H668" s="21" t="str">
        <x:v>Não</x:v>
      </x:c>
      <x:c r="I668" s="22"/>
      <x:c r="J668" s="22"/>
      <x:c r="K668" s="23"/>
      <x:c r="L668" s="21" t="str">
        <x:f>IFERROR(INDEX('Resultados'!$H$5:$H$108,MATCH($B668,'Resultados'!$A$5:$A$108,0)),"")</x:f>
      </x:c>
      <x:c r="M668" s="21" t="str">
        <x:f>IFERROR(INDEX('Resultados'!$I$5:$I$108,MATCH($B668,'Resultados'!$A$5:$A$108,0)),"")</x:f>
      </x:c>
      <x:c r="N668" s="21" t="str">
        <x:f>IFERROR(INDEX('Resultados'!$L$5:$L$108,MATCH($B668,'Resultados'!$A$5:$A$108,0)),"")</x:f>
      </x:c>
      <x:c r="O668" s="59" t="str">
        <x:f>IF(OR($I668="",$J668="",$L668="",$M668=""),"",IF(AND($H668="Sim",$L668=$M668),IF($I668&lt;&gt;$J668,0,IF(AND($I668=$L668,$J668=$M668),2,1)),IF(AND($I668=$L668,$J668=$M668),3,IF(AND($I668&lt;&gt;$J668,$I668=$M668,$J668=$L668),-2,IF(SIGN($I668-$J668)=SIGN($L668-$M668),1,0)))))</x:f>
      </x:c>
      <x:c r="P668" s="59" t="str">
        <x:f>IF(OR($H668&lt;&gt;"Sim",$I668="",$J668="",$L668="",$M668=""),"",IF(AND(IF($I668&gt;$J668,$F668,IF($I668&lt;$J668,$G668,$K668))&lt;&gt;"",IF($L668&gt;$M668,$F668,IF($L668&lt;$M668,$G668,$N668))&lt;&gt;"",IF($I668&gt;$J668,$F668,IF($I668&lt;$J668,$G668,$K668))=IF($L668&gt;$M668,$F668,IF($L668&lt;$M668,$G668,$N668))),1,0))</x:f>
      </x:c>
      <x:c r="Q668" s="59" t="str">
        <x:f>IF($O668="","",$O668+$P668)</x:f>
      </x:c>
      <x:c r="R668" s="59" t="str">
        <x:f>IF($Q668="","",IF($O668=3,"Cravada",IF(AND($H668="Sim",$L668=$M668,$I668=$J668,$O668=2),"Empate cravado",IF($O668=1,"Resultado certo",IF($O668=-2,"Invertida",IF($P668=1,"Acertou quem passa","Erro"))))))</x:f>
      </x:c>
      <x:c r="S668" s="59" t="str">
        <x:f>IF($O668="","",--(OR($O668=3,AND($H668="Sim",$L668=$M668,$I668=$J668,$O668=2))))</x:f>
      </x:c>
      <x:c r="T668" s="59" t="str">
        <x:f>IF($O668="","",--($O668=-2))</x:f>
      </x:c>
      <x:c r="U668" s="59" t="str">
        <x:f>IF($O668="","",--($O668=1))</x:f>
      </x:c>
      <x:c r="V668" s="59" t="n">
        <x:f>--(AND($I668&lt;&gt;"",$J668&lt;&gt;""))</x:f>
        <x:v>0</x:v>
      </x:c>
    </x:row>
    <x:row r="669">
      <x:c r="A669" s="21" t="str">
        <x:f>INDEX(Config!$B$10:$B$16,INT((ROW()-5)/104)+1)</x:f>
        <x:v>Thyago</x:v>
      </x:c>
      <x:c r="B669" s="21" t="str">
        <x:v>GG5</x:v>
      </x:c>
      <x:c r="C669" s="21" t="n">
        <x:v>41</x:v>
      </x:c>
      <x:c r="D669" s="21" t="str">
        <x:v>Grupo G</x:v>
      </x:c>
      <x:c r="E669" s="21" t="str">
        <x:v>2026-06-27</x:v>
      </x:c>
      <x:c r="F669" s="21" t="str">
        <x:f>IFERROR(INDEX('Resultados'!$G$5:$G$108,MATCH($B669,'Resultados'!$A$5:$A$108,0)),"")</x:f>
        <x:v>Bélgica</x:v>
      </x:c>
      <x:c r="G669" s="21" t="str">
        <x:f>IFERROR(INDEX('Resultados'!$J$5:$J$108,MATCH($B669,'Resultados'!$A$5:$A$108,0)),"")</x:f>
        <x:v>Nova Zelândia</x:v>
      </x:c>
      <x:c r="H669" s="21" t="str">
        <x:v>Não</x:v>
      </x:c>
      <x:c r="I669" s="22"/>
      <x:c r="J669" s="22"/>
      <x:c r="K669" s="23"/>
      <x:c r="L669" s="21" t="str">
        <x:f>IFERROR(INDEX('Resultados'!$H$5:$H$108,MATCH($B669,'Resultados'!$A$5:$A$108,0)),"")</x:f>
      </x:c>
      <x:c r="M669" s="21" t="str">
        <x:f>IFERROR(INDEX('Resultados'!$I$5:$I$108,MATCH($B669,'Resultados'!$A$5:$A$108,0)),"")</x:f>
      </x:c>
      <x:c r="N669" s="21" t="str">
        <x:f>IFERROR(INDEX('Resultados'!$L$5:$L$108,MATCH($B669,'Resultados'!$A$5:$A$108,0)),"")</x:f>
      </x:c>
      <x:c r="O669" s="59" t="str">
        <x:f>IF(OR($I669="",$J669="",$L669="",$M669=""),"",IF(AND($H669="Sim",$L669=$M669),IF($I669&lt;&gt;$J669,0,IF(AND($I669=$L669,$J669=$M669),2,1)),IF(AND($I669=$L669,$J669=$M669),3,IF(AND($I669&lt;&gt;$J669,$I669=$M669,$J669=$L669),-2,IF(SIGN($I669-$J669)=SIGN($L669-$M669),1,0)))))</x:f>
      </x:c>
      <x:c r="P669" s="59" t="str">
        <x:f>IF(OR($H669&lt;&gt;"Sim",$I669="",$J669="",$L669="",$M669=""),"",IF(AND(IF($I669&gt;$J669,$F669,IF($I669&lt;$J669,$G669,$K669))&lt;&gt;"",IF($L669&gt;$M669,$F669,IF($L669&lt;$M669,$G669,$N669))&lt;&gt;"",IF($I669&gt;$J669,$F669,IF($I669&lt;$J669,$G669,$K669))=IF($L669&gt;$M669,$F669,IF($L669&lt;$M669,$G669,$N669))),1,0))</x:f>
      </x:c>
      <x:c r="Q669" s="59" t="str">
        <x:f>IF($O669="","",$O669+$P669)</x:f>
      </x:c>
      <x:c r="R669" s="59" t="str">
        <x:f>IF($Q669="","",IF($O669=3,"Cravada",IF(AND($H669="Sim",$L669=$M669,$I669=$J669,$O669=2),"Empate cravado",IF($O669=1,"Resultado certo",IF($O669=-2,"Invertida",IF($P669=1,"Acertou quem passa","Erro"))))))</x:f>
      </x:c>
      <x:c r="S669" s="59" t="str">
        <x:f>IF($O669="","",--(OR($O669=3,AND($H669="Sim",$L669=$M669,$I669=$J669,$O669=2))))</x:f>
      </x:c>
      <x:c r="T669" s="59" t="str">
        <x:f>IF($O669="","",--($O669=-2))</x:f>
      </x:c>
      <x:c r="U669" s="59" t="str">
        <x:f>IF($O669="","",--($O669=1))</x:f>
      </x:c>
      <x:c r="V669" s="59" t="n">
        <x:f>--(AND($I669&lt;&gt;"",$J669&lt;&gt;""))</x:f>
        <x:v>0</x:v>
      </x:c>
    </x:row>
    <x:row r="670">
      <x:c r="A670" s="21" t="str">
        <x:f>INDEX(Config!$B$10:$B$16,INT((ROW()-5)/104)+1)</x:f>
        <x:v>Thyago</x:v>
      </x:c>
      <x:c r="B670" s="21" t="str">
        <x:v>GG6</x:v>
      </x:c>
      <x:c r="C670" s="21" t="n">
        <x:v>42</x:v>
      </x:c>
      <x:c r="D670" s="21" t="str">
        <x:v>Grupo G</x:v>
      </x:c>
      <x:c r="E670" s="21" t="str">
        <x:v>2026-06-27</x:v>
      </x:c>
      <x:c r="F670" s="21" t="str">
        <x:f>IFERROR(INDEX('Resultados'!$G$5:$G$108,MATCH($B670,'Resultados'!$A$5:$A$108,0)),"")</x:f>
        <x:v>Egito</x:v>
      </x:c>
      <x:c r="G670" s="21" t="str">
        <x:f>IFERROR(INDEX('Resultados'!$J$5:$J$108,MATCH($B670,'Resultados'!$A$5:$A$108,0)),"")</x:f>
        <x:v>Irã</x:v>
      </x:c>
      <x:c r="H670" s="21" t="str">
        <x:v>Não</x:v>
      </x:c>
      <x:c r="I670" s="22"/>
      <x:c r="J670" s="22"/>
      <x:c r="K670" s="23"/>
      <x:c r="L670" s="21" t="str">
        <x:f>IFERROR(INDEX('Resultados'!$H$5:$H$108,MATCH($B670,'Resultados'!$A$5:$A$108,0)),"")</x:f>
      </x:c>
      <x:c r="M670" s="21" t="str">
        <x:f>IFERROR(INDEX('Resultados'!$I$5:$I$108,MATCH($B670,'Resultados'!$A$5:$A$108,0)),"")</x:f>
      </x:c>
      <x:c r="N670" s="21" t="str">
        <x:f>IFERROR(INDEX('Resultados'!$L$5:$L$108,MATCH($B670,'Resultados'!$A$5:$A$108,0)),"")</x:f>
      </x:c>
      <x:c r="O670" s="59" t="str">
        <x:f>IF(OR($I670="",$J670="",$L670="",$M670=""),"",IF(AND($H670="Sim",$L670=$M670),IF($I670&lt;&gt;$J670,0,IF(AND($I670=$L670,$J670=$M670),2,1)),IF(AND($I670=$L670,$J670=$M670),3,IF(AND($I670&lt;&gt;$J670,$I670=$M670,$J670=$L670),-2,IF(SIGN($I670-$J670)=SIGN($L670-$M670),1,0)))))</x:f>
      </x:c>
      <x:c r="P670" s="59" t="str">
        <x:f>IF(OR($H670&lt;&gt;"Sim",$I670="",$J670="",$L670="",$M670=""),"",IF(AND(IF($I670&gt;$J670,$F670,IF($I670&lt;$J670,$G670,$K670))&lt;&gt;"",IF($L670&gt;$M670,$F670,IF($L670&lt;$M670,$G670,$N670))&lt;&gt;"",IF($I670&gt;$J670,$F670,IF($I670&lt;$J670,$G670,$K670))=IF($L670&gt;$M670,$F670,IF($L670&lt;$M670,$G670,$N670))),1,0))</x:f>
      </x:c>
      <x:c r="Q670" s="59" t="str">
        <x:f>IF($O670="","",$O670+$P670)</x:f>
      </x:c>
      <x:c r="R670" s="59" t="str">
        <x:f>IF($Q670="","",IF($O670=3,"Cravada",IF(AND($H670="Sim",$L670=$M670,$I670=$J670,$O670=2),"Empate cravado",IF($O670=1,"Resultado certo",IF($O670=-2,"Invertida",IF($P670=1,"Acertou quem passa","Erro"))))))</x:f>
      </x:c>
      <x:c r="S670" s="59" t="str">
        <x:f>IF($O670="","",--(OR($O670=3,AND($H670="Sim",$L670=$M670,$I670=$J670,$O670=2))))</x:f>
      </x:c>
      <x:c r="T670" s="59" t="str">
        <x:f>IF($O670="","",--($O670=-2))</x:f>
      </x:c>
      <x:c r="U670" s="59" t="str">
        <x:f>IF($O670="","",--($O670=1))</x:f>
      </x:c>
      <x:c r="V670" s="59" t="n">
        <x:f>--(AND($I670&lt;&gt;"",$J670&lt;&gt;""))</x:f>
        <x:v>0</x:v>
      </x:c>
    </x:row>
    <x:row r="671">
      <x:c r="A671" s="21" t="str">
        <x:f>INDEX(Config!$B$10:$B$16,INT((ROW()-5)/104)+1)</x:f>
        <x:v>Thyago</x:v>
      </x:c>
      <x:c r="B671" s="21" t="str">
        <x:v>GH1</x:v>
      </x:c>
      <x:c r="C671" s="21" t="n">
        <x:v>43</x:v>
      </x:c>
      <x:c r="D671" s="21" t="str">
        <x:v>Grupo H</x:v>
      </x:c>
      <x:c r="E671" s="21" t="str">
        <x:v>2026-06-15</x:v>
      </x:c>
      <x:c r="F671" s="21" t="str">
        <x:f>IFERROR(INDEX('Resultados'!$G$5:$G$108,MATCH($B671,'Resultados'!$A$5:$A$108,0)),"")</x:f>
        <x:v>Espanha</x:v>
      </x:c>
      <x:c r="G671" s="21" t="str">
        <x:f>IFERROR(INDEX('Resultados'!$J$5:$J$108,MATCH($B671,'Resultados'!$A$5:$A$108,0)),"")</x:f>
        <x:v>Cabo Verde</x:v>
      </x:c>
      <x:c r="H671" s="21" t="str">
        <x:v>Não</x:v>
      </x:c>
      <x:c r="I671" s="22"/>
      <x:c r="J671" s="22"/>
      <x:c r="K671" s="23"/>
      <x:c r="L671" s="21" t="str">
        <x:f>IFERROR(INDEX('Resultados'!$H$5:$H$108,MATCH($B671,'Resultados'!$A$5:$A$108,0)),"")</x:f>
      </x:c>
      <x:c r="M671" s="21" t="str">
        <x:f>IFERROR(INDEX('Resultados'!$I$5:$I$108,MATCH($B671,'Resultados'!$A$5:$A$108,0)),"")</x:f>
      </x:c>
      <x:c r="N671" s="21" t="str">
        <x:f>IFERROR(INDEX('Resultados'!$L$5:$L$108,MATCH($B671,'Resultados'!$A$5:$A$108,0)),"")</x:f>
      </x:c>
      <x:c r="O671" s="59" t="str">
        <x:f>IF(OR($I671="",$J671="",$L671="",$M671=""),"",IF(AND($H671="Sim",$L671=$M671),IF($I671&lt;&gt;$J671,0,IF(AND($I671=$L671,$J671=$M671),2,1)),IF(AND($I671=$L671,$J671=$M671),3,IF(AND($I671&lt;&gt;$J671,$I671=$M671,$J671=$L671),-2,IF(SIGN($I671-$J671)=SIGN($L671-$M671),1,0)))))</x:f>
      </x:c>
      <x:c r="P671" s="59" t="str">
        <x:f>IF(OR($H671&lt;&gt;"Sim",$I671="",$J671="",$L671="",$M671=""),"",IF(AND(IF($I671&gt;$J671,$F671,IF($I671&lt;$J671,$G671,$K671))&lt;&gt;"",IF($L671&gt;$M671,$F671,IF($L671&lt;$M671,$G671,$N671))&lt;&gt;"",IF($I671&gt;$J671,$F671,IF($I671&lt;$J671,$G671,$K671))=IF($L671&gt;$M671,$F671,IF($L671&lt;$M671,$G671,$N671))),1,0))</x:f>
      </x:c>
      <x:c r="Q671" s="59" t="str">
        <x:f>IF($O671="","",$O671+$P671)</x:f>
      </x:c>
      <x:c r="R671" s="59" t="str">
        <x:f>IF($Q671="","",IF($O671=3,"Cravada",IF(AND($H671="Sim",$L671=$M671,$I671=$J671,$O671=2),"Empate cravado",IF($O671=1,"Resultado certo",IF($O671=-2,"Invertida",IF($P671=1,"Acertou quem passa","Erro"))))))</x:f>
      </x:c>
      <x:c r="S671" s="59" t="str">
        <x:f>IF($O671="","",--(OR($O671=3,AND($H671="Sim",$L671=$M671,$I671=$J671,$O671=2))))</x:f>
      </x:c>
      <x:c r="T671" s="59" t="str">
        <x:f>IF($O671="","",--($O671=-2))</x:f>
      </x:c>
      <x:c r="U671" s="59" t="str">
        <x:f>IF($O671="","",--($O671=1))</x:f>
      </x:c>
      <x:c r="V671" s="59" t="n">
        <x:f>--(AND($I671&lt;&gt;"",$J671&lt;&gt;""))</x:f>
        <x:v>0</x:v>
      </x:c>
    </x:row>
    <x:row r="672">
      <x:c r="A672" s="21" t="str">
        <x:f>INDEX(Config!$B$10:$B$16,INT((ROW()-5)/104)+1)</x:f>
        <x:v>Thyago</x:v>
      </x:c>
      <x:c r="B672" s="21" t="str">
        <x:v>GH2</x:v>
      </x:c>
      <x:c r="C672" s="21" t="n">
        <x:v>44</x:v>
      </x:c>
      <x:c r="D672" s="21" t="str">
        <x:v>Grupo H</x:v>
      </x:c>
      <x:c r="E672" s="21" t="str">
        <x:v>2026-06-15</x:v>
      </x:c>
      <x:c r="F672" s="21" t="str">
        <x:f>IFERROR(INDEX('Resultados'!$G$5:$G$108,MATCH($B672,'Resultados'!$A$5:$A$108,0)),"")</x:f>
        <x:v>Arábia Saudita</x:v>
      </x:c>
      <x:c r="G672" s="21" t="str">
        <x:f>IFERROR(INDEX('Resultados'!$J$5:$J$108,MATCH($B672,'Resultados'!$A$5:$A$108,0)),"")</x:f>
        <x:v>Uruguai</x:v>
      </x:c>
      <x:c r="H672" s="21" t="str">
        <x:v>Não</x:v>
      </x:c>
      <x:c r="I672" s="22"/>
      <x:c r="J672" s="22"/>
      <x:c r="K672" s="23"/>
      <x:c r="L672" s="21" t="str">
        <x:f>IFERROR(INDEX('Resultados'!$H$5:$H$108,MATCH($B672,'Resultados'!$A$5:$A$108,0)),"")</x:f>
      </x:c>
      <x:c r="M672" s="21" t="str">
        <x:f>IFERROR(INDEX('Resultados'!$I$5:$I$108,MATCH($B672,'Resultados'!$A$5:$A$108,0)),"")</x:f>
      </x:c>
      <x:c r="N672" s="21" t="str">
        <x:f>IFERROR(INDEX('Resultados'!$L$5:$L$108,MATCH($B672,'Resultados'!$A$5:$A$108,0)),"")</x:f>
      </x:c>
      <x:c r="O672" s="59" t="str">
        <x:f>IF(OR($I672="",$J672="",$L672="",$M672=""),"",IF(AND($H672="Sim",$L672=$M672),IF($I672&lt;&gt;$J672,0,IF(AND($I672=$L672,$J672=$M672),2,1)),IF(AND($I672=$L672,$J672=$M672),3,IF(AND($I672&lt;&gt;$J672,$I672=$M672,$J672=$L672),-2,IF(SIGN($I672-$J672)=SIGN($L672-$M672),1,0)))))</x:f>
      </x:c>
      <x:c r="P672" s="59" t="str">
        <x:f>IF(OR($H672&lt;&gt;"Sim",$I672="",$J672="",$L672="",$M672=""),"",IF(AND(IF($I672&gt;$J672,$F672,IF($I672&lt;$J672,$G672,$K672))&lt;&gt;"",IF($L672&gt;$M672,$F672,IF($L672&lt;$M672,$G672,$N672))&lt;&gt;"",IF($I672&gt;$J672,$F672,IF($I672&lt;$J672,$G672,$K672))=IF($L672&gt;$M672,$F672,IF($L672&lt;$M672,$G672,$N672))),1,0))</x:f>
      </x:c>
      <x:c r="Q672" s="59" t="str">
        <x:f>IF($O672="","",$O672+$P672)</x:f>
      </x:c>
      <x:c r="R672" s="59" t="str">
        <x:f>IF($Q672="","",IF($O672=3,"Cravada",IF(AND($H672="Sim",$L672=$M672,$I672=$J672,$O672=2),"Empate cravado",IF($O672=1,"Resultado certo",IF($O672=-2,"Invertida",IF($P672=1,"Acertou quem passa","Erro"))))))</x:f>
      </x:c>
      <x:c r="S672" s="59" t="str">
        <x:f>IF($O672="","",--(OR($O672=3,AND($H672="Sim",$L672=$M672,$I672=$J672,$O672=2))))</x:f>
      </x:c>
      <x:c r="T672" s="59" t="str">
        <x:f>IF($O672="","",--($O672=-2))</x:f>
      </x:c>
      <x:c r="U672" s="59" t="str">
        <x:f>IF($O672="","",--($O672=1))</x:f>
      </x:c>
      <x:c r="V672" s="59" t="n">
        <x:f>--(AND($I672&lt;&gt;"",$J672&lt;&gt;""))</x:f>
        <x:v>0</x:v>
      </x:c>
    </x:row>
    <x:row r="673">
      <x:c r="A673" s="21" t="str">
        <x:f>INDEX(Config!$B$10:$B$16,INT((ROW()-5)/104)+1)</x:f>
        <x:v>Thyago</x:v>
      </x:c>
      <x:c r="B673" s="21" t="str">
        <x:v>GH3</x:v>
      </x:c>
      <x:c r="C673" s="21" t="n">
        <x:v>45</x:v>
      </x:c>
      <x:c r="D673" s="21" t="str">
        <x:v>Grupo H</x:v>
      </x:c>
      <x:c r="E673" s="21" t="str">
        <x:v>2026-06-21</x:v>
      </x:c>
      <x:c r="F673" s="21" t="str">
        <x:f>IFERROR(INDEX('Resultados'!$G$5:$G$108,MATCH($B673,'Resultados'!$A$5:$A$108,0)),"")</x:f>
        <x:v>Espanha</x:v>
      </x:c>
      <x:c r="G673" s="21" t="str">
        <x:f>IFERROR(INDEX('Resultados'!$J$5:$J$108,MATCH($B673,'Resultados'!$A$5:$A$108,0)),"")</x:f>
        <x:v>Arábia Saudita</x:v>
      </x:c>
      <x:c r="H673" s="21" t="str">
        <x:v>Não</x:v>
      </x:c>
      <x:c r="I673" s="22"/>
      <x:c r="J673" s="22"/>
      <x:c r="K673" s="23"/>
      <x:c r="L673" s="21" t="str">
        <x:f>IFERROR(INDEX('Resultados'!$H$5:$H$108,MATCH($B673,'Resultados'!$A$5:$A$108,0)),"")</x:f>
      </x:c>
      <x:c r="M673" s="21" t="str">
        <x:f>IFERROR(INDEX('Resultados'!$I$5:$I$108,MATCH($B673,'Resultados'!$A$5:$A$108,0)),"")</x:f>
      </x:c>
      <x:c r="N673" s="21" t="str">
        <x:f>IFERROR(INDEX('Resultados'!$L$5:$L$108,MATCH($B673,'Resultados'!$A$5:$A$108,0)),"")</x:f>
      </x:c>
      <x:c r="O673" s="59" t="str">
        <x:f>IF(OR($I673="",$J673="",$L673="",$M673=""),"",IF(AND($H673="Sim",$L673=$M673),IF($I673&lt;&gt;$J673,0,IF(AND($I673=$L673,$J673=$M673),2,1)),IF(AND($I673=$L673,$J673=$M673),3,IF(AND($I673&lt;&gt;$J673,$I673=$M673,$J673=$L673),-2,IF(SIGN($I673-$J673)=SIGN($L673-$M673),1,0)))))</x:f>
      </x:c>
      <x:c r="P673" s="59" t="str">
        <x:f>IF(OR($H673&lt;&gt;"Sim",$I673="",$J673="",$L673="",$M673=""),"",IF(AND(IF($I673&gt;$J673,$F673,IF($I673&lt;$J673,$G673,$K673))&lt;&gt;"",IF($L673&gt;$M673,$F673,IF($L673&lt;$M673,$G673,$N673))&lt;&gt;"",IF($I673&gt;$J673,$F673,IF($I673&lt;$J673,$G673,$K673))=IF($L673&gt;$M673,$F673,IF($L673&lt;$M673,$G673,$N673))),1,0))</x:f>
      </x:c>
      <x:c r="Q673" s="59" t="str">
        <x:f>IF($O673="","",$O673+$P673)</x:f>
      </x:c>
      <x:c r="R673" s="59" t="str">
        <x:f>IF($Q673="","",IF($O673=3,"Cravada",IF(AND($H673="Sim",$L673=$M673,$I673=$J673,$O673=2),"Empate cravado",IF($O673=1,"Resultado certo",IF($O673=-2,"Invertida",IF($P673=1,"Acertou quem passa","Erro"))))))</x:f>
      </x:c>
      <x:c r="S673" s="59" t="str">
        <x:f>IF($O673="","",--(OR($O673=3,AND($H673="Sim",$L673=$M673,$I673=$J673,$O673=2))))</x:f>
      </x:c>
      <x:c r="T673" s="59" t="str">
        <x:f>IF($O673="","",--($O673=-2))</x:f>
      </x:c>
      <x:c r="U673" s="59" t="str">
        <x:f>IF($O673="","",--($O673=1))</x:f>
      </x:c>
      <x:c r="V673" s="59" t="n">
        <x:f>--(AND($I673&lt;&gt;"",$J673&lt;&gt;""))</x:f>
        <x:v>0</x:v>
      </x:c>
    </x:row>
    <x:row r="674">
      <x:c r="A674" s="21" t="str">
        <x:f>INDEX(Config!$B$10:$B$16,INT((ROW()-5)/104)+1)</x:f>
        <x:v>Thyago</x:v>
      </x:c>
      <x:c r="B674" s="21" t="str">
        <x:v>GH4</x:v>
      </x:c>
      <x:c r="C674" s="21" t="n">
        <x:v>46</x:v>
      </x:c>
      <x:c r="D674" s="21" t="str">
        <x:v>Grupo H</x:v>
      </x:c>
      <x:c r="E674" s="21" t="str">
        <x:v>2026-06-21</x:v>
      </x:c>
      <x:c r="F674" s="21" t="str">
        <x:f>IFERROR(INDEX('Resultados'!$G$5:$G$108,MATCH($B674,'Resultados'!$A$5:$A$108,0)),"")</x:f>
        <x:v>Cabo Verde</x:v>
      </x:c>
      <x:c r="G674" s="21" t="str">
        <x:f>IFERROR(INDEX('Resultados'!$J$5:$J$108,MATCH($B674,'Resultados'!$A$5:$A$108,0)),"")</x:f>
        <x:v>Uruguai</x:v>
      </x:c>
      <x:c r="H674" s="21" t="str">
        <x:v>Não</x:v>
      </x:c>
      <x:c r="I674" s="22"/>
      <x:c r="J674" s="22"/>
      <x:c r="K674" s="23"/>
      <x:c r="L674" s="21" t="str">
        <x:f>IFERROR(INDEX('Resultados'!$H$5:$H$108,MATCH($B674,'Resultados'!$A$5:$A$108,0)),"")</x:f>
      </x:c>
      <x:c r="M674" s="21" t="str">
        <x:f>IFERROR(INDEX('Resultados'!$I$5:$I$108,MATCH($B674,'Resultados'!$A$5:$A$108,0)),"")</x:f>
      </x:c>
      <x:c r="N674" s="21" t="str">
        <x:f>IFERROR(INDEX('Resultados'!$L$5:$L$108,MATCH($B674,'Resultados'!$A$5:$A$108,0)),"")</x:f>
      </x:c>
      <x:c r="O674" s="59" t="str">
        <x:f>IF(OR($I674="",$J674="",$L674="",$M674=""),"",IF(AND($H674="Sim",$L674=$M674),IF($I674&lt;&gt;$J674,0,IF(AND($I674=$L674,$J674=$M674),2,1)),IF(AND($I674=$L674,$J674=$M674),3,IF(AND($I674&lt;&gt;$J674,$I674=$M674,$J674=$L674),-2,IF(SIGN($I674-$J674)=SIGN($L674-$M674),1,0)))))</x:f>
      </x:c>
      <x:c r="P674" s="59" t="str">
        <x:f>IF(OR($H674&lt;&gt;"Sim",$I674="",$J674="",$L674="",$M674=""),"",IF(AND(IF($I674&gt;$J674,$F674,IF($I674&lt;$J674,$G674,$K674))&lt;&gt;"",IF($L674&gt;$M674,$F674,IF($L674&lt;$M674,$G674,$N674))&lt;&gt;"",IF($I674&gt;$J674,$F674,IF($I674&lt;$J674,$G674,$K674))=IF($L674&gt;$M674,$F674,IF($L674&lt;$M674,$G674,$N674))),1,0))</x:f>
      </x:c>
      <x:c r="Q674" s="59" t="str">
        <x:f>IF($O674="","",$O674+$P674)</x:f>
      </x:c>
      <x:c r="R674" s="59" t="str">
        <x:f>IF($Q674="","",IF($O674=3,"Cravada",IF(AND($H674="Sim",$L674=$M674,$I674=$J674,$O674=2),"Empate cravado",IF($O674=1,"Resultado certo",IF($O674=-2,"Invertida",IF($P674=1,"Acertou quem passa","Erro"))))))</x:f>
      </x:c>
      <x:c r="S674" s="59" t="str">
        <x:f>IF($O674="","",--(OR($O674=3,AND($H674="Sim",$L674=$M674,$I674=$J674,$O674=2))))</x:f>
      </x:c>
      <x:c r="T674" s="59" t="str">
        <x:f>IF($O674="","",--($O674=-2))</x:f>
      </x:c>
      <x:c r="U674" s="59" t="str">
        <x:f>IF($O674="","",--($O674=1))</x:f>
      </x:c>
      <x:c r="V674" s="59" t="n">
        <x:f>--(AND($I674&lt;&gt;"",$J674&lt;&gt;""))</x:f>
        <x:v>0</x:v>
      </x:c>
    </x:row>
    <x:row r="675">
      <x:c r="A675" s="21" t="str">
        <x:f>INDEX(Config!$B$10:$B$16,INT((ROW()-5)/104)+1)</x:f>
        <x:v>Thyago</x:v>
      </x:c>
      <x:c r="B675" s="21" t="str">
        <x:v>GH5</x:v>
      </x:c>
      <x:c r="C675" s="21" t="n">
        <x:v>47</x:v>
      </x:c>
      <x:c r="D675" s="21" t="str">
        <x:v>Grupo H</x:v>
      </x:c>
      <x:c r="E675" s="21" t="str">
        <x:v>2026-06-26</x:v>
      </x:c>
      <x:c r="F675" s="21" t="str">
        <x:f>IFERROR(INDEX('Resultados'!$G$5:$G$108,MATCH($B675,'Resultados'!$A$5:$A$108,0)),"")</x:f>
        <x:v>Espanha</x:v>
      </x:c>
      <x:c r="G675" s="21" t="str">
        <x:f>IFERROR(INDEX('Resultados'!$J$5:$J$108,MATCH($B675,'Resultados'!$A$5:$A$108,0)),"")</x:f>
        <x:v>Uruguai</x:v>
      </x:c>
      <x:c r="H675" s="21" t="str">
        <x:v>Não</x:v>
      </x:c>
      <x:c r="I675" s="22"/>
      <x:c r="J675" s="22"/>
      <x:c r="K675" s="23"/>
      <x:c r="L675" s="21" t="str">
        <x:f>IFERROR(INDEX('Resultados'!$H$5:$H$108,MATCH($B675,'Resultados'!$A$5:$A$108,0)),"")</x:f>
      </x:c>
      <x:c r="M675" s="21" t="str">
        <x:f>IFERROR(INDEX('Resultados'!$I$5:$I$108,MATCH($B675,'Resultados'!$A$5:$A$108,0)),"")</x:f>
      </x:c>
      <x:c r="N675" s="21" t="str">
        <x:f>IFERROR(INDEX('Resultados'!$L$5:$L$108,MATCH($B675,'Resultados'!$A$5:$A$108,0)),"")</x:f>
      </x:c>
      <x:c r="O675" s="59" t="str">
        <x:f>IF(OR($I675="",$J675="",$L675="",$M675=""),"",IF(AND($H675="Sim",$L675=$M675),IF($I675&lt;&gt;$J675,0,IF(AND($I675=$L675,$J675=$M675),2,1)),IF(AND($I675=$L675,$J675=$M675),3,IF(AND($I675&lt;&gt;$J675,$I675=$M675,$J675=$L675),-2,IF(SIGN($I675-$J675)=SIGN($L675-$M675),1,0)))))</x:f>
      </x:c>
      <x:c r="P675" s="59" t="str">
        <x:f>IF(OR($H675&lt;&gt;"Sim",$I675="",$J675="",$L675="",$M675=""),"",IF(AND(IF($I675&gt;$J675,$F675,IF($I675&lt;$J675,$G675,$K675))&lt;&gt;"",IF($L675&gt;$M675,$F675,IF($L675&lt;$M675,$G675,$N675))&lt;&gt;"",IF($I675&gt;$J675,$F675,IF($I675&lt;$J675,$G675,$K675))=IF($L675&gt;$M675,$F675,IF($L675&lt;$M675,$G675,$N675))),1,0))</x:f>
      </x:c>
      <x:c r="Q675" s="59" t="str">
        <x:f>IF($O675="","",$O675+$P675)</x:f>
      </x:c>
      <x:c r="R675" s="59" t="str">
        <x:f>IF($Q675="","",IF($O675=3,"Cravada",IF(AND($H675="Sim",$L675=$M675,$I675=$J675,$O675=2),"Empate cravado",IF($O675=1,"Resultado certo",IF($O675=-2,"Invertida",IF($P675=1,"Acertou quem passa","Erro"))))))</x:f>
      </x:c>
      <x:c r="S675" s="59" t="str">
        <x:f>IF($O675="","",--(OR($O675=3,AND($H675="Sim",$L675=$M675,$I675=$J675,$O675=2))))</x:f>
      </x:c>
      <x:c r="T675" s="59" t="str">
        <x:f>IF($O675="","",--($O675=-2))</x:f>
      </x:c>
      <x:c r="U675" s="59" t="str">
        <x:f>IF($O675="","",--($O675=1))</x:f>
      </x:c>
      <x:c r="V675" s="59" t="n">
        <x:f>--(AND($I675&lt;&gt;"",$J675&lt;&gt;""))</x:f>
        <x:v>0</x:v>
      </x:c>
    </x:row>
    <x:row r="676">
      <x:c r="A676" s="21" t="str">
        <x:f>INDEX(Config!$B$10:$B$16,INT((ROW()-5)/104)+1)</x:f>
        <x:v>Thyago</x:v>
      </x:c>
      <x:c r="B676" s="21" t="str">
        <x:v>GH6</x:v>
      </x:c>
      <x:c r="C676" s="21" t="n">
        <x:v>48</x:v>
      </x:c>
      <x:c r="D676" s="21" t="str">
        <x:v>Grupo H</x:v>
      </x:c>
      <x:c r="E676" s="21" t="str">
        <x:v>2026-06-26</x:v>
      </x:c>
      <x:c r="F676" s="21" t="str">
        <x:f>IFERROR(INDEX('Resultados'!$G$5:$G$108,MATCH($B676,'Resultados'!$A$5:$A$108,0)),"")</x:f>
        <x:v>Cabo Verde</x:v>
      </x:c>
      <x:c r="G676" s="21" t="str">
        <x:f>IFERROR(INDEX('Resultados'!$J$5:$J$108,MATCH($B676,'Resultados'!$A$5:$A$108,0)),"")</x:f>
        <x:v>Arábia Saudita</x:v>
      </x:c>
      <x:c r="H676" s="21" t="str">
        <x:v>Não</x:v>
      </x:c>
      <x:c r="I676" s="22"/>
      <x:c r="J676" s="22"/>
      <x:c r="K676" s="23"/>
      <x:c r="L676" s="21" t="str">
        <x:f>IFERROR(INDEX('Resultados'!$H$5:$H$108,MATCH($B676,'Resultados'!$A$5:$A$108,0)),"")</x:f>
      </x:c>
      <x:c r="M676" s="21" t="str">
        <x:f>IFERROR(INDEX('Resultados'!$I$5:$I$108,MATCH($B676,'Resultados'!$A$5:$A$108,0)),"")</x:f>
      </x:c>
      <x:c r="N676" s="21" t="str">
        <x:f>IFERROR(INDEX('Resultados'!$L$5:$L$108,MATCH($B676,'Resultados'!$A$5:$A$108,0)),"")</x:f>
      </x:c>
      <x:c r="O676" s="59" t="str">
        <x:f>IF(OR($I676="",$J676="",$L676="",$M676=""),"",IF(AND($H676="Sim",$L676=$M676),IF($I676&lt;&gt;$J676,0,IF(AND($I676=$L676,$J676=$M676),2,1)),IF(AND($I676=$L676,$J676=$M676),3,IF(AND($I676&lt;&gt;$J676,$I676=$M676,$J676=$L676),-2,IF(SIGN($I676-$J676)=SIGN($L676-$M676),1,0)))))</x:f>
      </x:c>
      <x:c r="P676" s="59" t="str">
        <x:f>IF(OR($H676&lt;&gt;"Sim",$I676="",$J676="",$L676="",$M676=""),"",IF(AND(IF($I676&gt;$J676,$F676,IF($I676&lt;$J676,$G676,$K676))&lt;&gt;"",IF($L676&gt;$M676,$F676,IF($L676&lt;$M676,$G676,$N676))&lt;&gt;"",IF($I676&gt;$J676,$F676,IF($I676&lt;$J676,$G676,$K676))=IF($L676&gt;$M676,$F676,IF($L676&lt;$M676,$G676,$N676))),1,0))</x:f>
      </x:c>
      <x:c r="Q676" s="59" t="str">
        <x:f>IF($O676="","",$O676+$P676)</x:f>
      </x:c>
      <x:c r="R676" s="59" t="str">
        <x:f>IF($Q676="","",IF($O676=3,"Cravada",IF(AND($H676="Sim",$L676=$M676,$I676=$J676,$O676=2),"Empate cravado",IF($O676=1,"Resultado certo",IF($O676=-2,"Invertida",IF($P676=1,"Acertou quem passa","Erro"))))))</x:f>
      </x:c>
      <x:c r="S676" s="59" t="str">
        <x:f>IF($O676="","",--(OR($O676=3,AND($H676="Sim",$L676=$M676,$I676=$J676,$O676=2))))</x:f>
      </x:c>
      <x:c r="T676" s="59" t="str">
        <x:f>IF($O676="","",--($O676=-2))</x:f>
      </x:c>
      <x:c r="U676" s="59" t="str">
        <x:f>IF($O676="","",--($O676=1))</x:f>
      </x:c>
      <x:c r="V676" s="59" t="n">
        <x:f>--(AND($I676&lt;&gt;"",$J676&lt;&gt;""))</x:f>
        <x:v>0</x:v>
      </x:c>
    </x:row>
    <x:row r="677">
      <x:c r="A677" s="21" t="str">
        <x:f>INDEX(Config!$B$10:$B$16,INT((ROW()-5)/104)+1)</x:f>
        <x:v>Thyago</x:v>
      </x:c>
      <x:c r="B677" s="21" t="str">
        <x:v>GI1</x:v>
      </x:c>
      <x:c r="C677" s="21" t="n">
        <x:v>49</x:v>
      </x:c>
      <x:c r="D677" s="21" t="str">
        <x:v>Grupo I</x:v>
      </x:c>
      <x:c r="E677" s="21" t="str">
        <x:v>2026-06-16</x:v>
      </x:c>
      <x:c r="F677" s="21" t="str">
        <x:f>IFERROR(INDEX('Resultados'!$G$5:$G$108,MATCH($B677,'Resultados'!$A$5:$A$108,0)),"")</x:f>
        <x:v>França</x:v>
      </x:c>
      <x:c r="G677" s="21" t="str">
        <x:f>IFERROR(INDEX('Resultados'!$J$5:$J$108,MATCH($B677,'Resultados'!$A$5:$A$108,0)),"")</x:f>
        <x:v>Senegal</x:v>
      </x:c>
      <x:c r="H677" s="21" t="str">
        <x:v>Não</x:v>
      </x:c>
      <x:c r="I677" s="22"/>
      <x:c r="J677" s="22"/>
      <x:c r="K677" s="23"/>
      <x:c r="L677" s="21" t="str">
        <x:f>IFERROR(INDEX('Resultados'!$H$5:$H$108,MATCH($B677,'Resultados'!$A$5:$A$108,0)),"")</x:f>
      </x:c>
      <x:c r="M677" s="21" t="str">
        <x:f>IFERROR(INDEX('Resultados'!$I$5:$I$108,MATCH($B677,'Resultados'!$A$5:$A$108,0)),"")</x:f>
      </x:c>
      <x:c r="N677" s="21" t="str">
        <x:f>IFERROR(INDEX('Resultados'!$L$5:$L$108,MATCH($B677,'Resultados'!$A$5:$A$108,0)),"")</x:f>
      </x:c>
      <x:c r="O677" s="59" t="str">
        <x:f>IF(OR($I677="",$J677="",$L677="",$M677=""),"",IF(AND($H677="Sim",$L677=$M677),IF($I677&lt;&gt;$J677,0,IF(AND($I677=$L677,$J677=$M677),2,1)),IF(AND($I677=$L677,$J677=$M677),3,IF(AND($I677&lt;&gt;$J677,$I677=$M677,$J677=$L677),-2,IF(SIGN($I677-$J677)=SIGN($L677-$M677),1,0)))))</x:f>
      </x:c>
      <x:c r="P677" s="59" t="str">
        <x:f>IF(OR($H677&lt;&gt;"Sim",$I677="",$J677="",$L677="",$M677=""),"",IF(AND(IF($I677&gt;$J677,$F677,IF($I677&lt;$J677,$G677,$K677))&lt;&gt;"",IF($L677&gt;$M677,$F677,IF($L677&lt;$M677,$G677,$N677))&lt;&gt;"",IF($I677&gt;$J677,$F677,IF($I677&lt;$J677,$G677,$K677))=IF($L677&gt;$M677,$F677,IF($L677&lt;$M677,$G677,$N677))),1,0))</x:f>
      </x:c>
      <x:c r="Q677" s="59" t="str">
        <x:f>IF($O677="","",$O677+$P677)</x:f>
      </x:c>
      <x:c r="R677" s="59" t="str">
        <x:f>IF($Q677="","",IF($O677=3,"Cravada",IF(AND($H677="Sim",$L677=$M677,$I677=$J677,$O677=2),"Empate cravado",IF($O677=1,"Resultado certo",IF($O677=-2,"Invertida",IF($P677=1,"Acertou quem passa","Erro"))))))</x:f>
      </x:c>
      <x:c r="S677" s="59" t="str">
        <x:f>IF($O677="","",--(OR($O677=3,AND($H677="Sim",$L677=$M677,$I677=$J677,$O677=2))))</x:f>
      </x:c>
      <x:c r="T677" s="59" t="str">
        <x:f>IF($O677="","",--($O677=-2))</x:f>
      </x:c>
      <x:c r="U677" s="59" t="str">
        <x:f>IF($O677="","",--($O677=1))</x:f>
      </x:c>
      <x:c r="V677" s="59" t="n">
        <x:f>--(AND($I677&lt;&gt;"",$J677&lt;&gt;""))</x:f>
        <x:v>0</x:v>
      </x:c>
    </x:row>
    <x:row r="678">
      <x:c r="A678" s="21" t="str">
        <x:f>INDEX(Config!$B$10:$B$16,INT((ROW()-5)/104)+1)</x:f>
        <x:v>Thyago</x:v>
      </x:c>
      <x:c r="B678" s="21" t="str">
        <x:v>GI2</x:v>
      </x:c>
      <x:c r="C678" s="21" t="n">
        <x:v>50</x:v>
      </x:c>
      <x:c r="D678" s="21" t="str">
        <x:v>Grupo I</x:v>
      </x:c>
      <x:c r="E678" s="21" t="str">
        <x:v>2026-06-16</x:v>
      </x:c>
      <x:c r="F678" s="21" t="str">
        <x:f>IFERROR(INDEX('Resultados'!$G$5:$G$108,MATCH($B678,'Resultados'!$A$5:$A$108,0)),"")</x:f>
        <x:v>Iraque</x:v>
      </x:c>
      <x:c r="G678" s="21" t="str">
        <x:f>IFERROR(INDEX('Resultados'!$J$5:$J$108,MATCH($B678,'Resultados'!$A$5:$A$108,0)),"")</x:f>
        <x:v>Noruega</x:v>
      </x:c>
      <x:c r="H678" s="21" t="str">
        <x:v>Não</x:v>
      </x:c>
      <x:c r="I678" s="22"/>
      <x:c r="J678" s="22"/>
      <x:c r="K678" s="23"/>
      <x:c r="L678" s="21" t="str">
        <x:f>IFERROR(INDEX('Resultados'!$H$5:$H$108,MATCH($B678,'Resultados'!$A$5:$A$108,0)),"")</x:f>
      </x:c>
      <x:c r="M678" s="21" t="str">
        <x:f>IFERROR(INDEX('Resultados'!$I$5:$I$108,MATCH($B678,'Resultados'!$A$5:$A$108,0)),"")</x:f>
      </x:c>
      <x:c r="N678" s="21" t="str">
        <x:f>IFERROR(INDEX('Resultados'!$L$5:$L$108,MATCH($B678,'Resultados'!$A$5:$A$108,0)),"")</x:f>
      </x:c>
      <x:c r="O678" s="59" t="str">
        <x:f>IF(OR($I678="",$J678="",$L678="",$M678=""),"",IF(AND($H678="Sim",$L678=$M678),IF($I678&lt;&gt;$J678,0,IF(AND($I678=$L678,$J678=$M678),2,1)),IF(AND($I678=$L678,$J678=$M678),3,IF(AND($I678&lt;&gt;$J678,$I678=$M678,$J678=$L678),-2,IF(SIGN($I678-$J678)=SIGN($L678-$M678),1,0)))))</x:f>
      </x:c>
      <x:c r="P678" s="59" t="str">
        <x:f>IF(OR($H678&lt;&gt;"Sim",$I678="",$J678="",$L678="",$M678=""),"",IF(AND(IF($I678&gt;$J678,$F678,IF($I678&lt;$J678,$G678,$K678))&lt;&gt;"",IF($L678&gt;$M678,$F678,IF($L678&lt;$M678,$G678,$N678))&lt;&gt;"",IF($I678&gt;$J678,$F678,IF($I678&lt;$J678,$G678,$K678))=IF($L678&gt;$M678,$F678,IF($L678&lt;$M678,$G678,$N678))),1,0))</x:f>
      </x:c>
      <x:c r="Q678" s="59" t="str">
        <x:f>IF($O678="","",$O678+$P678)</x:f>
      </x:c>
      <x:c r="R678" s="59" t="str">
        <x:f>IF($Q678="","",IF($O678=3,"Cravada",IF(AND($H678="Sim",$L678=$M678,$I678=$J678,$O678=2),"Empate cravado",IF($O678=1,"Resultado certo",IF($O678=-2,"Invertida",IF($P678=1,"Acertou quem passa","Erro"))))))</x:f>
      </x:c>
      <x:c r="S678" s="59" t="str">
        <x:f>IF($O678="","",--(OR($O678=3,AND($H678="Sim",$L678=$M678,$I678=$J678,$O678=2))))</x:f>
      </x:c>
      <x:c r="T678" s="59" t="str">
        <x:f>IF($O678="","",--($O678=-2))</x:f>
      </x:c>
      <x:c r="U678" s="59" t="str">
        <x:f>IF($O678="","",--($O678=1))</x:f>
      </x:c>
      <x:c r="V678" s="59" t="n">
        <x:f>--(AND($I678&lt;&gt;"",$J678&lt;&gt;""))</x:f>
        <x:v>0</x:v>
      </x:c>
    </x:row>
    <x:row r="679">
      <x:c r="A679" s="21" t="str">
        <x:f>INDEX(Config!$B$10:$B$16,INT((ROW()-5)/104)+1)</x:f>
        <x:v>Thyago</x:v>
      </x:c>
      <x:c r="B679" s="21" t="str">
        <x:v>GI3</x:v>
      </x:c>
      <x:c r="C679" s="21" t="n">
        <x:v>51</x:v>
      </x:c>
      <x:c r="D679" s="21" t="str">
        <x:v>Grupo I</x:v>
      </x:c>
      <x:c r="E679" s="21" t="str">
        <x:v>2026-06-22</x:v>
      </x:c>
      <x:c r="F679" s="21" t="str">
        <x:f>IFERROR(INDEX('Resultados'!$G$5:$G$108,MATCH($B679,'Resultados'!$A$5:$A$108,0)),"")</x:f>
        <x:v>França</x:v>
      </x:c>
      <x:c r="G679" s="21" t="str">
        <x:f>IFERROR(INDEX('Resultados'!$J$5:$J$108,MATCH($B679,'Resultados'!$A$5:$A$108,0)),"")</x:f>
        <x:v>Iraque</x:v>
      </x:c>
      <x:c r="H679" s="21" t="str">
        <x:v>Não</x:v>
      </x:c>
      <x:c r="I679" s="22"/>
      <x:c r="J679" s="22"/>
      <x:c r="K679" s="23"/>
      <x:c r="L679" s="21" t="str">
        <x:f>IFERROR(INDEX('Resultados'!$H$5:$H$108,MATCH($B679,'Resultados'!$A$5:$A$108,0)),"")</x:f>
      </x:c>
      <x:c r="M679" s="21" t="str">
        <x:f>IFERROR(INDEX('Resultados'!$I$5:$I$108,MATCH($B679,'Resultados'!$A$5:$A$108,0)),"")</x:f>
      </x:c>
      <x:c r="N679" s="21" t="str">
        <x:f>IFERROR(INDEX('Resultados'!$L$5:$L$108,MATCH($B679,'Resultados'!$A$5:$A$108,0)),"")</x:f>
      </x:c>
      <x:c r="O679" s="59" t="str">
        <x:f>IF(OR($I679="",$J679="",$L679="",$M679=""),"",IF(AND($H679="Sim",$L679=$M679),IF($I679&lt;&gt;$J679,0,IF(AND($I679=$L679,$J679=$M679),2,1)),IF(AND($I679=$L679,$J679=$M679),3,IF(AND($I679&lt;&gt;$J679,$I679=$M679,$J679=$L679),-2,IF(SIGN($I679-$J679)=SIGN($L679-$M679),1,0)))))</x:f>
      </x:c>
      <x:c r="P679" s="59" t="str">
        <x:f>IF(OR($H679&lt;&gt;"Sim",$I679="",$J679="",$L679="",$M679=""),"",IF(AND(IF($I679&gt;$J679,$F679,IF($I679&lt;$J679,$G679,$K679))&lt;&gt;"",IF($L679&gt;$M679,$F679,IF($L679&lt;$M679,$G679,$N679))&lt;&gt;"",IF($I679&gt;$J679,$F679,IF($I679&lt;$J679,$G679,$K679))=IF($L679&gt;$M679,$F679,IF($L679&lt;$M679,$G679,$N679))),1,0))</x:f>
      </x:c>
      <x:c r="Q679" s="59" t="str">
        <x:f>IF($O679="","",$O679+$P679)</x:f>
      </x:c>
      <x:c r="R679" s="59" t="str">
        <x:f>IF($Q679="","",IF($O679=3,"Cravada",IF(AND($H679="Sim",$L679=$M679,$I679=$J679,$O679=2),"Empate cravado",IF($O679=1,"Resultado certo",IF($O679=-2,"Invertida",IF($P679=1,"Acertou quem passa","Erro"))))))</x:f>
      </x:c>
      <x:c r="S679" s="59" t="str">
        <x:f>IF($O679="","",--(OR($O679=3,AND($H679="Sim",$L679=$M679,$I679=$J679,$O679=2))))</x:f>
      </x:c>
      <x:c r="T679" s="59" t="str">
        <x:f>IF($O679="","",--($O679=-2))</x:f>
      </x:c>
      <x:c r="U679" s="59" t="str">
        <x:f>IF($O679="","",--($O679=1))</x:f>
      </x:c>
      <x:c r="V679" s="59" t="n">
        <x:f>--(AND($I679&lt;&gt;"",$J679&lt;&gt;""))</x:f>
        <x:v>0</x:v>
      </x:c>
    </x:row>
    <x:row r="680">
      <x:c r="A680" s="21" t="str">
        <x:f>INDEX(Config!$B$10:$B$16,INT((ROW()-5)/104)+1)</x:f>
        <x:v>Thyago</x:v>
      </x:c>
      <x:c r="B680" s="21" t="str">
        <x:v>GI4</x:v>
      </x:c>
      <x:c r="C680" s="21" t="n">
        <x:v>52</x:v>
      </x:c>
      <x:c r="D680" s="21" t="str">
        <x:v>Grupo I</x:v>
      </x:c>
      <x:c r="E680" s="21" t="str">
        <x:v>2026-06-22</x:v>
      </x:c>
      <x:c r="F680" s="21" t="str">
        <x:f>IFERROR(INDEX('Resultados'!$G$5:$G$108,MATCH($B680,'Resultados'!$A$5:$A$108,0)),"")</x:f>
        <x:v>Senegal</x:v>
      </x:c>
      <x:c r="G680" s="21" t="str">
        <x:f>IFERROR(INDEX('Resultados'!$J$5:$J$108,MATCH($B680,'Resultados'!$A$5:$A$108,0)),"")</x:f>
        <x:v>Noruega</x:v>
      </x:c>
      <x:c r="H680" s="21" t="str">
        <x:v>Não</x:v>
      </x:c>
      <x:c r="I680" s="22"/>
      <x:c r="J680" s="22"/>
      <x:c r="K680" s="23"/>
      <x:c r="L680" s="21" t="str">
        <x:f>IFERROR(INDEX('Resultados'!$H$5:$H$108,MATCH($B680,'Resultados'!$A$5:$A$108,0)),"")</x:f>
      </x:c>
      <x:c r="M680" s="21" t="str">
        <x:f>IFERROR(INDEX('Resultados'!$I$5:$I$108,MATCH($B680,'Resultados'!$A$5:$A$108,0)),"")</x:f>
      </x:c>
      <x:c r="N680" s="21" t="str">
        <x:f>IFERROR(INDEX('Resultados'!$L$5:$L$108,MATCH($B680,'Resultados'!$A$5:$A$108,0)),"")</x:f>
      </x:c>
      <x:c r="O680" s="59" t="str">
        <x:f>IF(OR($I680="",$J680="",$L680="",$M680=""),"",IF(AND($H680="Sim",$L680=$M680),IF($I680&lt;&gt;$J680,0,IF(AND($I680=$L680,$J680=$M680),2,1)),IF(AND($I680=$L680,$J680=$M680),3,IF(AND($I680&lt;&gt;$J680,$I680=$M680,$J680=$L680),-2,IF(SIGN($I680-$J680)=SIGN($L680-$M680),1,0)))))</x:f>
      </x:c>
      <x:c r="P680" s="59" t="str">
        <x:f>IF(OR($H680&lt;&gt;"Sim",$I680="",$J680="",$L680="",$M680=""),"",IF(AND(IF($I680&gt;$J680,$F680,IF($I680&lt;$J680,$G680,$K680))&lt;&gt;"",IF($L680&gt;$M680,$F680,IF($L680&lt;$M680,$G680,$N680))&lt;&gt;"",IF($I680&gt;$J680,$F680,IF($I680&lt;$J680,$G680,$K680))=IF($L680&gt;$M680,$F680,IF($L680&lt;$M680,$G680,$N680))),1,0))</x:f>
      </x:c>
      <x:c r="Q680" s="59" t="str">
        <x:f>IF($O680="","",$O680+$P680)</x:f>
      </x:c>
      <x:c r="R680" s="59" t="str">
        <x:f>IF($Q680="","",IF($O680=3,"Cravada",IF(AND($H680="Sim",$L680=$M680,$I680=$J680,$O680=2),"Empate cravado",IF($O680=1,"Resultado certo",IF($O680=-2,"Invertida",IF($P680=1,"Acertou quem passa","Erro"))))))</x:f>
      </x:c>
      <x:c r="S680" s="59" t="str">
        <x:f>IF($O680="","",--(OR($O680=3,AND($H680="Sim",$L680=$M680,$I680=$J680,$O680=2))))</x:f>
      </x:c>
      <x:c r="T680" s="59" t="str">
        <x:f>IF($O680="","",--($O680=-2))</x:f>
      </x:c>
      <x:c r="U680" s="59" t="str">
        <x:f>IF($O680="","",--($O680=1))</x:f>
      </x:c>
      <x:c r="V680" s="59" t="n">
        <x:f>--(AND($I680&lt;&gt;"",$J680&lt;&gt;""))</x:f>
        <x:v>0</x:v>
      </x:c>
    </x:row>
    <x:row r="681">
      <x:c r="A681" s="21" t="str">
        <x:f>INDEX(Config!$B$10:$B$16,INT((ROW()-5)/104)+1)</x:f>
        <x:v>Thyago</x:v>
      </x:c>
      <x:c r="B681" s="21" t="str">
        <x:v>GI5</x:v>
      </x:c>
      <x:c r="C681" s="21" t="n">
        <x:v>53</x:v>
      </x:c>
      <x:c r="D681" s="21" t="str">
        <x:v>Grupo I</x:v>
      </x:c>
      <x:c r="E681" s="21" t="str">
        <x:v>2026-06-26</x:v>
      </x:c>
      <x:c r="F681" s="21" t="str">
        <x:f>IFERROR(INDEX('Resultados'!$G$5:$G$108,MATCH($B681,'Resultados'!$A$5:$A$108,0)),"")</x:f>
        <x:v>França</x:v>
      </x:c>
      <x:c r="G681" s="21" t="str">
        <x:f>IFERROR(INDEX('Resultados'!$J$5:$J$108,MATCH($B681,'Resultados'!$A$5:$A$108,0)),"")</x:f>
        <x:v>Noruega</x:v>
      </x:c>
      <x:c r="H681" s="21" t="str">
        <x:v>Não</x:v>
      </x:c>
      <x:c r="I681" s="22"/>
      <x:c r="J681" s="22"/>
      <x:c r="K681" s="23"/>
      <x:c r="L681" s="21" t="str">
        <x:f>IFERROR(INDEX('Resultados'!$H$5:$H$108,MATCH($B681,'Resultados'!$A$5:$A$108,0)),"")</x:f>
      </x:c>
      <x:c r="M681" s="21" t="str">
        <x:f>IFERROR(INDEX('Resultados'!$I$5:$I$108,MATCH($B681,'Resultados'!$A$5:$A$108,0)),"")</x:f>
      </x:c>
      <x:c r="N681" s="21" t="str">
        <x:f>IFERROR(INDEX('Resultados'!$L$5:$L$108,MATCH($B681,'Resultados'!$A$5:$A$108,0)),"")</x:f>
      </x:c>
      <x:c r="O681" s="59" t="str">
        <x:f>IF(OR($I681="",$J681="",$L681="",$M681=""),"",IF(AND($H681="Sim",$L681=$M681),IF($I681&lt;&gt;$J681,0,IF(AND($I681=$L681,$J681=$M681),2,1)),IF(AND($I681=$L681,$J681=$M681),3,IF(AND($I681&lt;&gt;$J681,$I681=$M681,$J681=$L681),-2,IF(SIGN($I681-$J681)=SIGN($L681-$M681),1,0)))))</x:f>
      </x:c>
      <x:c r="P681" s="59" t="str">
        <x:f>IF(OR($H681&lt;&gt;"Sim",$I681="",$J681="",$L681="",$M681=""),"",IF(AND(IF($I681&gt;$J681,$F681,IF($I681&lt;$J681,$G681,$K681))&lt;&gt;"",IF($L681&gt;$M681,$F681,IF($L681&lt;$M681,$G681,$N681))&lt;&gt;"",IF($I681&gt;$J681,$F681,IF($I681&lt;$J681,$G681,$K681))=IF($L681&gt;$M681,$F681,IF($L681&lt;$M681,$G681,$N681))),1,0))</x:f>
      </x:c>
      <x:c r="Q681" s="59" t="str">
        <x:f>IF($O681="","",$O681+$P681)</x:f>
      </x:c>
      <x:c r="R681" s="59" t="str">
        <x:f>IF($Q681="","",IF($O681=3,"Cravada",IF(AND($H681="Sim",$L681=$M681,$I681=$J681,$O681=2),"Empate cravado",IF($O681=1,"Resultado certo",IF($O681=-2,"Invertida",IF($P681=1,"Acertou quem passa","Erro"))))))</x:f>
      </x:c>
      <x:c r="S681" s="59" t="str">
        <x:f>IF($O681="","",--(OR($O681=3,AND($H681="Sim",$L681=$M681,$I681=$J681,$O681=2))))</x:f>
      </x:c>
      <x:c r="T681" s="59" t="str">
        <x:f>IF($O681="","",--($O681=-2))</x:f>
      </x:c>
      <x:c r="U681" s="59" t="str">
        <x:f>IF($O681="","",--($O681=1))</x:f>
      </x:c>
      <x:c r="V681" s="59" t="n">
        <x:f>--(AND($I681&lt;&gt;"",$J681&lt;&gt;""))</x:f>
        <x:v>0</x:v>
      </x:c>
    </x:row>
    <x:row r="682">
      <x:c r="A682" s="21" t="str">
        <x:f>INDEX(Config!$B$10:$B$16,INT((ROW()-5)/104)+1)</x:f>
        <x:v>Thyago</x:v>
      </x:c>
      <x:c r="B682" s="21" t="str">
        <x:v>GI6</x:v>
      </x:c>
      <x:c r="C682" s="21" t="n">
        <x:v>54</x:v>
      </x:c>
      <x:c r="D682" s="21" t="str">
        <x:v>Grupo I</x:v>
      </x:c>
      <x:c r="E682" s="21" t="str">
        <x:v>2026-06-26</x:v>
      </x:c>
      <x:c r="F682" s="21" t="str">
        <x:f>IFERROR(INDEX('Resultados'!$G$5:$G$108,MATCH($B682,'Resultados'!$A$5:$A$108,0)),"")</x:f>
        <x:v>Senegal</x:v>
      </x:c>
      <x:c r="G682" s="21" t="str">
        <x:f>IFERROR(INDEX('Resultados'!$J$5:$J$108,MATCH($B682,'Resultados'!$A$5:$A$108,0)),"")</x:f>
        <x:v>Iraque</x:v>
      </x:c>
      <x:c r="H682" s="21" t="str">
        <x:v>Não</x:v>
      </x:c>
      <x:c r="I682" s="22"/>
      <x:c r="J682" s="22"/>
      <x:c r="K682" s="23"/>
      <x:c r="L682" s="21" t="str">
        <x:f>IFERROR(INDEX('Resultados'!$H$5:$H$108,MATCH($B682,'Resultados'!$A$5:$A$108,0)),"")</x:f>
      </x:c>
      <x:c r="M682" s="21" t="str">
        <x:f>IFERROR(INDEX('Resultados'!$I$5:$I$108,MATCH($B682,'Resultados'!$A$5:$A$108,0)),"")</x:f>
      </x:c>
      <x:c r="N682" s="21" t="str">
        <x:f>IFERROR(INDEX('Resultados'!$L$5:$L$108,MATCH($B682,'Resultados'!$A$5:$A$108,0)),"")</x:f>
      </x:c>
      <x:c r="O682" s="59" t="str">
        <x:f>IF(OR($I682="",$J682="",$L682="",$M682=""),"",IF(AND($H682="Sim",$L682=$M682),IF($I682&lt;&gt;$J682,0,IF(AND($I682=$L682,$J682=$M682),2,1)),IF(AND($I682=$L682,$J682=$M682),3,IF(AND($I682&lt;&gt;$J682,$I682=$M682,$J682=$L682),-2,IF(SIGN($I682-$J682)=SIGN($L682-$M682),1,0)))))</x:f>
      </x:c>
      <x:c r="P682" s="59" t="str">
        <x:f>IF(OR($H682&lt;&gt;"Sim",$I682="",$J682="",$L682="",$M682=""),"",IF(AND(IF($I682&gt;$J682,$F682,IF($I682&lt;$J682,$G682,$K682))&lt;&gt;"",IF($L682&gt;$M682,$F682,IF($L682&lt;$M682,$G682,$N682))&lt;&gt;"",IF($I682&gt;$J682,$F682,IF($I682&lt;$J682,$G682,$K682))=IF($L682&gt;$M682,$F682,IF($L682&lt;$M682,$G682,$N682))),1,0))</x:f>
      </x:c>
      <x:c r="Q682" s="59" t="str">
        <x:f>IF($O682="","",$O682+$P682)</x:f>
      </x:c>
      <x:c r="R682" s="59" t="str">
        <x:f>IF($Q682="","",IF($O682=3,"Cravada",IF(AND($H682="Sim",$L682=$M682,$I682=$J682,$O682=2),"Empate cravado",IF($O682=1,"Resultado certo",IF($O682=-2,"Invertida",IF($P682=1,"Acertou quem passa","Erro"))))))</x:f>
      </x:c>
      <x:c r="S682" s="59" t="str">
        <x:f>IF($O682="","",--(OR($O682=3,AND($H682="Sim",$L682=$M682,$I682=$J682,$O682=2))))</x:f>
      </x:c>
      <x:c r="T682" s="59" t="str">
        <x:f>IF($O682="","",--($O682=-2))</x:f>
      </x:c>
      <x:c r="U682" s="59" t="str">
        <x:f>IF($O682="","",--($O682=1))</x:f>
      </x:c>
      <x:c r="V682" s="59" t="n">
        <x:f>--(AND($I682&lt;&gt;"",$J682&lt;&gt;""))</x:f>
        <x:v>0</x:v>
      </x:c>
    </x:row>
    <x:row r="683">
      <x:c r="A683" s="21" t="str">
        <x:f>INDEX(Config!$B$10:$B$16,INT((ROW()-5)/104)+1)</x:f>
        <x:v>Thyago</x:v>
      </x:c>
      <x:c r="B683" s="21" t="str">
        <x:v>GJ1</x:v>
      </x:c>
      <x:c r="C683" s="21" t="n">
        <x:v>55</x:v>
      </x:c>
      <x:c r="D683" s="21" t="str">
        <x:v>Grupo J</x:v>
      </x:c>
      <x:c r="E683" s="21" t="str">
        <x:v>2026-06-16</x:v>
      </x:c>
      <x:c r="F683" s="21" t="str">
        <x:f>IFERROR(INDEX('Resultados'!$G$5:$G$108,MATCH($B683,'Resultados'!$A$5:$A$108,0)),"")</x:f>
        <x:v>Argentina</x:v>
      </x:c>
      <x:c r="G683" s="21" t="str">
        <x:f>IFERROR(INDEX('Resultados'!$J$5:$J$108,MATCH($B683,'Resultados'!$A$5:$A$108,0)),"")</x:f>
        <x:v>Argélia</x:v>
      </x:c>
      <x:c r="H683" s="21" t="str">
        <x:v>Não</x:v>
      </x:c>
      <x:c r="I683" s="22"/>
      <x:c r="J683" s="22"/>
      <x:c r="K683" s="23"/>
      <x:c r="L683" s="21" t="str">
        <x:f>IFERROR(INDEX('Resultados'!$H$5:$H$108,MATCH($B683,'Resultados'!$A$5:$A$108,0)),"")</x:f>
      </x:c>
      <x:c r="M683" s="21" t="str">
        <x:f>IFERROR(INDEX('Resultados'!$I$5:$I$108,MATCH($B683,'Resultados'!$A$5:$A$108,0)),"")</x:f>
      </x:c>
      <x:c r="N683" s="21" t="str">
        <x:f>IFERROR(INDEX('Resultados'!$L$5:$L$108,MATCH($B683,'Resultados'!$A$5:$A$108,0)),"")</x:f>
      </x:c>
      <x:c r="O683" s="59" t="str">
        <x:f>IF(OR($I683="",$J683="",$L683="",$M683=""),"",IF(AND($H683="Sim",$L683=$M683),IF($I683&lt;&gt;$J683,0,IF(AND($I683=$L683,$J683=$M683),2,1)),IF(AND($I683=$L683,$J683=$M683),3,IF(AND($I683&lt;&gt;$J683,$I683=$M683,$J683=$L683),-2,IF(SIGN($I683-$J683)=SIGN($L683-$M683),1,0)))))</x:f>
      </x:c>
      <x:c r="P683" s="59" t="str">
        <x:f>IF(OR($H683&lt;&gt;"Sim",$I683="",$J683="",$L683="",$M683=""),"",IF(AND(IF($I683&gt;$J683,$F683,IF($I683&lt;$J683,$G683,$K683))&lt;&gt;"",IF($L683&gt;$M683,$F683,IF($L683&lt;$M683,$G683,$N683))&lt;&gt;"",IF($I683&gt;$J683,$F683,IF($I683&lt;$J683,$G683,$K683))=IF($L683&gt;$M683,$F683,IF($L683&lt;$M683,$G683,$N683))),1,0))</x:f>
      </x:c>
      <x:c r="Q683" s="59" t="str">
        <x:f>IF($O683="","",$O683+$P683)</x:f>
      </x:c>
      <x:c r="R683" s="59" t="str">
        <x:f>IF($Q683="","",IF($O683=3,"Cravada",IF(AND($H683="Sim",$L683=$M683,$I683=$J683,$O683=2),"Empate cravado",IF($O683=1,"Resultado certo",IF($O683=-2,"Invertida",IF($P683=1,"Acertou quem passa","Erro"))))))</x:f>
      </x:c>
      <x:c r="S683" s="59" t="str">
        <x:f>IF($O683="","",--(OR($O683=3,AND($H683="Sim",$L683=$M683,$I683=$J683,$O683=2))))</x:f>
      </x:c>
      <x:c r="T683" s="59" t="str">
        <x:f>IF($O683="","",--($O683=-2))</x:f>
      </x:c>
      <x:c r="U683" s="59" t="str">
        <x:f>IF($O683="","",--($O683=1))</x:f>
      </x:c>
      <x:c r="V683" s="59" t="n">
        <x:f>--(AND($I683&lt;&gt;"",$J683&lt;&gt;""))</x:f>
        <x:v>0</x:v>
      </x:c>
    </x:row>
    <x:row r="684">
      <x:c r="A684" s="21" t="str">
        <x:f>INDEX(Config!$B$10:$B$16,INT((ROW()-5)/104)+1)</x:f>
        <x:v>Thyago</x:v>
      </x:c>
      <x:c r="B684" s="21" t="str">
        <x:v>GJ2</x:v>
      </x:c>
      <x:c r="C684" s="21" t="n">
        <x:v>56</x:v>
      </x:c>
      <x:c r="D684" s="21" t="str">
        <x:v>Grupo J</x:v>
      </x:c>
      <x:c r="E684" s="21" t="str">
        <x:v>2026-06-17</x:v>
      </x:c>
      <x:c r="F684" s="21" t="str">
        <x:f>IFERROR(INDEX('Resultados'!$G$5:$G$108,MATCH($B684,'Resultados'!$A$5:$A$108,0)),"")</x:f>
        <x:v>Áustria</x:v>
      </x:c>
      <x:c r="G684" s="21" t="str">
        <x:f>IFERROR(INDEX('Resultados'!$J$5:$J$108,MATCH($B684,'Resultados'!$A$5:$A$108,0)),"")</x:f>
        <x:v>Jordânia</x:v>
      </x:c>
      <x:c r="H684" s="21" t="str">
        <x:v>Não</x:v>
      </x:c>
      <x:c r="I684" s="22"/>
      <x:c r="J684" s="22"/>
      <x:c r="K684" s="23"/>
      <x:c r="L684" s="21" t="str">
        <x:f>IFERROR(INDEX('Resultados'!$H$5:$H$108,MATCH($B684,'Resultados'!$A$5:$A$108,0)),"")</x:f>
      </x:c>
      <x:c r="M684" s="21" t="str">
        <x:f>IFERROR(INDEX('Resultados'!$I$5:$I$108,MATCH($B684,'Resultados'!$A$5:$A$108,0)),"")</x:f>
      </x:c>
      <x:c r="N684" s="21" t="str">
        <x:f>IFERROR(INDEX('Resultados'!$L$5:$L$108,MATCH($B684,'Resultados'!$A$5:$A$108,0)),"")</x:f>
      </x:c>
      <x:c r="O684" s="59" t="str">
        <x:f>IF(OR($I684="",$J684="",$L684="",$M684=""),"",IF(AND($H684="Sim",$L684=$M684),IF($I684&lt;&gt;$J684,0,IF(AND($I684=$L684,$J684=$M684),2,1)),IF(AND($I684=$L684,$J684=$M684),3,IF(AND($I684&lt;&gt;$J684,$I684=$M684,$J684=$L684),-2,IF(SIGN($I684-$J684)=SIGN($L684-$M684),1,0)))))</x:f>
      </x:c>
      <x:c r="P684" s="59" t="str">
        <x:f>IF(OR($H684&lt;&gt;"Sim",$I684="",$J684="",$L684="",$M684=""),"",IF(AND(IF($I684&gt;$J684,$F684,IF($I684&lt;$J684,$G684,$K684))&lt;&gt;"",IF($L684&gt;$M684,$F684,IF($L684&lt;$M684,$G684,$N684))&lt;&gt;"",IF($I684&gt;$J684,$F684,IF($I684&lt;$J684,$G684,$K684))=IF($L684&gt;$M684,$F684,IF($L684&lt;$M684,$G684,$N684))),1,0))</x:f>
      </x:c>
      <x:c r="Q684" s="59" t="str">
        <x:f>IF($O684="","",$O684+$P684)</x:f>
      </x:c>
      <x:c r="R684" s="59" t="str">
        <x:f>IF($Q684="","",IF($O684=3,"Cravada",IF(AND($H684="Sim",$L684=$M684,$I684=$J684,$O684=2),"Empate cravado",IF($O684=1,"Resultado certo",IF($O684=-2,"Invertida",IF($P684=1,"Acertou quem passa","Erro"))))))</x:f>
      </x:c>
      <x:c r="S684" s="59" t="str">
        <x:f>IF($O684="","",--(OR($O684=3,AND($H684="Sim",$L684=$M684,$I684=$J684,$O684=2))))</x:f>
      </x:c>
      <x:c r="T684" s="59" t="str">
        <x:f>IF($O684="","",--($O684=-2))</x:f>
      </x:c>
      <x:c r="U684" s="59" t="str">
        <x:f>IF($O684="","",--($O684=1))</x:f>
      </x:c>
      <x:c r="V684" s="59" t="n">
        <x:f>--(AND($I684&lt;&gt;"",$J684&lt;&gt;""))</x:f>
        <x:v>0</x:v>
      </x:c>
    </x:row>
    <x:row r="685">
      <x:c r="A685" s="21" t="str">
        <x:f>INDEX(Config!$B$10:$B$16,INT((ROW()-5)/104)+1)</x:f>
        <x:v>Thyago</x:v>
      </x:c>
      <x:c r="B685" s="21" t="str">
        <x:v>GJ3</x:v>
      </x:c>
      <x:c r="C685" s="21" t="n">
        <x:v>57</x:v>
      </x:c>
      <x:c r="D685" s="21" t="str">
        <x:v>Grupo J</x:v>
      </x:c>
      <x:c r="E685" s="21" t="str">
        <x:v>2026-06-22</x:v>
      </x:c>
      <x:c r="F685" s="21" t="str">
        <x:f>IFERROR(INDEX('Resultados'!$G$5:$G$108,MATCH($B685,'Resultados'!$A$5:$A$108,0)),"")</x:f>
        <x:v>Argentina</x:v>
      </x:c>
      <x:c r="G685" s="21" t="str">
        <x:f>IFERROR(INDEX('Resultados'!$J$5:$J$108,MATCH($B685,'Resultados'!$A$5:$A$108,0)),"")</x:f>
        <x:v>Áustria</x:v>
      </x:c>
      <x:c r="H685" s="21" t="str">
        <x:v>Não</x:v>
      </x:c>
      <x:c r="I685" s="22"/>
      <x:c r="J685" s="22"/>
      <x:c r="K685" s="23"/>
      <x:c r="L685" s="21" t="str">
        <x:f>IFERROR(INDEX('Resultados'!$H$5:$H$108,MATCH($B685,'Resultados'!$A$5:$A$108,0)),"")</x:f>
      </x:c>
      <x:c r="M685" s="21" t="str">
        <x:f>IFERROR(INDEX('Resultados'!$I$5:$I$108,MATCH($B685,'Resultados'!$A$5:$A$108,0)),"")</x:f>
      </x:c>
      <x:c r="N685" s="21" t="str">
        <x:f>IFERROR(INDEX('Resultados'!$L$5:$L$108,MATCH($B685,'Resultados'!$A$5:$A$108,0)),"")</x:f>
      </x:c>
      <x:c r="O685" s="59" t="str">
        <x:f>IF(OR($I685="",$J685="",$L685="",$M685=""),"",IF(AND($H685="Sim",$L685=$M685),IF($I685&lt;&gt;$J685,0,IF(AND($I685=$L685,$J685=$M685),2,1)),IF(AND($I685=$L685,$J685=$M685),3,IF(AND($I685&lt;&gt;$J685,$I685=$M685,$J685=$L685),-2,IF(SIGN($I685-$J685)=SIGN($L685-$M685),1,0)))))</x:f>
      </x:c>
      <x:c r="P685" s="59" t="str">
        <x:f>IF(OR($H685&lt;&gt;"Sim",$I685="",$J685="",$L685="",$M685=""),"",IF(AND(IF($I685&gt;$J685,$F685,IF($I685&lt;$J685,$G685,$K685))&lt;&gt;"",IF($L685&gt;$M685,$F685,IF($L685&lt;$M685,$G685,$N685))&lt;&gt;"",IF($I685&gt;$J685,$F685,IF($I685&lt;$J685,$G685,$K685))=IF($L685&gt;$M685,$F685,IF($L685&lt;$M685,$G685,$N685))),1,0))</x:f>
      </x:c>
      <x:c r="Q685" s="59" t="str">
        <x:f>IF($O685="","",$O685+$P685)</x:f>
      </x:c>
      <x:c r="R685" s="59" t="str">
        <x:f>IF($Q685="","",IF($O685=3,"Cravada",IF(AND($H685="Sim",$L685=$M685,$I685=$J685,$O685=2),"Empate cravado",IF($O685=1,"Resultado certo",IF($O685=-2,"Invertida",IF($P685=1,"Acertou quem passa","Erro"))))))</x:f>
      </x:c>
      <x:c r="S685" s="59" t="str">
        <x:f>IF($O685="","",--(OR($O685=3,AND($H685="Sim",$L685=$M685,$I685=$J685,$O685=2))))</x:f>
      </x:c>
      <x:c r="T685" s="59" t="str">
        <x:f>IF($O685="","",--($O685=-2))</x:f>
      </x:c>
      <x:c r="U685" s="59" t="str">
        <x:f>IF($O685="","",--($O685=1))</x:f>
      </x:c>
      <x:c r="V685" s="59" t="n">
        <x:f>--(AND($I685&lt;&gt;"",$J685&lt;&gt;""))</x:f>
        <x:v>0</x:v>
      </x:c>
    </x:row>
    <x:row r="686">
      <x:c r="A686" s="21" t="str">
        <x:f>INDEX(Config!$B$10:$B$16,INT((ROW()-5)/104)+1)</x:f>
        <x:v>Thyago</x:v>
      </x:c>
      <x:c r="B686" s="21" t="str">
        <x:v>GJ4</x:v>
      </x:c>
      <x:c r="C686" s="21" t="n">
        <x:v>58</x:v>
      </x:c>
      <x:c r="D686" s="21" t="str">
        <x:v>Grupo J</x:v>
      </x:c>
      <x:c r="E686" s="21" t="str">
        <x:v>2026-06-23</x:v>
      </x:c>
      <x:c r="F686" s="21" t="str">
        <x:f>IFERROR(INDEX('Resultados'!$G$5:$G$108,MATCH($B686,'Resultados'!$A$5:$A$108,0)),"")</x:f>
        <x:v>Argélia</x:v>
      </x:c>
      <x:c r="G686" s="21" t="str">
        <x:f>IFERROR(INDEX('Resultados'!$J$5:$J$108,MATCH($B686,'Resultados'!$A$5:$A$108,0)),"")</x:f>
        <x:v>Jordânia</x:v>
      </x:c>
      <x:c r="H686" s="21" t="str">
        <x:v>Não</x:v>
      </x:c>
      <x:c r="I686" s="22"/>
      <x:c r="J686" s="22"/>
      <x:c r="K686" s="23"/>
      <x:c r="L686" s="21" t="str">
        <x:f>IFERROR(INDEX('Resultados'!$H$5:$H$108,MATCH($B686,'Resultados'!$A$5:$A$108,0)),"")</x:f>
      </x:c>
      <x:c r="M686" s="21" t="str">
        <x:f>IFERROR(INDEX('Resultados'!$I$5:$I$108,MATCH($B686,'Resultados'!$A$5:$A$108,0)),"")</x:f>
      </x:c>
      <x:c r="N686" s="21" t="str">
        <x:f>IFERROR(INDEX('Resultados'!$L$5:$L$108,MATCH($B686,'Resultados'!$A$5:$A$108,0)),"")</x:f>
      </x:c>
      <x:c r="O686" s="59" t="str">
        <x:f>IF(OR($I686="",$J686="",$L686="",$M686=""),"",IF(AND($H686="Sim",$L686=$M686),IF($I686&lt;&gt;$J686,0,IF(AND($I686=$L686,$J686=$M686),2,1)),IF(AND($I686=$L686,$J686=$M686),3,IF(AND($I686&lt;&gt;$J686,$I686=$M686,$J686=$L686),-2,IF(SIGN($I686-$J686)=SIGN($L686-$M686),1,0)))))</x:f>
      </x:c>
      <x:c r="P686" s="59" t="str">
        <x:f>IF(OR($H686&lt;&gt;"Sim",$I686="",$J686="",$L686="",$M686=""),"",IF(AND(IF($I686&gt;$J686,$F686,IF($I686&lt;$J686,$G686,$K686))&lt;&gt;"",IF($L686&gt;$M686,$F686,IF($L686&lt;$M686,$G686,$N686))&lt;&gt;"",IF($I686&gt;$J686,$F686,IF($I686&lt;$J686,$G686,$K686))=IF($L686&gt;$M686,$F686,IF($L686&lt;$M686,$G686,$N686))),1,0))</x:f>
      </x:c>
      <x:c r="Q686" s="59" t="str">
        <x:f>IF($O686="","",$O686+$P686)</x:f>
      </x:c>
      <x:c r="R686" s="59" t="str">
        <x:f>IF($Q686="","",IF($O686=3,"Cravada",IF(AND($H686="Sim",$L686=$M686,$I686=$J686,$O686=2),"Empate cravado",IF($O686=1,"Resultado certo",IF($O686=-2,"Invertida",IF($P686=1,"Acertou quem passa","Erro"))))))</x:f>
      </x:c>
      <x:c r="S686" s="59" t="str">
        <x:f>IF($O686="","",--(OR($O686=3,AND($H686="Sim",$L686=$M686,$I686=$J686,$O686=2))))</x:f>
      </x:c>
      <x:c r="T686" s="59" t="str">
        <x:f>IF($O686="","",--($O686=-2))</x:f>
      </x:c>
      <x:c r="U686" s="59" t="str">
        <x:f>IF($O686="","",--($O686=1))</x:f>
      </x:c>
      <x:c r="V686" s="59" t="n">
        <x:f>--(AND($I686&lt;&gt;"",$J686&lt;&gt;""))</x:f>
        <x:v>0</x:v>
      </x:c>
    </x:row>
    <x:row r="687">
      <x:c r="A687" s="21" t="str">
        <x:f>INDEX(Config!$B$10:$B$16,INT((ROW()-5)/104)+1)</x:f>
        <x:v>Thyago</x:v>
      </x:c>
      <x:c r="B687" s="21" t="str">
        <x:v>GJ5</x:v>
      </x:c>
      <x:c r="C687" s="21" t="n">
        <x:v>59</x:v>
      </x:c>
      <x:c r="D687" s="21" t="str">
        <x:v>Grupo J</x:v>
      </x:c>
      <x:c r="E687" s="21" t="str">
        <x:v>2026-06-27</x:v>
      </x:c>
      <x:c r="F687" s="21" t="str">
        <x:f>IFERROR(INDEX('Resultados'!$G$5:$G$108,MATCH($B687,'Resultados'!$A$5:$A$108,0)),"")</x:f>
        <x:v>Argentina</x:v>
      </x:c>
      <x:c r="G687" s="21" t="str">
        <x:f>IFERROR(INDEX('Resultados'!$J$5:$J$108,MATCH($B687,'Resultados'!$A$5:$A$108,0)),"")</x:f>
        <x:v>Jordânia</x:v>
      </x:c>
      <x:c r="H687" s="21" t="str">
        <x:v>Não</x:v>
      </x:c>
      <x:c r="I687" s="22"/>
      <x:c r="J687" s="22"/>
      <x:c r="K687" s="23"/>
      <x:c r="L687" s="21" t="str">
        <x:f>IFERROR(INDEX('Resultados'!$H$5:$H$108,MATCH($B687,'Resultados'!$A$5:$A$108,0)),"")</x:f>
      </x:c>
      <x:c r="M687" s="21" t="str">
        <x:f>IFERROR(INDEX('Resultados'!$I$5:$I$108,MATCH($B687,'Resultados'!$A$5:$A$108,0)),"")</x:f>
      </x:c>
      <x:c r="N687" s="21" t="str">
        <x:f>IFERROR(INDEX('Resultados'!$L$5:$L$108,MATCH($B687,'Resultados'!$A$5:$A$108,0)),"")</x:f>
      </x:c>
      <x:c r="O687" s="59" t="str">
        <x:f>IF(OR($I687="",$J687="",$L687="",$M687=""),"",IF(AND($H687="Sim",$L687=$M687),IF($I687&lt;&gt;$J687,0,IF(AND($I687=$L687,$J687=$M687),2,1)),IF(AND($I687=$L687,$J687=$M687),3,IF(AND($I687&lt;&gt;$J687,$I687=$M687,$J687=$L687),-2,IF(SIGN($I687-$J687)=SIGN($L687-$M687),1,0)))))</x:f>
      </x:c>
      <x:c r="P687" s="59" t="str">
        <x:f>IF(OR($H687&lt;&gt;"Sim",$I687="",$J687="",$L687="",$M687=""),"",IF(AND(IF($I687&gt;$J687,$F687,IF($I687&lt;$J687,$G687,$K687))&lt;&gt;"",IF($L687&gt;$M687,$F687,IF($L687&lt;$M687,$G687,$N687))&lt;&gt;"",IF($I687&gt;$J687,$F687,IF($I687&lt;$J687,$G687,$K687))=IF($L687&gt;$M687,$F687,IF($L687&lt;$M687,$G687,$N687))),1,0))</x:f>
      </x:c>
      <x:c r="Q687" s="59" t="str">
        <x:f>IF($O687="","",$O687+$P687)</x:f>
      </x:c>
      <x:c r="R687" s="59" t="str">
        <x:f>IF($Q687="","",IF($O687=3,"Cravada",IF(AND($H687="Sim",$L687=$M687,$I687=$J687,$O687=2),"Empate cravado",IF($O687=1,"Resultado certo",IF($O687=-2,"Invertida",IF($P687=1,"Acertou quem passa","Erro"))))))</x:f>
      </x:c>
      <x:c r="S687" s="59" t="str">
        <x:f>IF($O687="","",--(OR($O687=3,AND($H687="Sim",$L687=$M687,$I687=$J687,$O687=2))))</x:f>
      </x:c>
      <x:c r="T687" s="59" t="str">
        <x:f>IF($O687="","",--($O687=-2))</x:f>
      </x:c>
      <x:c r="U687" s="59" t="str">
        <x:f>IF($O687="","",--($O687=1))</x:f>
      </x:c>
      <x:c r="V687" s="59" t="n">
        <x:f>--(AND($I687&lt;&gt;"",$J687&lt;&gt;""))</x:f>
        <x:v>0</x:v>
      </x:c>
    </x:row>
    <x:row r="688">
      <x:c r="A688" s="21" t="str">
        <x:f>INDEX(Config!$B$10:$B$16,INT((ROW()-5)/104)+1)</x:f>
        <x:v>Thyago</x:v>
      </x:c>
      <x:c r="B688" s="21" t="str">
        <x:v>GJ6</x:v>
      </x:c>
      <x:c r="C688" s="21" t="n">
        <x:v>60</x:v>
      </x:c>
      <x:c r="D688" s="21" t="str">
        <x:v>Grupo J</x:v>
      </x:c>
      <x:c r="E688" s="21" t="str">
        <x:v>2026-06-27</x:v>
      </x:c>
      <x:c r="F688" s="21" t="str">
        <x:f>IFERROR(INDEX('Resultados'!$G$5:$G$108,MATCH($B688,'Resultados'!$A$5:$A$108,0)),"")</x:f>
        <x:v>Argélia</x:v>
      </x:c>
      <x:c r="G688" s="21" t="str">
        <x:f>IFERROR(INDEX('Resultados'!$J$5:$J$108,MATCH($B688,'Resultados'!$A$5:$A$108,0)),"")</x:f>
        <x:v>Áustria</x:v>
      </x:c>
      <x:c r="H688" s="21" t="str">
        <x:v>Não</x:v>
      </x:c>
      <x:c r="I688" s="22"/>
      <x:c r="J688" s="22"/>
      <x:c r="K688" s="23"/>
      <x:c r="L688" s="21" t="str">
        <x:f>IFERROR(INDEX('Resultados'!$H$5:$H$108,MATCH($B688,'Resultados'!$A$5:$A$108,0)),"")</x:f>
      </x:c>
      <x:c r="M688" s="21" t="str">
        <x:f>IFERROR(INDEX('Resultados'!$I$5:$I$108,MATCH($B688,'Resultados'!$A$5:$A$108,0)),"")</x:f>
      </x:c>
      <x:c r="N688" s="21" t="str">
        <x:f>IFERROR(INDEX('Resultados'!$L$5:$L$108,MATCH($B688,'Resultados'!$A$5:$A$108,0)),"")</x:f>
      </x:c>
      <x:c r="O688" s="59" t="str">
        <x:f>IF(OR($I688="",$J688="",$L688="",$M688=""),"",IF(AND($H688="Sim",$L688=$M688),IF($I688&lt;&gt;$J688,0,IF(AND($I688=$L688,$J688=$M688),2,1)),IF(AND($I688=$L688,$J688=$M688),3,IF(AND($I688&lt;&gt;$J688,$I688=$M688,$J688=$L688),-2,IF(SIGN($I688-$J688)=SIGN($L688-$M688),1,0)))))</x:f>
      </x:c>
      <x:c r="P688" s="59" t="str">
        <x:f>IF(OR($H688&lt;&gt;"Sim",$I688="",$J688="",$L688="",$M688=""),"",IF(AND(IF($I688&gt;$J688,$F688,IF($I688&lt;$J688,$G688,$K688))&lt;&gt;"",IF($L688&gt;$M688,$F688,IF($L688&lt;$M688,$G688,$N688))&lt;&gt;"",IF($I688&gt;$J688,$F688,IF($I688&lt;$J688,$G688,$K688))=IF($L688&gt;$M688,$F688,IF($L688&lt;$M688,$G688,$N688))),1,0))</x:f>
      </x:c>
      <x:c r="Q688" s="59" t="str">
        <x:f>IF($O688="","",$O688+$P688)</x:f>
      </x:c>
      <x:c r="R688" s="59" t="str">
        <x:f>IF($Q688="","",IF($O688=3,"Cravada",IF(AND($H688="Sim",$L688=$M688,$I688=$J688,$O688=2),"Empate cravado",IF($O688=1,"Resultado certo",IF($O688=-2,"Invertida",IF($P688=1,"Acertou quem passa","Erro"))))))</x:f>
      </x:c>
      <x:c r="S688" s="59" t="str">
        <x:f>IF($O688="","",--(OR($O688=3,AND($H688="Sim",$L688=$M688,$I688=$J688,$O688=2))))</x:f>
      </x:c>
      <x:c r="T688" s="59" t="str">
        <x:f>IF($O688="","",--($O688=-2))</x:f>
      </x:c>
      <x:c r="U688" s="59" t="str">
        <x:f>IF($O688="","",--($O688=1))</x:f>
      </x:c>
      <x:c r="V688" s="59" t="n">
        <x:f>--(AND($I688&lt;&gt;"",$J688&lt;&gt;""))</x:f>
        <x:v>0</x:v>
      </x:c>
    </x:row>
    <x:row r="689">
      <x:c r="A689" s="21" t="str">
        <x:f>INDEX(Config!$B$10:$B$16,INT((ROW()-5)/104)+1)</x:f>
        <x:v>Thyago</x:v>
      </x:c>
      <x:c r="B689" s="21" t="str">
        <x:v>GK1</x:v>
      </x:c>
      <x:c r="C689" s="21" t="n">
        <x:v>61</x:v>
      </x:c>
      <x:c r="D689" s="21" t="str">
        <x:v>Grupo K</x:v>
      </x:c>
      <x:c r="E689" s="21" t="str">
        <x:v>2026-06-17</x:v>
      </x:c>
      <x:c r="F689" s="21" t="str">
        <x:f>IFERROR(INDEX('Resultados'!$G$5:$G$108,MATCH($B689,'Resultados'!$A$5:$A$108,0)),"")</x:f>
        <x:v>Portugal</x:v>
      </x:c>
      <x:c r="G689" s="21" t="str">
        <x:f>IFERROR(INDEX('Resultados'!$J$5:$J$108,MATCH($B689,'Resultados'!$A$5:$A$108,0)),"")</x:f>
        <x:v>Rep. D. do Congo</x:v>
      </x:c>
      <x:c r="H689" s="21" t="str">
        <x:v>Não</x:v>
      </x:c>
      <x:c r="I689" s="22"/>
      <x:c r="J689" s="22"/>
      <x:c r="K689" s="23"/>
      <x:c r="L689" s="21" t="str">
        <x:f>IFERROR(INDEX('Resultados'!$H$5:$H$108,MATCH($B689,'Resultados'!$A$5:$A$108,0)),"")</x:f>
      </x:c>
      <x:c r="M689" s="21" t="str">
        <x:f>IFERROR(INDEX('Resultados'!$I$5:$I$108,MATCH($B689,'Resultados'!$A$5:$A$108,0)),"")</x:f>
      </x:c>
      <x:c r="N689" s="21" t="str">
        <x:f>IFERROR(INDEX('Resultados'!$L$5:$L$108,MATCH($B689,'Resultados'!$A$5:$A$108,0)),"")</x:f>
      </x:c>
      <x:c r="O689" s="59" t="str">
        <x:f>IF(OR($I689="",$J689="",$L689="",$M689=""),"",IF(AND($H689="Sim",$L689=$M689),IF($I689&lt;&gt;$J689,0,IF(AND($I689=$L689,$J689=$M689),2,1)),IF(AND($I689=$L689,$J689=$M689),3,IF(AND($I689&lt;&gt;$J689,$I689=$M689,$J689=$L689),-2,IF(SIGN($I689-$J689)=SIGN($L689-$M689),1,0)))))</x:f>
      </x:c>
      <x:c r="P689" s="59" t="str">
        <x:f>IF(OR($H689&lt;&gt;"Sim",$I689="",$J689="",$L689="",$M689=""),"",IF(AND(IF($I689&gt;$J689,$F689,IF($I689&lt;$J689,$G689,$K689))&lt;&gt;"",IF($L689&gt;$M689,$F689,IF($L689&lt;$M689,$G689,$N689))&lt;&gt;"",IF($I689&gt;$J689,$F689,IF($I689&lt;$J689,$G689,$K689))=IF($L689&gt;$M689,$F689,IF($L689&lt;$M689,$G689,$N689))),1,0))</x:f>
      </x:c>
      <x:c r="Q689" s="59" t="str">
        <x:f>IF($O689="","",$O689+$P689)</x:f>
      </x:c>
      <x:c r="R689" s="59" t="str">
        <x:f>IF($Q689="","",IF($O689=3,"Cravada",IF(AND($H689="Sim",$L689=$M689,$I689=$J689,$O689=2),"Empate cravado",IF($O689=1,"Resultado certo",IF($O689=-2,"Invertida",IF($P689=1,"Acertou quem passa","Erro"))))))</x:f>
      </x:c>
      <x:c r="S689" s="59" t="str">
        <x:f>IF($O689="","",--(OR($O689=3,AND($H689="Sim",$L689=$M689,$I689=$J689,$O689=2))))</x:f>
      </x:c>
      <x:c r="T689" s="59" t="str">
        <x:f>IF($O689="","",--($O689=-2))</x:f>
      </x:c>
      <x:c r="U689" s="59" t="str">
        <x:f>IF($O689="","",--($O689=1))</x:f>
      </x:c>
      <x:c r="V689" s="59" t="n">
        <x:f>--(AND($I689&lt;&gt;"",$J689&lt;&gt;""))</x:f>
        <x:v>0</x:v>
      </x:c>
    </x:row>
    <x:row r="690">
      <x:c r="A690" s="21" t="str">
        <x:f>INDEX(Config!$B$10:$B$16,INT((ROW()-5)/104)+1)</x:f>
        <x:v>Thyago</x:v>
      </x:c>
      <x:c r="B690" s="21" t="str">
        <x:v>GK2</x:v>
      </x:c>
      <x:c r="C690" s="21" t="n">
        <x:v>62</x:v>
      </x:c>
      <x:c r="D690" s="21" t="str">
        <x:v>Grupo K</x:v>
      </x:c>
      <x:c r="E690" s="21" t="str">
        <x:v>2026-06-17</x:v>
      </x:c>
      <x:c r="F690" s="21" t="str">
        <x:f>IFERROR(INDEX('Resultados'!$G$5:$G$108,MATCH($B690,'Resultados'!$A$5:$A$108,0)),"")</x:f>
        <x:v>Uzbequistão</x:v>
      </x:c>
      <x:c r="G690" s="21" t="str">
        <x:f>IFERROR(INDEX('Resultados'!$J$5:$J$108,MATCH($B690,'Resultados'!$A$5:$A$108,0)),"")</x:f>
        <x:v>Colômbia</x:v>
      </x:c>
      <x:c r="H690" s="21" t="str">
        <x:v>Não</x:v>
      </x:c>
      <x:c r="I690" s="22"/>
      <x:c r="J690" s="22"/>
      <x:c r="K690" s="23"/>
      <x:c r="L690" s="21" t="str">
        <x:f>IFERROR(INDEX('Resultados'!$H$5:$H$108,MATCH($B690,'Resultados'!$A$5:$A$108,0)),"")</x:f>
      </x:c>
      <x:c r="M690" s="21" t="str">
        <x:f>IFERROR(INDEX('Resultados'!$I$5:$I$108,MATCH($B690,'Resultados'!$A$5:$A$108,0)),"")</x:f>
      </x:c>
      <x:c r="N690" s="21" t="str">
        <x:f>IFERROR(INDEX('Resultados'!$L$5:$L$108,MATCH($B690,'Resultados'!$A$5:$A$108,0)),"")</x:f>
      </x:c>
      <x:c r="O690" s="59" t="str">
        <x:f>IF(OR($I690="",$J690="",$L690="",$M690=""),"",IF(AND($H690="Sim",$L690=$M690),IF($I690&lt;&gt;$J690,0,IF(AND($I690=$L690,$J690=$M690),2,1)),IF(AND($I690=$L690,$J690=$M690),3,IF(AND($I690&lt;&gt;$J690,$I690=$M690,$J690=$L690),-2,IF(SIGN($I690-$J690)=SIGN($L690-$M690),1,0)))))</x:f>
      </x:c>
      <x:c r="P690" s="59" t="str">
        <x:f>IF(OR($H690&lt;&gt;"Sim",$I690="",$J690="",$L690="",$M690=""),"",IF(AND(IF($I690&gt;$J690,$F690,IF($I690&lt;$J690,$G690,$K690))&lt;&gt;"",IF($L690&gt;$M690,$F690,IF($L690&lt;$M690,$G690,$N690))&lt;&gt;"",IF($I690&gt;$J690,$F690,IF($I690&lt;$J690,$G690,$K690))=IF($L690&gt;$M690,$F690,IF($L690&lt;$M690,$G690,$N690))),1,0))</x:f>
      </x:c>
      <x:c r="Q690" s="59" t="str">
        <x:f>IF($O690="","",$O690+$P690)</x:f>
      </x:c>
      <x:c r="R690" s="59" t="str">
        <x:f>IF($Q690="","",IF($O690=3,"Cravada",IF(AND($H690="Sim",$L690=$M690,$I690=$J690,$O690=2),"Empate cravado",IF($O690=1,"Resultado certo",IF($O690=-2,"Invertida",IF($P690=1,"Acertou quem passa","Erro"))))))</x:f>
      </x:c>
      <x:c r="S690" s="59" t="str">
        <x:f>IF($O690="","",--(OR($O690=3,AND($H690="Sim",$L690=$M690,$I690=$J690,$O690=2))))</x:f>
      </x:c>
      <x:c r="T690" s="59" t="str">
        <x:f>IF($O690="","",--($O690=-2))</x:f>
      </x:c>
      <x:c r="U690" s="59" t="str">
        <x:f>IF($O690="","",--($O690=1))</x:f>
      </x:c>
      <x:c r="V690" s="59" t="n">
        <x:f>--(AND($I690&lt;&gt;"",$J690&lt;&gt;""))</x:f>
        <x:v>0</x:v>
      </x:c>
    </x:row>
    <x:row r="691">
      <x:c r="A691" s="21" t="str">
        <x:f>INDEX(Config!$B$10:$B$16,INT((ROW()-5)/104)+1)</x:f>
        <x:v>Thyago</x:v>
      </x:c>
      <x:c r="B691" s="21" t="str">
        <x:v>GK3</x:v>
      </x:c>
      <x:c r="C691" s="21" t="n">
        <x:v>63</x:v>
      </x:c>
      <x:c r="D691" s="21" t="str">
        <x:v>Grupo K</x:v>
      </x:c>
      <x:c r="E691" s="21" t="str">
        <x:v>2026-06-23</x:v>
      </x:c>
      <x:c r="F691" s="21" t="str">
        <x:f>IFERROR(INDEX('Resultados'!$G$5:$G$108,MATCH($B691,'Resultados'!$A$5:$A$108,0)),"")</x:f>
        <x:v>Portugal</x:v>
      </x:c>
      <x:c r="G691" s="21" t="str">
        <x:f>IFERROR(INDEX('Resultados'!$J$5:$J$108,MATCH($B691,'Resultados'!$A$5:$A$108,0)),"")</x:f>
        <x:v>Uzbequistão</x:v>
      </x:c>
      <x:c r="H691" s="21" t="str">
        <x:v>Não</x:v>
      </x:c>
      <x:c r="I691" s="22"/>
      <x:c r="J691" s="22"/>
      <x:c r="K691" s="23"/>
      <x:c r="L691" s="21" t="str">
        <x:f>IFERROR(INDEX('Resultados'!$H$5:$H$108,MATCH($B691,'Resultados'!$A$5:$A$108,0)),"")</x:f>
      </x:c>
      <x:c r="M691" s="21" t="str">
        <x:f>IFERROR(INDEX('Resultados'!$I$5:$I$108,MATCH($B691,'Resultados'!$A$5:$A$108,0)),"")</x:f>
      </x:c>
      <x:c r="N691" s="21" t="str">
        <x:f>IFERROR(INDEX('Resultados'!$L$5:$L$108,MATCH($B691,'Resultados'!$A$5:$A$108,0)),"")</x:f>
      </x:c>
      <x:c r="O691" s="59" t="str">
        <x:f>IF(OR($I691="",$J691="",$L691="",$M691=""),"",IF(AND($H691="Sim",$L691=$M691),IF($I691&lt;&gt;$J691,0,IF(AND($I691=$L691,$J691=$M691),2,1)),IF(AND($I691=$L691,$J691=$M691),3,IF(AND($I691&lt;&gt;$J691,$I691=$M691,$J691=$L691),-2,IF(SIGN($I691-$J691)=SIGN($L691-$M691),1,0)))))</x:f>
      </x:c>
      <x:c r="P691" s="59" t="str">
        <x:f>IF(OR($H691&lt;&gt;"Sim",$I691="",$J691="",$L691="",$M691=""),"",IF(AND(IF($I691&gt;$J691,$F691,IF($I691&lt;$J691,$G691,$K691))&lt;&gt;"",IF($L691&gt;$M691,$F691,IF($L691&lt;$M691,$G691,$N691))&lt;&gt;"",IF($I691&gt;$J691,$F691,IF($I691&lt;$J691,$G691,$K691))=IF($L691&gt;$M691,$F691,IF($L691&lt;$M691,$G691,$N691))),1,0))</x:f>
      </x:c>
      <x:c r="Q691" s="59" t="str">
        <x:f>IF($O691="","",$O691+$P691)</x:f>
      </x:c>
      <x:c r="R691" s="59" t="str">
        <x:f>IF($Q691="","",IF($O691=3,"Cravada",IF(AND($H691="Sim",$L691=$M691,$I691=$J691,$O691=2),"Empate cravado",IF($O691=1,"Resultado certo",IF($O691=-2,"Invertida",IF($P691=1,"Acertou quem passa","Erro"))))))</x:f>
      </x:c>
      <x:c r="S691" s="59" t="str">
        <x:f>IF($O691="","",--(OR($O691=3,AND($H691="Sim",$L691=$M691,$I691=$J691,$O691=2))))</x:f>
      </x:c>
      <x:c r="T691" s="59" t="str">
        <x:f>IF($O691="","",--($O691=-2))</x:f>
      </x:c>
      <x:c r="U691" s="59" t="str">
        <x:f>IF($O691="","",--($O691=1))</x:f>
      </x:c>
      <x:c r="V691" s="59" t="n">
        <x:f>--(AND($I691&lt;&gt;"",$J691&lt;&gt;""))</x:f>
        <x:v>0</x:v>
      </x:c>
    </x:row>
    <x:row r="692">
      <x:c r="A692" s="21" t="str">
        <x:f>INDEX(Config!$B$10:$B$16,INT((ROW()-5)/104)+1)</x:f>
        <x:v>Thyago</x:v>
      </x:c>
      <x:c r="B692" s="21" t="str">
        <x:v>GK4</x:v>
      </x:c>
      <x:c r="C692" s="21" t="n">
        <x:v>64</x:v>
      </x:c>
      <x:c r="D692" s="21" t="str">
        <x:v>Grupo K</x:v>
      </x:c>
      <x:c r="E692" s="21" t="str">
        <x:v>2026-06-23</x:v>
      </x:c>
      <x:c r="F692" s="21" t="str">
        <x:f>IFERROR(INDEX('Resultados'!$G$5:$G$108,MATCH($B692,'Resultados'!$A$5:$A$108,0)),"")</x:f>
        <x:v>Rep. D. do Congo</x:v>
      </x:c>
      <x:c r="G692" s="21" t="str">
        <x:f>IFERROR(INDEX('Resultados'!$J$5:$J$108,MATCH($B692,'Resultados'!$A$5:$A$108,0)),"")</x:f>
        <x:v>Colômbia</x:v>
      </x:c>
      <x:c r="H692" s="21" t="str">
        <x:v>Não</x:v>
      </x:c>
      <x:c r="I692" s="22"/>
      <x:c r="J692" s="22"/>
      <x:c r="K692" s="23"/>
      <x:c r="L692" s="21" t="str">
        <x:f>IFERROR(INDEX('Resultados'!$H$5:$H$108,MATCH($B692,'Resultados'!$A$5:$A$108,0)),"")</x:f>
      </x:c>
      <x:c r="M692" s="21" t="str">
        <x:f>IFERROR(INDEX('Resultados'!$I$5:$I$108,MATCH($B692,'Resultados'!$A$5:$A$108,0)),"")</x:f>
      </x:c>
      <x:c r="N692" s="21" t="str">
        <x:f>IFERROR(INDEX('Resultados'!$L$5:$L$108,MATCH($B692,'Resultados'!$A$5:$A$108,0)),"")</x:f>
      </x:c>
      <x:c r="O692" s="59" t="str">
        <x:f>IF(OR($I692="",$J692="",$L692="",$M692=""),"",IF(AND($H692="Sim",$L692=$M692),IF($I692&lt;&gt;$J692,0,IF(AND($I692=$L692,$J692=$M692),2,1)),IF(AND($I692=$L692,$J692=$M692),3,IF(AND($I692&lt;&gt;$J692,$I692=$M692,$J692=$L692),-2,IF(SIGN($I692-$J692)=SIGN($L692-$M692),1,0)))))</x:f>
      </x:c>
      <x:c r="P692" s="59" t="str">
        <x:f>IF(OR($H692&lt;&gt;"Sim",$I692="",$J692="",$L692="",$M692=""),"",IF(AND(IF($I692&gt;$J692,$F692,IF($I692&lt;$J692,$G692,$K692))&lt;&gt;"",IF($L692&gt;$M692,$F692,IF($L692&lt;$M692,$G692,$N692))&lt;&gt;"",IF($I692&gt;$J692,$F692,IF($I692&lt;$J692,$G692,$K692))=IF($L692&gt;$M692,$F692,IF($L692&lt;$M692,$G692,$N692))),1,0))</x:f>
      </x:c>
      <x:c r="Q692" s="59" t="str">
        <x:f>IF($O692="","",$O692+$P692)</x:f>
      </x:c>
      <x:c r="R692" s="59" t="str">
        <x:f>IF($Q692="","",IF($O692=3,"Cravada",IF(AND($H692="Sim",$L692=$M692,$I692=$J692,$O692=2),"Empate cravado",IF($O692=1,"Resultado certo",IF($O692=-2,"Invertida",IF($P692=1,"Acertou quem passa","Erro"))))))</x:f>
      </x:c>
      <x:c r="S692" s="59" t="str">
        <x:f>IF($O692="","",--(OR($O692=3,AND($H692="Sim",$L692=$M692,$I692=$J692,$O692=2))))</x:f>
      </x:c>
      <x:c r="T692" s="59" t="str">
        <x:f>IF($O692="","",--($O692=-2))</x:f>
      </x:c>
      <x:c r="U692" s="59" t="str">
        <x:f>IF($O692="","",--($O692=1))</x:f>
      </x:c>
      <x:c r="V692" s="59" t="n">
        <x:f>--(AND($I692&lt;&gt;"",$J692&lt;&gt;""))</x:f>
        <x:v>0</x:v>
      </x:c>
    </x:row>
    <x:row r="693">
      <x:c r="A693" s="21" t="str">
        <x:f>INDEX(Config!$B$10:$B$16,INT((ROW()-5)/104)+1)</x:f>
        <x:v>Thyago</x:v>
      </x:c>
      <x:c r="B693" s="21" t="str">
        <x:v>GK5</x:v>
      </x:c>
      <x:c r="C693" s="21" t="n">
        <x:v>65</x:v>
      </x:c>
      <x:c r="D693" s="21" t="str">
        <x:v>Grupo K</x:v>
      </x:c>
      <x:c r="E693" s="21" t="str">
        <x:v>2026-06-27</x:v>
      </x:c>
      <x:c r="F693" s="21" t="str">
        <x:f>IFERROR(INDEX('Resultados'!$G$5:$G$108,MATCH($B693,'Resultados'!$A$5:$A$108,0)),"")</x:f>
        <x:v>Portugal</x:v>
      </x:c>
      <x:c r="G693" s="21" t="str">
        <x:f>IFERROR(INDEX('Resultados'!$J$5:$J$108,MATCH($B693,'Resultados'!$A$5:$A$108,0)),"")</x:f>
        <x:v>Colômbia</x:v>
      </x:c>
      <x:c r="H693" s="21" t="str">
        <x:v>Não</x:v>
      </x:c>
      <x:c r="I693" s="22"/>
      <x:c r="J693" s="22"/>
      <x:c r="K693" s="23"/>
      <x:c r="L693" s="21" t="str">
        <x:f>IFERROR(INDEX('Resultados'!$H$5:$H$108,MATCH($B693,'Resultados'!$A$5:$A$108,0)),"")</x:f>
      </x:c>
      <x:c r="M693" s="21" t="str">
        <x:f>IFERROR(INDEX('Resultados'!$I$5:$I$108,MATCH($B693,'Resultados'!$A$5:$A$108,0)),"")</x:f>
      </x:c>
      <x:c r="N693" s="21" t="str">
        <x:f>IFERROR(INDEX('Resultados'!$L$5:$L$108,MATCH($B693,'Resultados'!$A$5:$A$108,0)),"")</x:f>
      </x:c>
      <x:c r="O693" s="59" t="str">
        <x:f>IF(OR($I693="",$J693="",$L693="",$M693=""),"",IF(AND($H693="Sim",$L693=$M693),IF($I693&lt;&gt;$J693,0,IF(AND($I693=$L693,$J693=$M693),2,1)),IF(AND($I693=$L693,$J693=$M693),3,IF(AND($I693&lt;&gt;$J693,$I693=$M693,$J693=$L693),-2,IF(SIGN($I693-$J693)=SIGN($L693-$M693),1,0)))))</x:f>
      </x:c>
      <x:c r="P693" s="59" t="str">
        <x:f>IF(OR($H693&lt;&gt;"Sim",$I693="",$J693="",$L693="",$M693=""),"",IF(AND(IF($I693&gt;$J693,$F693,IF($I693&lt;$J693,$G693,$K693))&lt;&gt;"",IF($L693&gt;$M693,$F693,IF($L693&lt;$M693,$G693,$N693))&lt;&gt;"",IF($I693&gt;$J693,$F693,IF($I693&lt;$J693,$G693,$K693))=IF($L693&gt;$M693,$F693,IF($L693&lt;$M693,$G693,$N693))),1,0))</x:f>
      </x:c>
      <x:c r="Q693" s="59" t="str">
        <x:f>IF($O693="","",$O693+$P693)</x:f>
      </x:c>
      <x:c r="R693" s="59" t="str">
        <x:f>IF($Q693="","",IF($O693=3,"Cravada",IF(AND($H693="Sim",$L693=$M693,$I693=$J693,$O693=2),"Empate cravado",IF($O693=1,"Resultado certo",IF($O693=-2,"Invertida",IF($P693=1,"Acertou quem passa","Erro"))))))</x:f>
      </x:c>
      <x:c r="S693" s="59" t="str">
        <x:f>IF($O693="","",--(OR($O693=3,AND($H693="Sim",$L693=$M693,$I693=$J693,$O693=2))))</x:f>
      </x:c>
      <x:c r="T693" s="59" t="str">
        <x:f>IF($O693="","",--($O693=-2))</x:f>
      </x:c>
      <x:c r="U693" s="59" t="str">
        <x:f>IF($O693="","",--($O693=1))</x:f>
      </x:c>
      <x:c r="V693" s="59" t="n">
        <x:f>--(AND($I693&lt;&gt;"",$J693&lt;&gt;""))</x:f>
        <x:v>0</x:v>
      </x:c>
    </x:row>
    <x:row r="694">
      <x:c r="A694" s="21" t="str">
        <x:f>INDEX(Config!$B$10:$B$16,INT((ROW()-5)/104)+1)</x:f>
        <x:v>Thyago</x:v>
      </x:c>
      <x:c r="B694" s="21" t="str">
        <x:v>GK6</x:v>
      </x:c>
      <x:c r="C694" s="21" t="n">
        <x:v>66</x:v>
      </x:c>
      <x:c r="D694" s="21" t="str">
        <x:v>Grupo K</x:v>
      </x:c>
      <x:c r="E694" s="21" t="str">
        <x:v>2026-06-27</x:v>
      </x:c>
      <x:c r="F694" s="21" t="str">
        <x:f>IFERROR(INDEX('Resultados'!$G$5:$G$108,MATCH($B694,'Resultados'!$A$5:$A$108,0)),"")</x:f>
        <x:v>Rep. D. do Congo</x:v>
      </x:c>
      <x:c r="G694" s="21" t="str">
        <x:f>IFERROR(INDEX('Resultados'!$J$5:$J$108,MATCH($B694,'Resultados'!$A$5:$A$108,0)),"")</x:f>
        <x:v>Uzbequistão</x:v>
      </x:c>
      <x:c r="H694" s="21" t="str">
        <x:v>Não</x:v>
      </x:c>
      <x:c r="I694" s="22"/>
      <x:c r="J694" s="22"/>
      <x:c r="K694" s="23"/>
      <x:c r="L694" s="21" t="str">
        <x:f>IFERROR(INDEX('Resultados'!$H$5:$H$108,MATCH($B694,'Resultados'!$A$5:$A$108,0)),"")</x:f>
      </x:c>
      <x:c r="M694" s="21" t="str">
        <x:f>IFERROR(INDEX('Resultados'!$I$5:$I$108,MATCH($B694,'Resultados'!$A$5:$A$108,0)),"")</x:f>
      </x:c>
      <x:c r="N694" s="21" t="str">
        <x:f>IFERROR(INDEX('Resultados'!$L$5:$L$108,MATCH($B694,'Resultados'!$A$5:$A$108,0)),"")</x:f>
      </x:c>
      <x:c r="O694" s="59" t="str">
        <x:f>IF(OR($I694="",$J694="",$L694="",$M694=""),"",IF(AND($H694="Sim",$L694=$M694),IF($I694&lt;&gt;$J694,0,IF(AND($I694=$L694,$J694=$M694),2,1)),IF(AND($I694=$L694,$J694=$M694),3,IF(AND($I694&lt;&gt;$J694,$I694=$M694,$J694=$L694),-2,IF(SIGN($I694-$J694)=SIGN($L694-$M694),1,0)))))</x:f>
      </x:c>
      <x:c r="P694" s="59" t="str">
        <x:f>IF(OR($H694&lt;&gt;"Sim",$I694="",$J694="",$L694="",$M694=""),"",IF(AND(IF($I694&gt;$J694,$F694,IF($I694&lt;$J694,$G694,$K694))&lt;&gt;"",IF($L694&gt;$M694,$F694,IF($L694&lt;$M694,$G694,$N694))&lt;&gt;"",IF($I694&gt;$J694,$F694,IF($I694&lt;$J694,$G694,$K694))=IF($L694&gt;$M694,$F694,IF($L694&lt;$M694,$G694,$N694))),1,0))</x:f>
      </x:c>
      <x:c r="Q694" s="59" t="str">
        <x:f>IF($O694="","",$O694+$P694)</x:f>
      </x:c>
      <x:c r="R694" s="59" t="str">
        <x:f>IF($Q694="","",IF($O694=3,"Cravada",IF(AND($H694="Sim",$L694=$M694,$I694=$J694,$O694=2),"Empate cravado",IF($O694=1,"Resultado certo",IF($O694=-2,"Invertida",IF($P694=1,"Acertou quem passa","Erro"))))))</x:f>
      </x:c>
      <x:c r="S694" s="59" t="str">
        <x:f>IF($O694="","",--(OR($O694=3,AND($H694="Sim",$L694=$M694,$I694=$J694,$O694=2))))</x:f>
      </x:c>
      <x:c r="T694" s="59" t="str">
        <x:f>IF($O694="","",--($O694=-2))</x:f>
      </x:c>
      <x:c r="U694" s="59" t="str">
        <x:f>IF($O694="","",--($O694=1))</x:f>
      </x:c>
      <x:c r="V694" s="59" t="n">
        <x:f>--(AND($I694&lt;&gt;"",$J694&lt;&gt;""))</x:f>
        <x:v>0</x:v>
      </x:c>
    </x:row>
    <x:row r="695">
      <x:c r="A695" s="21" t="str">
        <x:f>INDEX(Config!$B$10:$B$16,INT((ROW()-5)/104)+1)</x:f>
        <x:v>Thyago</x:v>
      </x:c>
      <x:c r="B695" s="21" t="str">
        <x:v>GL1</x:v>
      </x:c>
      <x:c r="C695" s="21" t="n">
        <x:v>67</x:v>
      </x:c>
      <x:c r="D695" s="21" t="str">
        <x:v>Grupo L</x:v>
      </x:c>
      <x:c r="E695" s="21" t="str">
        <x:v>2026-06-17</x:v>
      </x:c>
      <x:c r="F695" s="21" t="str">
        <x:f>IFERROR(INDEX('Resultados'!$G$5:$G$108,MATCH($B695,'Resultados'!$A$5:$A$108,0)),"")</x:f>
        <x:v>Inglaterra</x:v>
      </x:c>
      <x:c r="G695" s="21" t="str">
        <x:f>IFERROR(INDEX('Resultados'!$J$5:$J$108,MATCH($B695,'Resultados'!$A$5:$A$108,0)),"")</x:f>
        <x:v>Croácia</x:v>
      </x:c>
      <x:c r="H695" s="21" t="str">
        <x:v>Não</x:v>
      </x:c>
      <x:c r="I695" s="22"/>
      <x:c r="J695" s="22"/>
      <x:c r="K695" s="23"/>
      <x:c r="L695" s="21" t="str">
        <x:f>IFERROR(INDEX('Resultados'!$H$5:$H$108,MATCH($B695,'Resultados'!$A$5:$A$108,0)),"")</x:f>
      </x:c>
      <x:c r="M695" s="21" t="str">
        <x:f>IFERROR(INDEX('Resultados'!$I$5:$I$108,MATCH($B695,'Resultados'!$A$5:$A$108,0)),"")</x:f>
      </x:c>
      <x:c r="N695" s="21" t="str">
        <x:f>IFERROR(INDEX('Resultados'!$L$5:$L$108,MATCH($B695,'Resultados'!$A$5:$A$108,0)),"")</x:f>
      </x:c>
      <x:c r="O695" s="59" t="str">
        <x:f>IF(OR($I695="",$J695="",$L695="",$M695=""),"",IF(AND($H695="Sim",$L695=$M695),IF($I695&lt;&gt;$J695,0,IF(AND($I695=$L695,$J695=$M695),2,1)),IF(AND($I695=$L695,$J695=$M695),3,IF(AND($I695&lt;&gt;$J695,$I695=$M695,$J695=$L695),-2,IF(SIGN($I695-$J695)=SIGN($L695-$M695),1,0)))))</x:f>
      </x:c>
      <x:c r="P695" s="59" t="str">
        <x:f>IF(OR($H695&lt;&gt;"Sim",$I695="",$J695="",$L695="",$M695=""),"",IF(AND(IF($I695&gt;$J695,$F695,IF($I695&lt;$J695,$G695,$K695))&lt;&gt;"",IF($L695&gt;$M695,$F695,IF($L695&lt;$M695,$G695,$N695))&lt;&gt;"",IF($I695&gt;$J695,$F695,IF($I695&lt;$J695,$G695,$K695))=IF($L695&gt;$M695,$F695,IF($L695&lt;$M695,$G695,$N695))),1,0))</x:f>
      </x:c>
      <x:c r="Q695" s="59" t="str">
        <x:f>IF($O695="","",$O695+$P695)</x:f>
      </x:c>
      <x:c r="R695" s="59" t="str">
        <x:f>IF($Q695="","",IF($O695=3,"Cravada",IF(AND($H695="Sim",$L695=$M695,$I695=$J695,$O695=2),"Empate cravado",IF($O695=1,"Resultado certo",IF($O695=-2,"Invertida",IF($P695=1,"Acertou quem passa","Erro"))))))</x:f>
      </x:c>
      <x:c r="S695" s="59" t="str">
        <x:f>IF($O695="","",--(OR($O695=3,AND($H695="Sim",$L695=$M695,$I695=$J695,$O695=2))))</x:f>
      </x:c>
      <x:c r="T695" s="59" t="str">
        <x:f>IF($O695="","",--($O695=-2))</x:f>
      </x:c>
      <x:c r="U695" s="59" t="str">
        <x:f>IF($O695="","",--($O695=1))</x:f>
      </x:c>
      <x:c r="V695" s="59" t="n">
        <x:f>--(AND($I695&lt;&gt;"",$J695&lt;&gt;""))</x:f>
        <x:v>0</x:v>
      </x:c>
    </x:row>
    <x:row r="696">
      <x:c r="A696" s="21" t="str">
        <x:f>INDEX(Config!$B$10:$B$16,INT((ROW()-5)/104)+1)</x:f>
        <x:v>Thyago</x:v>
      </x:c>
      <x:c r="B696" s="21" t="str">
        <x:v>GL2</x:v>
      </x:c>
      <x:c r="C696" s="21" t="n">
        <x:v>68</x:v>
      </x:c>
      <x:c r="D696" s="21" t="str">
        <x:v>Grupo L</x:v>
      </x:c>
      <x:c r="E696" s="21" t="str">
        <x:v>2026-06-17</x:v>
      </x:c>
      <x:c r="F696" s="21" t="str">
        <x:f>IFERROR(INDEX('Resultados'!$G$5:$G$108,MATCH($B696,'Resultados'!$A$5:$A$108,0)),"")</x:f>
        <x:v>Gana</x:v>
      </x:c>
      <x:c r="G696" s="21" t="str">
        <x:f>IFERROR(INDEX('Resultados'!$J$5:$J$108,MATCH($B696,'Resultados'!$A$5:$A$108,0)),"")</x:f>
        <x:v>Panamá</x:v>
      </x:c>
      <x:c r="H696" s="21" t="str">
        <x:v>Não</x:v>
      </x:c>
      <x:c r="I696" s="22"/>
      <x:c r="J696" s="22"/>
      <x:c r="K696" s="23"/>
      <x:c r="L696" s="21" t="str">
        <x:f>IFERROR(INDEX('Resultados'!$H$5:$H$108,MATCH($B696,'Resultados'!$A$5:$A$108,0)),"")</x:f>
      </x:c>
      <x:c r="M696" s="21" t="str">
        <x:f>IFERROR(INDEX('Resultados'!$I$5:$I$108,MATCH($B696,'Resultados'!$A$5:$A$108,0)),"")</x:f>
      </x:c>
      <x:c r="N696" s="21" t="str">
        <x:f>IFERROR(INDEX('Resultados'!$L$5:$L$108,MATCH($B696,'Resultados'!$A$5:$A$108,0)),"")</x:f>
      </x:c>
      <x:c r="O696" s="59" t="str">
        <x:f>IF(OR($I696="",$J696="",$L696="",$M696=""),"",IF(AND($H696="Sim",$L696=$M696),IF($I696&lt;&gt;$J696,0,IF(AND($I696=$L696,$J696=$M696),2,1)),IF(AND($I696=$L696,$J696=$M696),3,IF(AND($I696&lt;&gt;$J696,$I696=$M696,$J696=$L696),-2,IF(SIGN($I696-$J696)=SIGN($L696-$M696),1,0)))))</x:f>
      </x:c>
      <x:c r="P696" s="59" t="str">
        <x:f>IF(OR($H696&lt;&gt;"Sim",$I696="",$J696="",$L696="",$M696=""),"",IF(AND(IF($I696&gt;$J696,$F696,IF($I696&lt;$J696,$G696,$K696))&lt;&gt;"",IF($L696&gt;$M696,$F696,IF($L696&lt;$M696,$G696,$N696))&lt;&gt;"",IF($I696&gt;$J696,$F696,IF($I696&lt;$J696,$G696,$K696))=IF($L696&gt;$M696,$F696,IF($L696&lt;$M696,$G696,$N696))),1,0))</x:f>
      </x:c>
      <x:c r="Q696" s="59" t="str">
        <x:f>IF($O696="","",$O696+$P696)</x:f>
      </x:c>
      <x:c r="R696" s="59" t="str">
        <x:f>IF($Q696="","",IF($O696=3,"Cravada",IF(AND($H696="Sim",$L696=$M696,$I696=$J696,$O696=2),"Empate cravado",IF($O696=1,"Resultado certo",IF($O696=-2,"Invertida",IF($P696=1,"Acertou quem passa","Erro"))))))</x:f>
      </x:c>
      <x:c r="S696" s="59" t="str">
        <x:f>IF($O696="","",--(OR($O696=3,AND($H696="Sim",$L696=$M696,$I696=$J696,$O696=2))))</x:f>
      </x:c>
      <x:c r="T696" s="59" t="str">
        <x:f>IF($O696="","",--($O696=-2))</x:f>
      </x:c>
      <x:c r="U696" s="59" t="str">
        <x:f>IF($O696="","",--($O696=1))</x:f>
      </x:c>
      <x:c r="V696" s="59" t="n">
        <x:f>--(AND($I696&lt;&gt;"",$J696&lt;&gt;""))</x:f>
        <x:v>0</x:v>
      </x:c>
    </x:row>
    <x:row r="697">
      <x:c r="A697" s="21" t="str">
        <x:f>INDEX(Config!$B$10:$B$16,INT((ROW()-5)/104)+1)</x:f>
        <x:v>Thyago</x:v>
      </x:c>
      <x:c r="B697" s="21" t="str">
        <x:v>GL3</x:v>
      </x:c>
      <x:c r="C697" s="21" t="n">
        <x:v>69</x:v>
      </x:c>
      <x:c r="D697" s="21" t="str">
        <x:v>Grupo L</x:v>
      </x:c>
      <x:c r="E697" s="21" t="str">
        <x:v>2026-06-23</x:v>
      </x:c>
      <x:c r="F697" s="21" t="str">
        <x:f>IFERROR(INDEX('Resultados'!$G$5:$G$108,MATCH($B697,'Resultados'!$A$5:$A$108,0)),"")</x:f>
        <x:v>Inglaterra</x:v>
      </x:c>
      <x:c r="G697" s="21" t="str">
        <x:f>IFERROR(INDEX('Resultados'!$J$5:$J$108,MATCH($B697,'Resultados'!$A$5:$A$108,0)),"")</x:f>
        <x:v>Gana</x:v>
      </x:c>
      <x:c r="H697" s="21" t="str">
        <x:v>Não</x:v>
      </x:c>
      <x:c r="I697" s="22"/>
      <x:c r="J697" s="22"/>
      <x:c r="K697" s="23"/>
      <x:c r="L697" s="21" t="str">
        <x:f>IFERROR(INDEX('Resultados'!$H$5:$H$108,MATCH($B697,'Resultados'!$A$5:$A$108,0)),"")</x:f>
      </x:c>
      <x:c r="M697" s="21" t="str">
        <x:f>IFERROR(INDEX('Resultados'!$I$5:$I$108,MATCH($B697,'Resultados'!$A$5:$A$108,0)),"")</x:f>
      </x:c>
      <x:c r="N697" s="21" t="str">
        <x:f>IFERROR(INDEX('Resultados'!$L$5:$L$108,MATCH($B697,'Resultados'!$A$5:$A$108,0)),"")</x:f>
      </x:c>
      <x:c r="O697" s="59" t="str">
        <x:f>IF(OR($I697="",$J697="",$L697="",$M697=""),"",IF(AND($H697="Sim",$L697=$M697),IF($I697&lt;&gt;$J697,0,IF(AND($I697=$L697,$J697=$M697),2,1)),IF(AND($I697=$L697,$J697=$M697),3,IF(AND($I697&lt;&gt;$J697,$I697=$M697,$J697=$L697),-2,IF(SIGN($I697-$J697)=SIGN($L697-$M697),1,0)))))</x:f>
      </x:c>
      <x:c r="P697" s="59" t="str">
        <x:f>IF(OR($H697&lt;&gt;"Sim",$I697="",$J697="",$L697="",$M697=""),"",IF(AND(IF($I697&gt;$J697,$F697,IF($I697&lt;$J697,$G697,$K697))&lt;&gt;"",IF($L697&gt;$M697,$F697,IF($L697&lt;$M697,$G697,$N697))&lt;&gt;"",IF($I697&gt;$J697,$F697,IF($I697&lt;$J697,$G697,$K697))=IF($L697&gt;$M697,$F697,IF($L697&lt;$M697,$G697,$N697))),1,0))</x:f>
      </x:c>
      <x:c r="Q697" s="59" t="str">
        <x:f>IF($O697="","",$O697+$P697)</x:f>
      </x:c>
      <x:c r="R697" s="59" t="str">
        <x:f>IF($Q697="","",IF($O697=3,"Cravada",IF(AND($H697="Sim",$L697=$M697,$I697=$J697,$O697=2),"Empate cravado",IF($O697=1,"Resultado certo",IF($O697=-2,"Invertida",IF($P697=1,"Acertou quem passa","Erro"))))))</x:f>
      </x:c>
      <x:c r="S697" s="59" t="str">
        <x:f>IF($O697="","",--(OR($O697=3,AND($H697="Sim",$L697=$M697,$I697=$J697,$O697=2))))</x:f>
      </x:c>
      <x:c r="T697" s="59" t="str">
        <x:f>IF($O697="","",--($O697=-2))</x:f>
      </x:c>
      <x:c r="U697" s="59" t="str">
        <x:f>IF($O697="","",--($O697=1))</x:f>
      </x:c>
      <x:c r="V697" s="59" t="n">
        <x:f>--(AND($I697&lt;&gt;"",$J697&lt;&gt;""))</x:f>
        <x:v>0</x:v>
      </x:c>
    </x:row>
    <x:row r="698">
      <x:c r="A698" s="21" t="str">
        <x:f>INDEX(Config!$B$10:$B$16,INT((ROW()-5)/104)+1)</x:f>
        <x:v>Thyago</x:v>
      </x:c>
      <x:c r="B698" s="21" t="str">
        <x:v>GL4</x:v>
      </x:c>
      <x:c r="C698" s="21" t="n">
        <x:v>70</x:v>
      </x:c>
      <x:c r="D698" s="21" t="str">
        <x:v>Grupo L</x:v>
      </x:c>
      <x:c r="E698" s="21" t="str">
        <x:v>2026-06-23</x:v>
      </x:c>
      <x:c r="F698" s="21" t="str">
        <x:f>IFERROR(INDEX('Resultados'!$G$5:$G$108,MATCH($B698,'Resultados'!$A$5:$A$108,0)),"")</x:f>
        <x:v>Croácia</x:v>
      </x:c>
      <x:c r="G698" s="21" t="str">
        <x:f>IFERROR(INDEX('Resultados'!$J$5:$J$108,MATCH($B698,'Resultados'!$A$5:$A$108,0)),"")</x:f>
        <x:v>Panamá</x:v>
      </x:c>
      <x:c r="H698" s="21" t="str">
        <x:v>Não</x:v>
      </x:c>
      <x:c r="I698" s="22"/>
      <x:c r="J698" s="22"/>
      <x:c r="K698" s="23"/>
      <x:c r="L698" s="21" t="str">
        <x:f>IFERROR(INDEX('Resultados'!$H$5:$H$108,MATCH($B698,'Resultados'!$A$5:$A$108,0)),"")</x:f>
      </x:c>
      <x:c r="M698" s="21" t="str">
        <x:f>IFERROR(INDEX('Resultados'!$I$5:$I$108,MATCH($B698,'Resultados'!$A$5:$A$108,0)),"")</x:f>
      </x:c>
      <x:c r="N698" s="21" t="str">
        <x:f>IFERROR(INDEX('Resultados'!$L$5:$L$108,MATCH($B698,'Resultados'!$A$5:$A$108,0)),"")</x:f>
      </x:c>
      <x:c r="O698" s="59" t="str">
        <x:f>IF(OR($I698="",$J698="",$L698="",$M698=""),"",IF(AND($H698="Sim",$L698=$M698),IF($I698&lt;&gt;$J698,0,IF(AND($I698=$L698,$J698=$M698),2,1)),IF(AND($I698=$L698,$J698=$M698),3,IF(AND($I698&lt;&gt;$J698,$I698=$M698,$J698=$L698),-2,IF(SIGN($I698-$J698)=SIGN($L698-$M698),1,0)))))</x:f>
      </x:c>
      <x:c r="P698" s="59" t="str">
        <x:f>IF(OR($H698&lt;&gt;"Sim",$I698="",$J698="",$L698="",$M698=""),"",IF(AND(IF($I698&gt;$J698,$F698,IF($I698&lt;$J698,$G698,$K698))&lt;&gt;"",IF($L698&gt;$M698,$F698,IF($L698&lt;$M698,$G698,$N698))&lt;&gt;"",IF($I698&gt;$J698,$F698,IF($I698&lt;$J698,$G698,$K698))=IF($L698&gt;$M698,$F698,IF($L698&lt;$M698,$G698,$N698))),1,0))</x:f>
      </x:c>
      <x:c r="Q698" s="59" t="str">
        <x:f>IF($O698="","",$O698+$P698)</x:f>
      </x:c>
      <x:c r="R698" s="59" t="str">
        <x:f>IF($Q698="","",IF($O698=3,"Cravada",IF(AND($H698="Sim",$L698=$M698,$I698=$J698,$O698=2),"Empate cravado",IF($O698=1,"Resultado certo",IF($O698=-2,"Invertida",IF($P698=1,"Acertou quem passa","Erro"))))))</x:f>
      </x:c>
      <x:c r="S698" s="59" t="str">
        <x:f>IF($O698="","",--(OR($O698=3,AND($H698="Sim",$L698=$M698,$I698=$J698,$O698=2))))</x:f>
      </x:c>
      <x:c r="T698" s="59" t="str">
        <x:f>IF($O698="","",--($O698=-2))</x:f>
      </x:c>
      <x:c r="U698" s="59" t="str">
        <x:f>IF($O698="","",--($O698=1))</x:f>
      </x:c>
      <x:c r="V698" s="59" t="n">
        <x:f>--(AND($I698&lt;&gt;"",$J698&lt;&gt;""))</x:f>
        <x:v>0</x:v>
      </x:c>
    </x:row>
    <x:row r="699">
      <x:c r="A699" s="21" t="str">
        <x:f>INDEX(Config!$B$10:$B$16,INT((ROW()-5)/104)+1)</x:f>
        <x:v>Thyago</x:v>
      </x:c>
      <x:c r="B699" s="21" t="str">
        <x:v>GL5</x:v>
      </x:c>
      <x:c r="C699" s="21" t="n">
        <x:v>71</x:v>
      </x:c>
      <x:c r="D699" s="21" t="str">
        <x:v>Grupo L</x:v>
      </x:c>
      <x:c r="E699" s="21" t="str">
        <x:v>2026-06-27</x:v>
      </x:c>
      <x:c r="F699" s="21" t="str">
        <x:f>IFERROR(INDEX('Resultados'!$G$5:$G$108,MATCH($B699,'Resultados'!$A$5:$A$108,0)),"")</x:f>
        <x:v>Inglaterra</x:v>
      </x:c>
      <x:c r="G699" s="21" t="str">
        <x:f>IFERROR(INDEX('Resultados'!$J$5:$J$108,MATCH($B699,'Resultados'!$A$5:$A$108,0)),"")</x:f>
        <x:v>Panamá</x:v>
      </x:c>
      <x:c r="H699" s="21" t="str">
        <x:v>Não</x:v>
      </x:c>
      <x:c r="I699" s="22"/>
      <x:c r="J699" s="22"/>
      <x:c r="K699" s="23"/>
      <x:c r="L699" s="21" t="str">
        <x:f>IFERROR(INDEX('Resultados'!$H$5:$H$108,MATCH($B699,'Resultados'!$A$5:$A$108,0)),"")</x:f>
      </x:c>
      <x:c r="M699" s="21" t="str">
        <x:f>IFERROR(INDEX('Resultados'!$I$5:$I$108,MATCH($B699,'Resultados'!$A$5:$A$108,0)),"")</x:f>
      </x:c>
      <x:c r="N699" s="21" t="str">
        <x:f>IFERROR(INDEX('Resultados'!$L$5:$L$108,MATCH($B699,'Resultados'!$A$5:$A$108,0)),"")</x:f>
      </x:c>
      <x:c r="O699" s="59" t="str">
        <x:f>IF(OR($I699="",$J699="",$L699="",$M699=""),"",IF(AND($H699="Sim",$L699=$M699),IF($I699&lt;&gt;$J699,0,IF(AND($I699=$L699,$J699=$M699),2,1)),IF(AND($I699=$L699,$J699=$M699),3,IF(AND($I699&lt;&gt;$J699,$I699=$M699,$J699=$L699),-2,IF(SIGN($I699-$J699)=SIGN($L699-$M699),1,0)))))</x:f>
      </x:c>
      <x:c r="P699" s="59" t="str">
        <x:f>IF(OR($H699&lt;&gt;"Sim",$I699="",$J699="",$L699="",$M699=""),"",IF(AND(IF($I699&gt;$J699,$F699,IF($I699&lt;$J699,$G699,$K699))&lt;&gt;"",IF($L699&gt;$M699,$F699,IF($L699&lt;$M699,$G699,$N699))&lt;&gt;"",IF($I699&gt;$J699,$F699,IF($I699&lt;$J699,$G699,$K699))=IF($L699&gt;$M699,$F699,IF($L699&lt;$M699,$G699,$N699))),1,0))</x:f>
      </x:c>
      <x:c r="Q699" s="59" t="str">
        <x:f>IF($O699="","",$O699+$P699)</x:f>
      </x:c>
      <x:c r="R699" s="59" t="str">
        <x:f>IF($Q699="","",IF($O699=3,"Cravada",IF(AND($H699="Sim",$L699=$M699,$I699=$J699,$O699=2),"Empate cravado",IF($O699=1,"Resultado certo",IF($O699=-2,"Invertida",IF($P699=1,"Acertou quem passa","Erro"))))))</x:f>
      </x:c>
      <x:c r="S699" s="59" t="str">
        <x:f>IF($O699="","",--(OR($O699=3,AND($H699="Sim",$L699=$M699,$I699=$J699,$O699=2))))</x:f>
      </x:c>
      <x:c r="T699" s="59" t="str">
        <x:f>IF($O699="","",--($O699=-2))</x:f>
      </x:c>
      <x:c r="U699" s="59" t="str">
        <x:f>IF($O699="","",--($O699=1))</x:f>
      </x:c>
      <x:c r="V699" s="59" t="n">
        <x:f>--(AND($I699&lt;&gt;"",$J699&lt;&gt;""))</x:f>
        <x:v>0</x:v>
      </x:c>
    </x:row>
    <x:row r="700">
      <x:c r="A700" s="21" t="str">
        <x:f>INDEX(Config!$B$10:$B$16,INT((ROW()-5)/104)+1)</x:f>
        <x:v>Thyago</x:v>
      </x:c>
      <x:c r="B700" s="21" t="str">
        <x:v>GL6</x:v>
      </x:c>
      <x:c r="C700" s="21" t="n">
        <x:v>72</x:v>
      </x:c>
      <x:c r="D700" s="21" t="str">
        <x:v>Grupo L</x:v>
      </x:c>
      <x:c r="E700" s="21" t="str">
        <x:v>2026-06-27</x:v>
      </x:c>
      <x:c r="F700" s="21" t="str">
        <x:f>IFERROR(INDEX('Resultados'!$G$5:$G$108,MATCH($B700,'Resultados'!$A$5:$A$108,0)),"")</x:f>
        <x:v>Croácia</x:v>
      </x:c>
      <x:c r="G700" s="21" t="str">
        <x:f>IFERROR(INDEX('Resultados'!$J$5:$J$108,MATCH($B700,'Resultados'!$A$5:$A$108,0)),"")</x:f>
        <x:v>Gana</x:v>
      </x:c>
      <x:c r="H700" s="21" t="str">
        <x:v>Não</x:v>
      </x:c>
      <x:c r="I700" s="22"/>
      <x:c r="J700" s="22"/>
      <x:c r="K700" s="23"/>
      <x:c r="L700" s="21" t="str">
        <x:f>IFERROR(INDEX('Resultados'!$H$5:$H$108,MATCH($B700,'Resultados'!$A$5:$A$108,0)),"")</x:f>
      </x:c>
      <x:c r="M700" s="21" t="str">
        <x:f>IFERROR(INDEX('Resultados'!$I$5:$I$108,MATCH($B700,'Resultados'!$A$5:$A$108,0)),"")</x:f>
      </x:c>
      <x:c r="N700" s="21" t="str">
        <x:f>IFERROR(INDEX('Resultados'!$L$5:$L$108,MATCH($B700,'Resultados'!$A$5:$A$108,0)),"")</x:f>
      </x:c>
      <x:c r="O700" s="59" t="str">
        <x:f>IF(OR($I700="",$J700="",$L700="",$M700=""),"",IF(AND($H700="Sim",$L700=$M700),IF($I700&lt;&gt;$J700,0,IF(AND($I700=$L700,$J700=$M700),2,1)),IF(AND($I700=$L700,$J700=$M700),3,IF(AND($I700&lt;&gt;$J700,$I700=$M700,$J700=$L700),-2,IF(SIGN($I700-$J700)=SIGN($L700-$M700),1,0)))))</x:f>
      </x:c>
      <x:c r="P700" s="59" t="str">
        <x:f>IF(OR($H700&lt;&gt;"Sim",$I700="",$J700="",$L700="",$M700=""),"",IF(AND(IF($I700&gt;$J700,$F700,IF($I700&lt;$J700,$G700,$K700))&lt;&gt;"",IF($L700&gt;$M700,$F700,IF($L700&lt;$M700,$G700,$N700))&lt;&gt;"",IF($I700&gt;$J700,$F700,IF($I700&lt;$J700,$G700,$K700))=IF($L700&gt;$M700,$F700,IF($L700&lt;$M700,$G700,$N700))),1,0))</x:f>
      </x:c>
      <x:c r="Q700" s="59" t="str">
        <x:f>IF($O700="","",$O700+$P700)</x:f>
      </x:c>
      <x:c r="R700" s="59" t="str">
        <x:f>IF($Q700="","",IF($O700=3,"Cravada",IF(AND($H700="Sim",$L700=$M700,$I700=$J700,$O700=2),"Empate cravado",IF($O700=1,"Resultado certo",IF($O700=-2,"Invertida",IF($P700=1,"Acertou quem passa","Erro"))))))</x:f>
      </x:c>
      <x:c r="S700" s="59" t="str">
        <x:f>IF($O700="","",--(OR($O700=3,AND($H700="Sim",$L700=$M700,$I700=$J700,$O700=2))))</x:f>
      </x:c>
      <x:c r="T700" s="59" t="str">
        <x:f>IF($O700="","",--($O700=-2))</x:f>
      </x:c>
      <x:c r="U700" s="59" t="str">
        <x:f>IF($O700="","",--($O700=1))</x:f>
      </x:c>
      <x:c r="V700" s="59" t="n">
        <x:f>--(AND($I700&lt;&gt;"",$J700&lt;&gt;""))</x:f>
        <x:v>0</x:v>
      </x:c>
    </x:row>
    <x:row r="701">
      <x:c r="A701" s="21" t="str">
        <x:f>INDEX(Config!$B$10:$B$16,INT((ROW()-5)/104)+1)</x:f>
        <x:v>Thyago</x:v>
      </x:c>
      <x:c r="B701" s="21" t="str">
        <x:v>R32_01</x:v>
      </x:c>
      <x:c r="C701" s="21" t="n">
        <x:v>73</x:v>
      </x:c>
      <x:c r="D701" s="21" t="str">
        <x:v>16-avos de final</x:v>
      </x:c>
      <x:c r="E701" s="21" t="str">
        <x:v>2026-06-28</x:v>
      </x:c>
      <x:c r="F701" s="21" t="str">
        <x:f>IFERROR(INDEX('Resultados'!$G$5:$G$108,MATCH($B701,'Resultados'!$A$5:$A$108,0)),"")</x:f>
        <x:v>2º Grupo A</x:v>
      </x:c>
      <x:c r="G701" s="21" t="str">
        <x:f>IFERROR(INDEX('Resultados'!$J$5:$J$108,MATCH($B701,'Resultados'!$A$5:$A$108,0)),"")</x:f>
        <x:v>2º Grupo B</x:v>
      </x:c>
      <x:c r="H701" s="21" t="str">
        <x:v>Sim</x:v>
      </x:c>
      <x:c r="I701" s="22"/>
      <x:c r="J701" s="22"/>
      <x:c r="K701" s="23"/>
      <x:c r="L701" s="21" t="str">
        <x:f>IFERROR(INDEX('Resultados'!$H$5:$H$108,MATCH($B701,'Resultados'!$A$5:$A$108,0)),"")</x:f>
      </x:c>
      <x:c r="M701" s="21" t="str">
        <x:f>IFERROR(INDEX('Resultados'!$I$5:$I$108,MATCH($B701,'Resultados'!$A$5:$A$108,0)),"")</x:f>
      </x:c>
      <x:c r="N701" s="21" t="str">
        <x:f>IFERROR(INDEX('Resultados'!$L$5:$L$108,MATCH($B701,'Resultados'!$A$5:$A$108,0)),"")</x:f>
      </x:c>
      <x:c r="O701" s="59" t="str">
        <x:f>IF(OR($I701="",$J701="",$L701="",$M701=""),"",IF(AND($H701="Sim",$L701=$M701),IF($I701&lt;&gt;$J701,0,IF(AND($I701=$L701,$J701=$M701),2,1)),IF(AND($I701=$L701,$J701=$M701),3,IF(AND($I701&lt;&gt;$J701,$I701=$M701,$J701=$L701),-2,IF(SIGN($I701-$J701)=SIGN($L701-$M701),1,0)))))</x:f>
      </x:c>
      <x:c r="P701" s="59" t="str">
        <x:f>IF(OR($H701&lt;&gt;"Sim",$I701="",$J701="",$L701="",$M701=""),"",IF(AND(IF($I701&gt;$J701,$F701,IF($I701&lt;$J701,$G701,$K701))&lt;&gt;"",IF($L701&gt;$M701,$F701,IF($L701&lt;$M701,$G701,$N701))&lt;&gt;"",IF($I701&gt;$J701,$F701,IF($I701&lt;$J701,$G701,$K701))=IF($L701&gt;$M701,$F701,IF($L701&lt;$M701,$G701,$N701))),1,0))</x:f>
      </x:c>
      <x:c r="Q701" s="59" t="str">
        <x:f>IF($O701="","",$O701+$P701)</x:f>
      </x:c>
      <x:c r="R701" s="59" t="str">
        <x:f>IF($Q701="","",IF($O701=3,"Cravada",IF(AND($H701="Sim",$L701=$M701,$I701=$J701,$O701=2),"Empate cravado",IF($O701=1,"Resultado certo",IF($O701=-2,"Invertida",IF($P701=1,"Acertou quem passa","Erro"))))))</x:f>
      </x:c>
      <x:c r="S701" s="59" t="str">
        <x:f>IF($O701="","",--(OR($O701=3,AND($H701="Sim",$L701=$M701,$I701=$J701,$O701=2))))</x:f>
      </x:c>
      <x:c r="T701" s="59" t="str">
        <x:f>IF($O701="","",--($O701=-2))</x:f>
      </x:c>
      <x:c r="U701" s="59" t="str">
        <x:f>IF($O701="","",--($O701=1))</x:f>
      </x:c>
      <x:c r="V701" s="59" t="n">
        <x:f>--(AND($I701&lt;&gt;"",$J701&lt;&gt;""))</x:f>
        <x:v>0</x:v>
      </x:c>
    </x:row>
    <x:row r="702">
      <x:c r="A702" s="21" t="str">
        <x:f>INDEX(Config!$B$10:$B$16,INT((ROW()-5)/104)+1)</x:f>
        <x:v>Thyago</x:v>
      </x:c>
      <x:c r="B702" s="21" t="str">
        <x:v>R32_02</x:v>
      </x:c>
      <x:c r="C702" s="21" t="n">
        <x:v>74</x:v>
      </x:c>
      <x:c r="D702" s="21" t="str">
        <x:v>16-avos de final</x:v>
      </x:c>
      <x:c r="E702" s="21" t="str">
        <x:v>2026-06-29</x:v>
      </x:c>
      <x:c r="F702" s="21" t="str">
        <x:f>IFERROR(INDEX('Resultados'!$G$5:$G$108,MATCH($B702,'Resultados'!$A$5:$A$108,0)),"")</x:f>
        <x:v>1º Grupo E</x:v>
      </x:c>
      <x:c r="G702" s="21" t="str">
        <x:f>IFERROR(INDEX('Resultados'!$J$5:$J$108,MATCH($B702,'Resultados'!$A$5:$A$108,0)),"")</x:f>
        <x:v>3º A/B/C/D/F</x:v>
      </x:c>
      <x:c r="H702" s="21" t="str">
        <x:v>Sim</x:v>
      </x:c>
      <x:c r="I702" s="22"/>
      <x:c r="J702" s="22"/>
      <x:c r="K702" s="23"/>
      <x:c r="L702" s="21" t="str">
        <x:f>IFERROR(INDEX('Resultados'!$H$5:$H$108,MATCH($B702,'Resultados'!$A$5:$A$108,0)),"")</x:f>
      </x:c>
      <x:c r="M702" s="21" t="str">
        <x:f>IFERROR(INDEX('Resultados'!$I$5:$I$108,MATCH($B702,'Resultados'!$A$5:$A$108,0)),"")</x:f>
      </x:c>
      <x:c r="N702" s="21" t="str">
        <x:f>IFERROR(INDEX('Resultados'!$L$5:$L$108,MATCH($B702,'Resultados'!$A$5:$A$108,0)),"")</x:f>
      </x:c>
      <x:c r="O702" s="59" t="str">
        <x:f>IF(OR($I702="",$J702="",$L702="",$M702=""),"",IF(AND($H702="Sim",$L702=$M702),IF($I702&lt;&gt;$J702,0,IF(AND($I702=$L702,$J702=$M702),2,1)),IF(AND($I702=$L702,$J702=$M702),3,IF(AND($I702&lt;&gt;$J702,$I702=$M702,$J702=$L702),-2,IF(SIGN($I702-$J702)=SIGN($L702-$M702),1,0)))))</x:f>
      </x:c>
      <x:c r="P702" s="59" t="str">
        <x:f>IF(OR($H702&lt;&gt;"Sim",$I702="",$J702="",$L702="",$M702=""),"",IF(AND(IF($I702&gt;$J702,$F702,IF($I702&lt;$J702,$G702,$K702))&lt;&gt;"",IF($L702&gt;$M702,$F702,IF($L702&lt;$M702,$G702,$N702))&lt;&gt;"",IF($I702&gt;$J702,$F702,IF($I702&lt;$J702,$G702,$K702))=IF($L702&gt;$M702,$F702,IF($L702&lt;$M702,$G702,$N702))),1,0))</x:f>
      </x:c>
      <x:c r="Q702" s="59" t="str">
        <x:f>IF($O702="","",$O702+$P702)</x:f>
      </x:c>
      <x:c r="R702" s="59" t="str">
        <x:f>IF($Q702="","",IF($O702=3,"Cravada",IF(AND($H702="Sim",$L702=$M702,$I702=$J702,$O702=2),"Empate cravado",IF($O702=1,"Resultado certo",IF($O702=-2,"Invertida",IF($P702=1,"Acertou quem passa","Erro"))))))</x:f>
      </x:c>
      <x:c r="S702" s="59" t="str">
        <x:f>IF($O702="","",--(OR($O702=3,AND($H702="Sim",$L702=$M702,$I702=$J702,$O702=2))))</x:f>
      </x:c>
      <x:c r="T702" s="59" t="str">
        <x:f>IF($O702="","",--($O702=-2))</x:f>
      </x:c>
      <x:c r="U702" s="59" t="str">
        <x:f>IF($O702="","",--($O702=1))</x:f>
      </x:c>
      <x:c r="V702" s="59" t="n">
        <x:f>--(AND($I702&lt;&gt;"",$J702&lt;&gt;""))</x:f>
        <x:v>0</x:v>
      </x:c>
    </x:row>
    <x:row r="703">
      <x:c r="A703" s="21" t="str">
        <x:f>INDEX(Config!$B$10:$B$16,INT((ROW()-5)/104)+1)</x:f>
        <x:v>Thyago</x:v>
      </x:c>
      <x:c r="B703" s="21" t="str">
        <x:v>R32_03</x:v>
      </x:c>
      <x:c r="C703" s="21" t="n">
        <x:v>75</x:v>
      </x:c>
      <x:c r="D703" s="21" t="str">
        <x:v>16-avos de final</x:v>
      </x:c>
      <x:c r="E703" s="21" t="str">
        <x:v>2026-06-29</x:v>
      </x:c>
      <x:c r="F703" s="21" t="str">
        <x:f>IFERROR(INDEX('Resultados'!$G$5:$G$108,MATCH($B703,'Resultados'!$A$5:$A$108,0)),"")</x:f>
        <x:v>1º Grupo F</x:v>
      </x:c>
      <x:c r="G703" s="21" t="str">
        <x:f>IFERROR(INDEX('Resultados'!$J$5:$J$108,MATCH($B703,'Resultados'!$A$5:$A$108,0)),"")</x:f>
        <x:v>2º Grupo C</x:v>
      </x:c>
      <x:c r="H703" s="21" t="str">
        <x:v>Sim</x:v>
      </x:c>
      <x:c r="I703" s="22"/>
      <x:c r="J703" s="22"/>
      <x:c r="K703" s="23"/>
      <x:c r="L703" s="21" t="str">
        <x:f>IFERROR(INDEX('Resultados'!$H$5:$H$108,MATCH($B703,'Resultados'!$A$5:$A$108,0)),"")</x:f>
      </x:c>
      <x:c r="M703" s="21" t="str">
        <x:f>IFERROR(INDEX('Resultados'!$I$5:$I$108,MATCH($B703,'Resultados'!$A$5:$A$108,0)),"")</x:f>
      </x:c>
      <x:c r="N703" s="21" t="str">
        <x:f>IFERROR(INDEX('Resultados'!$L$5:$L$108,MATCH($B703,'Resultados'!$A$5:$A$108,0)),"")</x:f>
      </x:c>
      <x:c r="O703" s="59" t="str">
        <x:f>IF(OR($I703="",$J703="",$L703="",$M703=""),"",IF(AND($H703="Sim",$L703=$M703),IF($I703&lt;&gt;$J703,0,IF(AND($I703=$L703,$J703=$M703),2,1)),IF(AND($I703=$L703,$J703=$M703),3,IF(AND($I703&lt;&gt;$J703,$I703=$M703,$J703=$L703),-2,IF(SIGN($I703-$J703)=SIGN($L703-$M703),1,0)))))</x:f>
      </x:c>
      <x:c r="P703" s="59" t="str">
        <x:f>IF(OR($H703&lt;&gt;"Sim",$I703="",$J703="",$L703="",$M703=""),"",IF(AND(IF($I703&gt;$J703,$F703,IF($I703&lt;$J703,$G703,$K703))&lt;&gt;"",IF($L703&gt;$M703,$F703,IF($L703&lt;$M703,$G703,$N703))&lt;&gt;"",IF($I703&gt;$J703,$F703,IF($I703&lt;$J703,$G703,$K703))=IF($L703&gt;$M703,$F703,IF($L703&lt;$M703,$G703,$N703))),1,0))</x:f>
      </x:c>
      <x:c r="Q703" s="59" t="str">
        <x:f>IF($O703="","",$O703+$P703)</x:f>
      </x:c>
      <x:c r="R703" s="59" t="str">
        <x:f>IF($Q703="","",IF($O703=3,"Cravada",IF(AND($H703="Sim",$L703=$M703,$I703=$J703,$O703=2),"Empate cravado",IF($O703=1,"Resultado certo",IF($O703=-2,"Invertida",IF($P703=1,"Acertou quem passa","Erro"))))))</x:f>
      </x:c>
      <x:c r="S703" s="59" t="str">
        <x:f>IF($O703="","",--(OR($O703=3,AND($H703="Sim",$L703=$M703,$I703=$J703,$O703=2))))</x:f>
      </x:c>
      <x:c r="T703" s="59" t="str">
        <x:f>IF($O703="","",--($O703=-2))</x:f>
      </x:c>
      <x:c r="U703" s="59" t="str">
        <x:f>IF($O703="","",--($O703=1))</x:f>
      </x:c>
      <x:c r="V703" s="59" t="n">
        <x:f>--(AND($I703&lt;&gt;"",$J703&lt;&gt;""))</x:f>
        <x:v>0</x:v>
      </x:c>
    </x:row>
    <x:row r="704">
      <x:c r="A704" s="21" t="str">
        <x:f>INDEX(Config!$B$10:$B$16,INT((ROW()-5)/104)+1)</x:f>
        <x:v>Thyago</x:v>
      </x:c>
      <x:c r="B704" s="21" t="str">
        <x:v>R32_04</x:v>
      </x:c>
      <x:c r="C704" s="21" t="n">
        <x:v>76</x:v>
      </x:c>
      <x:c r="D704" s="21" t="str">
        <x:v>16-avos de final</x:v>
      </x:c>
      <x:c r="E704" s="21" t="str">
        <x:v>2026-06-29</x:v>
      </x:c>
      <x:c r="F704" s="21" t="str">
        <x:f>IFERROR(INDEX('Resultados'!$G$5:$G$108,MATCH($B704,'Resultados'!$A$5:$A$108,0)),"")</x:f>
        <x:v>1º Grupo C</x:v>
      </x:c>
      <x:c r="G704" s="21" t="str">
        <x:f>IFERROR(INDEX('Resultados'!$J$5:$J$108,MATCH($B704,'Resultados'!$A$5:$A$108,0)),"")</x:f>
        <x:v>2º Grupo F</x:v>
      </x:c>
      <x:c r="H704" s="21" t="str">
        <x:v>Sim</x:v>
      </x:c>
      <x:c r="I704" s="22"/>
      <x:c r="J704" s="22"/>
      <x:c r="K704" s="23"/>
      <x:c r="L704" s="21" t="str">
        <x:f>IFERROR(INDEX('Resultados'!$H$5:$H$108,MATCH($B704,'Resultados'!$A$5:$A$108,0)),"")</x:f>
      </x:c>
      <x:c r="M704" s="21" t="str">
        <x:f>IFERROR(INDEX('Resultados'!$I$5:$I$108,MATCH($B704,'Resultados'!$A$5:$A$108,0)),"")</x:f>
      </x:c>
      <x:c r="N704" s="21" t="str">
        <x:f>IFERROR(INDEX('Resultados'!$L$5:$L$108,MATCH($B704,'Resultados'!$A$5:$A$108,0)),"")</x:f>
      </x:c>
      <x:c r="O704" s="59" t="str">
        <x:f>IF(OR($I704="",$J704="",$L704="",$M704=""),"",IF(AND($H704="Sim",$L704=$M704),IF($I704&lt;&gt;$J704,0,IF(AND($I704=$L704,$J704=$M704),2,1)),IF(AND($I704=$L704,$J704=$M704),3,IF(AND($I704&lt;&gt;$J704,$I704=$M704,$J704=$L704),-2,IF(SIGN($I704-$J704)=SIGN($L704-$M704),1,0)))))</x:f>
      </x:c>
      <x:c r="P704" s="59" t="str">
        <x:f>IF(OR($H704&lt;&gt;"Sim",$I704="",$J704="",$L704="",$M704=""),"",IF(AND(IF($I704&gt;$J704,$F704,IF($I704&lt;$J704,$G704,$K704))&lt;&gt;"",IF($L704&gt;$M704,$F704,IF($L704&lt;$M704,$G704,$N704))&lt;&gt;"",IF($I704&gt;$J704,$F704,IF($I704&lt;$J704,$G704,$K704))=IF($L704&gt;$M704,$F704,IF($L704&lt;$M704,$G704,$N704))),1,0))</x:f>
      </x:c>
      <x:c r="Q704" s="59" t="str">
        <x:f>IF($O704="","",$O704+$P704)</x:f>
      </x:c>
      <x:c r="R704" s="59" t="str">
        <x:f>IF($Q704="","",IF($O704=3,"Cravada",IF(AND($H704="Sim",$L704=$M704,$I704=$J704,$O704=2),"Empate cravado",IF($O704=1,"Resultado certo",IF($O704=-2,"Invertida",IF($P704=1,"Acertou quem passa","Erro"))))))</x:f>
      </x:c>
      <x:c r="S704" s="59" t="str">
        <x:f>IF($O704="","",--(OR($O704=3,AND($H704="Sim",$L704=$M704,$I704=$J704,$O704=2))))</x:f>
      </x:c>
      <x:c r="T704" s="59" t="str">
        <x:f>IF($O704="","",--($O704=-2))</x:f>
      </x:c>
      <x:c r="U704" s="59" t="str">
        <x:f>IF($O704="","",--($O704=1))</x:f>
      </x:c>
      <x:c r="V704" s="59" t="n">
        <x:f>--(AND($I704&lt;&gt;"",$J704&lt;&gt;""))</x:f>
        <x:v>0</x:v>
      </x:c>
    </x:row>
    <x:row r="705">
      <x:c r="A705" s="21" t="str">
        <x:f>INDEX(Config!$B$10:$B$16,INT((ROW()-5)/104)+1)</x:f>
        <x:v>Thyago</x:v>
      </x:c>
      <x:c r="B705" s="21" t="str">
        <x:v>R32_05</x:v>
      </x:c>
      <x:c r="C705" s="21" t="n">
        <x:v>77</x:v>
      </x:c>
      <x:c r="D705" s="21" t="str">
        <x:v>16-avos de final</x:v>
      </x:c>
      <x:c r="E705" s="21" t="str">
        <x:v>2026-06-30</x:v>
      </x:c>
      <x:c r="F705" s="21" t="str">
        <x:f>IFERROR(INDEX('Resultados'!$G$5:$G$108,MATCH($B705,'Resultados'!$A$5:$A$108,0)),"")</x:f>
        <x:v>1º Grupo I</x:v>
      </x:c>
      <x:c r="G705" s="21" t="str">
        <x:f>IFERROR(INDEX('Resultados'!$J$5:$J$108,MATCH($B705,'Resultados'!$A$5:$A$108,0)),"")</x:f>
        <x:v>3º C/D/F/G/H</x:v>
      </x:c>
      <x:c r="H705" s="21" t="str">
        <x:v>Sim</x:v>
      </x:c>
      <x:c r="I705" s="22"/>
      <x:c r="J705" s="22"/>
      <x:c r="K705" s="23"/>
      <x:c r="L705" s="21" t="str">
        <x:f>IFERROR(INDEX('Resultados'!$H$5:$H$108,MATCH($B705,'Resultados'!$A$5:$A$108,0)),"")</x:f>
      </x:c>
      <x:c r="M705" s="21" t="str">
        <x:f>IFERROR(INDEX('Resultados'!$I$5:$I$108,MATCH($B705,'Resultados'!$A$5:$A$108,0)),"")</x:f>
      </x:c>
      <x:c r="N705" s="21" t="str">
        <x:f>IFERROR(INDEX('Resultados'!$L$5:$L$108,MATCH($B705,'Resultados'!$A$5:$A$108,0)),"")</x:f>
      </x:c>
      <x:c r="O705" s="59" t="str">
        <x:f>IF(OR($I705="",$J705="",$L705="",$M705=""),"",IF(AND($H705="Sim",$L705=$M705),IF($I705&lt;&gt;$J705,0,IF(AND($I705=$L705,$J705=$M705),2,1)),IF(AND($I705=$L705,$J705=$M705),3,IF(AND($I705&lt;&gt;$J705,$I705=$M705,$J705=$L705),-2,IF(SIGN($I705-$J705)=SIGN($L705-$M705),1,0)))))</x:f>
      </x:c>
      <x:c r="P705" s="59" t="str">
        <x:f>IF(OR($H705&lt;&gt;"Sim",$I705="",$J705="",$L705="",$M705=""),"",IF(AND(IF($I705&gt;$J705,$F705,IF($I705&lt;$J705,$G705,$K705))&lt;&gt;"",IF($L705&gt;$M705,$F705,IF($L705&lt;$M705,$G705,$N705))&lt;&gt;"",IF($I705&gt;$J705,$F705,IF($I705&lt;$J705,$G705,$K705))=IF($L705&gt;$M705,$F705,IF($L705&lt;$M705,$G705,$N705))),1,0))</x:f>
      </x:c>
      <x:c r="Q705" s="59" t="str">
        <x:f>IF($O705="","",$O705+$P705)</x:f>
      </x:c>
      <x:c r="R705" s="59" t="str">
        <x:f>IF($Q705="","",IF($O705=3,"Cravada",IF(AND($H705="Sim",$L705=$M705,$I705=$J705,$O705=2),"Empate cravado",IF($O705=1,"Resultado certo",IF($O705=-2,"Invertida",IF($P705=1,"Acertou quem passa","Erro"))))))</x:f>
      </x:c>
      <x:c r="S705" s="59" t="str">
        <x:f>IF($O705="","",--(OR($O705=3,AND($H705="Sim",$L705=$M705,$I705=$J705,$O705=2))))</x:f>
      </x:c>
      <x:c r="T705" s="59" t="str">
        <x:f>IF($O705="","",--($O705=-2))</x:f>
      </x:c>
      <x:c r="U705" s="59" t="str">
        <x:f>IF($O705="","",--($O705=1))</x:f>
      </x:c>
      <x:c r="V705" s="59" t="n">
        <x:f>--(AND($I705&lt;&gt;"",$J705&lt;&gt;""))</x:f>
        <x:v>0</x:v>
      </x:c>
    </x:row>
    <x:row r="706">
      <x:c r="A706" s="21" t="str">
        <x:f>INDEX(Config!$B$10:$B$16,INT((ROW()-5)/104)+1)</x:f>
        <x:v>Thyago</x:v>
      </x:c>
      <x:c r="B706" s="21" t="str">
        <x:v>R32_06</x:v>
      </x:c>
      <x:c r="C706" s="21" t="n">
        <x:v>78</x:v>
      </x:c>
      <x:c r="D706" s="21" t="str">
        <x:v>16-avos de final</x:v>
      </x:c>
      <x:c r="E706" s="21" t="str">
        <x:v>2026-06-30</x:v>
      </x:c>
      <x:c r="F706" s="21" t="str">
        <x:f>IFERROR(INDEX('Resultados'!$G$5:$G$108,MATCH($B706,'Resultados'!$A$5:$A$108,0)),"")</x:f>
        <x:v>2º Grupo E</x:v>
      </x:c>
      <x:c r="G706" s="21" t="str">
        <x:f>IFERROR(INDEX('Resultados'!$J$5:$J$108,MATCH($B706,'Resultados'!$A$5:$A$108,0)),"")</x:f>
        <x:v>2º Grupo I</x:v>
      </x:c>
      <x:c r="H706" s="21" t="str">
        <x:v>Sim</x:v>
      </x:c>
      <x:c r="I706" s="22"/>
      <x:c r="J706" s="22"/>
      <x:c r="K706" s="23"/>
      <x:c r="L706" s="21" t="str">
        <x:f>IFERROR(INDEX('Resultados'!$H$5:$H$108,MATCH($B706,'Resultados'!$A$5:$A$108,0)),"")</x:f>
      </x:c>
      <x:c r="M706" s="21" t="str">
        <x:f>IFERROR(INDEX('Resultados'!$I$5:$I$108,MATCH($B706,'Resultados'!$A$5:$A$108,0)),"")</x:f>
      </x:c>
      <x:c r="N706" s="21" t="str">
        <x:f>IFERROR(INDEX('Resultados'!$L$5:$L$108,MATCH($B706,'Resultados'!$A$5:$A$108,0)),"")</x:f>
      </x:c>
      <x:c r="O706" s="59" t="str">
        <x:f>IF(OR($I706="",$J706="",$L706="",$M706=""),"",IF(AND($H706="Sim",$L706=$M706),IF($I706&lt;&gt;$J706,0,IF(AND($I706=$L706,$J706=$M706),2,1)),IF(AND($I706=$L706,$J706=$M706),3,IF(AND($I706&lt;&gt;$J706,$I706=$M706,$J706=$L706),-2,IF(SIGN($I706-$J706)=SIGN($L706-$M706),1,0)))))</x:f>
      </x:c>
      <x:c r="P706" s="59" t="str">
        <x:f>IF(OR($H706&lt;&gt;"Sim",$I706="",$J706="",$L706="",$M706=""),"",IF(AND(IF($I706&gt;$J706,$F706,IF($I706&lt;$J706,$G706,$K706))&lt;&gt;"",IF($L706&gt;$M706,$F706,IF($L706&lt;$M706,$G706,$N706))&lt;&gt;"",IF($I706&gt;$J706,$F706,IF($I706&lt;$J706,$G706,$K706))=IF($L706&gt;$M706,$F706,IF($L706&lt;$M706,$G706,$N706))),1,0))</x:f>
      </x:c>
      <x:c r="Q706" s="59" t="str">
        <x:f>IF($O706="","",$O706+$P706)</x:f>
      </x:c>
      <x:c r="R706" s="59" t="str">
        <x:f>IF($Q706="","",IF($O706=3,"Cravada",IF(AND($H706="Sim",$L706=$M706,$I706=$J706,$O706=2),"Empate cravado",IF($O706=1,"Resultado certo",IF($O706=-2,"Invertida",IF($P706=1,"Acertou quem passa","Erro"))))))</x:f>
      </x:c>
      <x:c r="S706" s="59" t="str">
        <x:f>IF($O706="","",--(OR($O706=3,AND($H706="Sim",$L706=$M706,$I706=$J706,$O706=2))))</x:f>
      </x:c>
      <x:c r="T706" s="59" t="str">
        <x:f>IF($O706="","",--($O706=-2))</x:f>
      </x:c>
      <x:c r="U706" s="59" t="str">
        <x:f>IF($O706="","",--($O706=1))</x:f>
      </x:c>
      <x:c r="V706" s="59" t="n">
        <x:f>--(AND($I706&lt;&gt;"",$J706&lt;&gt;""))</x:f>
        <x:v>0</x:v>
      </x:c>
    </x:row>
    <x:row r="707">
      <x:c r="A707" s="21" t="str">
        <x:f>INDEX(Config!$B$10:$B$16,INT((ROW()-5)/104)+1)</x:f>
        <x:v>Thyago</x:v>
      </x:c>
      <x:c r="B707" s="21" t="str">
        <x:v>R32_07</x:v>
      </x:c>
      <x:c r="C707" s="21" t="n">
        <x:v>79</x:v>
      </x:c>
      <x:c r="D707" s="21" t="str">
        <x:v>16-avos de final</x:v>
      </x:c>
      <x:c r="E707" s="21" t="str">
        <x:v>2026-06-30</x:v>
      </x:c>
      <x:c r="F707" s="21" t="str">
        <x:f>IFERROR(INDEX('Resultados'!$G$5:$G$108,MATCH($B707,'Resultados'!$A$5:$A$108,0)),"")</x:f>
        <x:v>1º Grupo A</x:v>
      </x:c>
      <x:c r="G707" s="21" t="str">
        <x:f>IFERROR(INDEX('Resultados'!$J$5:$J$108,MATCH($B707,'Resultados'!$A$5:$A$108,0)),"")</x:f>
        <x:v>3º C/E/F/H/I</x:v>
      </x:c>
      <x:c r="H707" s="21" t="str">
        <x:v>Sim</x:v>
      </x:c>
      <x:c r="I707" s="22"/>
      <x:c r="J707" s="22"/>
      <x:c r="K707" s="23"/>
      <x:c r="L707" s="21" t="str">
        <x:f>IFERROR(INDEX('Resultados'!$H$5:$H$108,MATCH($B707,'Resultados'!$A$5:$A$108,0)),"")</x:f>
      </x:c>
      <x:c r="M707" s="21" t="str">
        <x:f>IFERROR(INDEX('Resultados'!$I$5:$I$108,MATCH($B707,'Resultados'!$A$5:$A$108,0)),"")</x:f>
      </x:c>
      <x:c r="N707" s="21" t="str">
        <x:f>IFERROR(INDEX('Resultados'!$L$5:$L$108,MATCH($B707,'Resultados'!$A$5:$A$108,0)),"")</x:f>
      </x:c>
      <x:c r="O707" s="59" t="str">
        <x:f>IF(OR($I707="",$J707="",$L707="",$M707=""),"",IF(AND($H707="Sim",$L707=$M707),IF($I707&lt;&gt;$J707,0,IF(AND($I707=$L707,$J707=$M707),2,1)),IF(AND($I707=$L707,$J707=$M707),3,IF(AND($I707&lt;&gt;$J707,$I707=$M707,$J707=$L707),-2,IF(SIGN($I707-$J707)=SIGN($L707-$M707),1,0)))))</x:f>
      </x:c>
      <x:c r="P707" s="59" t="str">
        <x:f>IF(OR($H707&lt;&gt;"Sim",$I707="",$J707="",$L707="",$M707=""),"",IF(AND(IF($I707&gt;$J707,$F707,IF($I707&lt;$J707,$G707,$K707))&lt;&gt;"",IF($L707&gt;$M707,$F707,IF($L707&lt;$M707,$G707,$N707))&lt;&gt;"",IF($I707&gt;$J707,$F707,IF($I707&lt;$J707,$G707,$K707))=IF($L707&gt;$M707,$F707,IF($L707&lt;$M707,$G707,$N707))),1,0))</x:f>
      </x:c>
      <x:c r="Q707" s="59" t="str">
        <x:f>IF($O707="","",$O707+$P707)</x:f>
      </x:c>
      <x:c r="R707" s="59" t="str">
        <x:f>IF($Q707="","",IF($O707=3,"Cravada",IF(AND($H707="Sim",$L707=$M707,$I707=$J707,$O707=2),"Empate cravado",IF($O707=1,"Resultado certo",IF($O707=-2,"Invertida",IF($P707=1,"Acertou quem passa","Erro"))))))</x:f>
      </x:c>
      <x:c r="S707" s="59" t="str">
        <x:f>IF($O707="","",--(OR($O707=3,AND($H707="Sim",$L707=$M707,$I707=$J707,$O707=2))))</x:f>
      </x:c>
      <x:c r="T707" s="59" t="str">
        <x:f>IF($O707="","",--($O707=-2))</x:f>
      </x:c>
      <x:c r="U707" s="59" t="str">
        <x:f>IF($O707="","",--($O707=1))</x:f>
      </x:c>
      <x:c r="V707" s="59" t="n">
        <x:f>--(AND($I707&lt;&gt;"",$J707&lt;&gt;""))</x:f>
        <x:v>0</x:v>
      </x:c>
    </x:row>
    <x:row r="708">
      <x:c r="A708" s="21" t="str">
        <x:f>INDEX(Config!$B$10:$B$16,INT((ROW()-5)/104)+1)</x:f>
        <x:v>Thyago</x:v>
      </x:c>
      <x:c r="B708" s="21" t="str">
        <x:v>R32_08</x:v>
      </x:c>
      <x:c r="C708" s="21" t="n">
        <x:v>80</x:v>
      </x:c>
      <x:c r="D708" s="21" t="str">
        <x:v>16-avos de final</x:v>
      </x:c>
      <x:c r="E708" s="21" t="str">
        <x:v>2026-07-01</x:v>
      </x:c>
      <x:c r="F708" s="21" t="str">
        <x:f>IFERROR(INDEX('Resultados'!$G$5:$G$108,MATCH($B708,'Resultados'!$A$5:$A$108,0)),"")</x:f>
        <x:v>1º Grupo L</x:v>
      </x:c>
      <x:c r="G708" s="21" t="str">
        <x:f>IFERROR(INDEX('Resultados'!$J$5:$J$108,MATCH($B708,'Resultados'!$A$5:$A$108,0)),"")</x:f>
        <x:v>3º E/H/I/J/K</x:v>
      </x:c>
      <x:c r="H708" s="21" t="str">
        <x:v>Sim</x:v>
      </x:c>
      <x:c r="I708" s="22"/>
      <x:c r="J708" s="22"/>
      <x:c r="K708" s="23"/>
      <x:c r="L708" s="21" t="str">
        <x:f>IFERROR(INDEX('Resultados'!$H$5:$H$108,MATCH($B708,'Resultados'!$A$5:$A$108,0)),"")</x:f>
      </x:c>
      <x:c r="M708" s="21" t="str">
        <x:f>IFERROR(INDEX('Resultados'!$I$5:$I$108,MATCH($B708,'Resultados'!$A$5:$A$108,0)),"")</x:f>
      </x:c>
      <x:c r="N708" s="21" t="str">
        <x:f>IFERROR(INDEX('Resultados'!$L$5:$L$108,MATCH($B708,'Resultados'!$A$5:$A$108,0)),"")</x:f>
      </x:c>
      <x:c r="O708" s="59" t="str">
        <x:f>IF(OR($I708="",$J708="",$L708="",$M708=""),"",IF(AND($H708="Sim",$L708=$M708),IF($I708&lt;&gt;$J708,0,IF(AND($I708=$L708,$J708=$M708),2,1)),IF(AND($I708=$L708,$J708=$M708),3,IF(AND($I708&lt;&gt;$J708,$I708=$M708,$J708=$L708),-2,IF(SIGN($I708-$J708)=SIGN($L708-$M708),1,0)))))</x:f>
      </x:c>
      <x:c r="P708" s="59" t="str">
        <x:f>IF(OR($H708&lt;&gt;"Sim",$I708="",$J708="",$L708="",$M708=""),"",IF(AND(IF($I708&gt;$J708,$F708,IF($I708&lt;$J708,$G708,$K708))&lt;&gt;"",IF($L708&gt;$M708,$F708,IF($L708&lt;$M708,$G708,$N708))&lt;&gt;"",IF($I708&gt;$J708,$F708,IF($I708&lt;$J708,$G708,$K708))=IF($L708&gt;$M708,$F708,IF($L708&lt;$M708,$G708,$N708))),1,0))</x:f>
      </x:c>
      <x:c r="Q708" s="59" t="str">
        <x:f>IF($O708="","",$O708+$P708)</x:f>
      </x:c>
      <x:c r="R708" s="59" t="str">
        <x:f>IF($Q708="","",IF($O708=3,"Cravada",IF(AND($H708="Sim",$L708=$M708,$I708=$J708,$O708=2),"Empate cravado",IF($O708=1,"Resultado certo",IF($O708=-2,"Invertida",IF($P708=1,"Acertou quem passa","Erro"))))))</x:f>
      </x:c>
      <x:c r="S708" s="59" t="str">
        <x:f>IF($O708="","",--(OR($O708=3,AND($H708="Sim",$L708=$M708,$I708=$J708,$O708=2))))</x:f>
      </x:c>
      <x:c r="T708" s="59" t="str">
        <x:f>IF($O708="","",--($O708=-2))</x:f>
      </x:c>
      <x:c r="U708" s="59" t="str">
        <x:f>IF($O708="","",--($O708=1))</x:f>
      </x:c>
      <x:c r="V708" s="59" t="n">
        <x:f>--(AND($I708&lt;&gt;"",$J708&lt;&gt;""))</x:f>
        <x:v>0</x:v>
      </x:c>
    </x:row>
    <x:row r="709">
      <x:c r="A709" s="21" t="str">
        <x:f>INDEX(Config!$B$10:$B$16,INT((ROW()-5)/104)+1)</x:f>
        <x:v>Thyago</x:v>
      </x:c>
      <x:c r="B709" s="21" t="str">
        <x:v>R32_09</x:v>
      </x:c>
      <x:c r="C709" s="21" t="n">
        <x:v>81</x:v>
      </x:c>
      <x:c r="D709" s="21" t="str">
        <x:v>16-avos de final</x:v>
      </x:c>
      <x:c r="E709" s="21" t="str">
        <x:v>2026-07-01</x:v>
      </x:c>
      <x:c r="F709" s="21" t="str">
        <x:f>IFERROR(INDEX('Resultados'!$G$5:$G$108,MATCH($B709,'Resultados'!$A$5:$A$108,0)),"")</x:f>
        <x:v>1º Grupo D</x:v>
      </x:c>
      <x:c r="G709" s="21" t="str">
        <x:f>IFERROR(INDEX('Resultados'!$J$5:$J$108,MATCH($B709,'Resultados'!$A$5:$A$108,0)),"")</x:f>
        <x:v>3º B/E/F/I/J</x:v>
      </x:c>
      <x:c r="H709" s="21" t="str">
        <x:v>Sim</x:v>
      </x:c>
      <x:c r="I709" s="22"/>
      <x:c r="J709" s="22"/>
      <x:c r="K709" s="23"/>
      <x:c r="L709" s="21" t="str">
        <x:f>IFERROR(INDEX('Resultados'!$H$5:$H$108,MATCH($B709,'Resultados'!$A$5:$A$108,0)),"")</x:f>
      </x:c>
      <x:c r="M709" s="21" t="str">
        <x:f>IFERROR(INDEX('Resultados'!$I$5:$I$108,MATCH($B709,'Resultados'!$A$5:$A$108,0)),"")</x:f>
      </x:c>
      <x:c r="N709" s="21" t="str">
        <x:f>IFERROR(INDEX('Resultados'!$L$5:$L$108,MATCH($B709,'Resultados'!$A$5:$A$108,0)),"")</x:f>
      </x:c>
      <x:c r="O709" s="59" t="str">
        <x:f>IF(OR($I709="",$J709="",$L709="",$M709=""),"",IF(AND($H709="Sim",$L709=$M709),IF($I709&lt;&gt;$J709,0,IF(AND($I709=$L709,$J709=$M709),2,1)),IF(AND($I709=$L709,$J709=$M709),3,IF(AND($I709&lt;&gt;$J709,$I709=$M709,$J709=$L709),-2,IF(SIGN($I709-$J709)=SIGN($L709-$M709),1,0)))))</x:f>
      </x:c>
      <x:c r="P709" s="59" t="str">
        <x:f>IF(OR($H709&lt;&gt;"Sim",$I709="",$J709="",$L709="",$M709=""),"",IF(AND(IF($I709&gt;$J709,$F709,IF($I709&lt;$J709,$G709,$K709))&lt;&gt;"",IF($L709&gt;$M709,$F709,IF($L709&lt;$M709,$G709,$N709))&lt;&gt;"",IF($I709&gt;$J709,$F709,IF($I709&lt;$J709,$G709,$K709))=IF($L709&gt;$M709,$F709,IF($L709&lt;$M709,$G709,$N709))),1,0))</x:f>
      </x:c>
      <x:c r="Q709" s="59" t="str">
        <x:f>IF($O709="","",$O709+$P709)</x:f>
      </x:c>
      <x:c r="R709" s="59" t="str">
        <x:f>IF($Q709="","",IF($O709=3,"Cravada",IF(AND($H709="Sim",$L709=$M709,$I709=$J709,$O709=2),"Empate cravado",IF($O709=1,"Resultado certo",IF($O709=-2,"Invertida",IF($P709=1,"Acertou quem passa","Erro"))))))</x:f>
      </x:c>
      <x:c r="S709" s="59" t="str">
        <x:f>IF($O709="","",--(OR($O709=3,AND($H709="Sim",$L709=$M709,$I709=$J709,$O709=2))))</x:f>
      </x:c>
      <x:c r="T709" s="59" t="str">
        <x:f>IF($O709="","",--($O709=-2))</x:f>
      </x:c>
      <x:c r="U709" s="59" t="str">
        <x:f>IF($O709="","",--($O709=1))</x:f>
      </x:c>
      <x:c r="V709" s="59" t="n">
        <x:f>--(AND($I709&lt;&gt;"",$J709&lt;&gt;""))</x:f>
        <x:v>0</x:v>
      </x:c>
    </x:row>
    <x:row r="710">
      <x:c r="A710" s="21" t="str">
        <x:f>INDEX(Config!$B$10:$B$16,INT((ROW()-5)/104)+1)</x:f>
        <x:v>Thyago</x:v>
      </x:c>
      <x:c r="B710" s="21" t="str">
        <x:v>R32_10</x:v>
      </x:c>
      <x:c r="C710" s="21" t="n">
        <x:v>82</x:v>
      </x:c>
      <x:c r="D710" s="21" t="str">
        <x:v>16-avos de final</x:v>
      </x:c>
      <x:c r="E710" s="21" t="str">
        <x:v>2026-07-01</x:v>
      </x:c>
      <x:c r="F710" s="21" t="str">
        <x:f>IFERROR(INDEX('Resultados'!$G$5:$G$108,MATCH($B710,'Resultados'!$A$5:$A$108,0)),"")</x:f>
        <x:v>1º Grupo G</x:v>
      </x:c>
      <x:c r="G710" s="21" t="str">
        <x:f>IFERROR(INDEX('Resultados'!$J$5:$J$108,MATCH($B710,'Resultados'!$A$5:$A$108,0)),"")</x:f>
        <x:v>3º A/E/H/I/J</x:v>
      </x:c>
      <x:c r="H710" s="21" t="str">
        <x:v>Sim</x:v>
      </x:c>
      <x:c r="I710" s="22"/>
      <x:c r="J710" s="22"/>
      <x:c r="K710" s="23"/>
      <x:c r="L710" s="21" t="str">
        <x:f>IFERROR(INDEX('Resultados'!$H$5:$H$108,MATCH($B710,'Resultados'!$A$5:$A$108,0)),"")</x:f>
      </x:c>
      <x:c r="M710" s="21" t="str">
        <x:f>IFERROR(INDEX('Resultados'!$I$5:$I$108,MATCH($B710,'Resultados'!$A$5:$A$108,0)),"")</x:f>
      </x:c>
      <x:c r="N710" s="21" t="str">
        <x:f>IFERROR(INDEX('Resultados'!$L$5:$L$108,MATCH($B710,'Resultados'!$A$5:$A$108,0)),"")</x:f>
      </x:c>
      <x:c r="O710" s="59" t="str">
        <x:f>IF(OR($I710="",$J710="",$L710="",$M710=""),"",IF(AND($H710="Sim",$L710=$M710),IF($I710&lt;&gt;$J710,0,IF(AND($I710=$L710,$J710=$M710),2,1)),IF(AND($I710=$L710,$J710=$M710),3,IF(AND($I710&lt;&gt;$J710,$I710=$M710,$J710=$L710),-2,IF(SIGN($I710-$J710)=SIGN($L710-$M710),1,0)))))</x:f>
      </x:c>
      <x:c r="P710" s="59" t="str">
        <x:f>IF(OR($H710&lt;&gt;"Sim",$I710="",$J710="",$L710="",$M710=""),"",IF(AND(IF($I710&gt;$J710,$F710,IF($I710&lt;$J710,$G710,$K710))&lt;&gt;"",IF($L710&gt;$M710,$F710,IF($L710&lt;$M710,$G710,$N710))&lt;&gt;"",IF($I710&gt;$J710,$F710,IF($I710&lt;$J710,$G710,$K710))=IF($L710&gt;$M710,$F710,IF($L710&lt;$M710,$G710,$N710))),1,0))</x:f>
      </x:c>
      <x:c r="Q710" s="59" t="str">
        <x:f>IF($O710="","",$O710+$P710)</x:f>
      </x:c>
      <x:c r="R710" s="59" t="str">
        <x:f>IF($Q710="","",IF($O710=3,"Cravada",IF(AND($H710="Sim",$L710=$M710,$I710=$J710,$O710=2),"Empate cravado",IF($O710=1,"Resultado certo",IF($O710=-2,"Invertida",IF($P710=1,"Acertou quem passa","Erro"))))))</x:f>
      </x:c>
      <x:c r="S710" s="59" t="str">
        <x:f>IF($O710="","",--(OR($O710=3,AND($H710="Sim",$L710=$M710,$I710=$J710,$O710=2))))</x:f>
      </x:c>
      <x:c r="T710" s="59" t="str">
        <x:f>IF($O710="","",--($O710=-2))</x:f>
      </x:c>
      <x:c r="U710" s="59" t="str">
        <x:f>IF($O710="","",--($O710=1))</x:f>
      </x:c>
      <x:c r="V710" s="59" t="n">
        <x:f>--(AND($I710&lt;&gt;"",$J710&lt;&gt;""))</x:f>
        <x:v>0</x:v>
      </x:c>
    </x:row>
    <x:row r="711">
      <x:c r="A711" s="21" t="str">
        <x:f>INDEX(Config!$B$10:$B$16,INT((ROW()-5)/104)+1)</x:f>
        <x:v>Thyago</x:v>
      </x:c>
      <x:c r="B711" s="21" t="str">
        <x:v>R32_11</x:v>
      </x:c>
      <x:c r="C711" s="21" t="n">
        <x:v>83</x:v>
      </x:c>
      <x:c r="D711" s="21" t="str">
        <x:v>16-avos de final</x:v>
      </x:c>
      <x:c r="E711" s="21" t="str">
        <x:v>2026-07-02</x:v>
      </x:c>
      <x:c r="F711" s="21" t="str">
        <x:f>IFERROR(INDEX('Resultados'!$G$5:$G$108,MATCH($B711,'Resultados'!$A$5:$A$108,0)),"")</x:f>
        <x:v>2º Grupo K</x:v>
      </x:c>
      <x:c r="G711" s="21" t="str">
        <x:f>IFERROR(INDEX('Resultados'!$J$5:$J$108,MATCH($B711,'Resultados'!$A$5:$A$108,0)),"")</x:f>
        <x:v>2º Grupo L</x:v>
      </x:c>
      <x:c r="H711" s="21" t="str">
        <x:v>Sim</x:v>
      </x:c>
      <x:c r="I711" s="22"/>
      <x:c r="J711" s="22"/>
      <x:c r="K711" s="23"/>
      <x:c r="L711" s="21" t="str">
        <x:f>IFERROR(INDEX('Resultados'!$H$5:$H$108,MATCH($B711,'Resultados'!$A$5:$A$108,0)),"")</x:f>
      </x:c>
      <x:c r="M711" s="21" t="str">
        <x:f>IFERROR(INDEX('Resultados'!$I$5:$I$108,MATCH($B711,'Resultados'!$A$5:$A$108,0)),"")</x:f>
      </x:c>
      <x:c r="N711" s="21" t="str">
        <x:f>IFERROR(INDEX('Resultados'!$L$5:$L$108,MATCH($B711,'Resultados'!$A$5:$A$108,0)),"")</x:f>
      </x:c>
      <x:c r="O711" s="59" t="str">
        <x:f>IF(OR($I711="",$J711="",$L711="",$M711=""),"",IF(AND($H711="Sim",$L711=$M711),IF($I711&lt;&gt;$J711,0,IF(AND($I711=$L711,$J711=$M711),2,1)),IF(AND($I711=$L711,$J711=$M711),3,IF(AND($I711&lt;&gt;$J711,$I711=$M711,$J711=$L711),-2,IF(SIGN($I711-$J711)=SIGN($L711-$M711),1,0)))))</x:f>
      </x:c>
      <x:c r="P711" s="59" t="str">
        <x:f>IF(OR($H711&lt;&gt;"Sim",$I711="",$J711="",$L711="",$M711=""),"",IF(AND(IF($I711&gt;$J711,$F711,IF($I711&lt;$J711,$G711,$K711))&lt;&gt;"",IF($L711&gt;$M711,$F711,IF($L711&lt;$M711,$G711,$N711))&lt;&gt;"",IF($I711&gt;$J711,$F711,IF($I711&lt;$J711,$G711,$K711))=IF($L711&gt;$M711,$F711,IF($L711&lt;$M711,$G711,$N711))),1,0))</x:f>
      </x:c>
      <x:c r="Q711" s="59" t="str">
        <x:f>IF($O711="","",$O711+$P711)</x:f>
      </x:c>
      <x:c r="R711" s="59" t="str">
        <x:f>IF($Q711="","",IF($O711=3,"Cravada",IF(AND($H711="Sim",$L711=$M711,$I711=$J711,$O711=2),"Empate cravado",IF($O711=1,"Resultado certo",IF($O711=-2,"Invertida",IF($P711=1,"Acertou quem passa","Erro"))))))</x:f>
      </x:c>
      <x:c r="S711" s="59" t="str">
        <x:f>IF($O711="","",--(OR($O711=3,AND($H711="Sim",$L711=$M711,$I711=$J711,$O711=2))))</x:f>
      </x:c>
      <x:c r="T711" s="59" t="str">
        <x:f>IF($O711="","",--($O711=-2))</x:f>
      </x:c>
      <x:c r="U711" s="59" t="str">
        <x:f>IF($O711="","",--($O711=1))</x:f>
      </x:c>
      <x:c r="V711" s="59" t="n">
        <x:f>--(AND($I711&lt;&gt;"",$J711&lt;&gt;""))</x:f>
        <x:v>0</x:v>
      </x:c>
    </x:row>
    <x:row r="712">
      <x:c r="A712" s="21" t="str">
        <x:f>INDEX(Config!$B$10:$B$16,INT((ROW()-5)/104)+1)</x:f>
        <x:v>Thyago</x:v>
      </x:c>
      <x:c r="B712" s="21" t="str">
        <x:v>R32_12</x:v>
      </x:c>
      <x:c r="C712" s="21" t="n">
        <x:v>84</x:v>
      </x:c>
      <x:c r="D712" s="21" t="str">
        <x:v>16-avos de final</x:v>
      </x:c>
      <x:c r="E712" s="21" t="str">
        <x:v>2026-07-02</x:v>
      </x:c>
      <x:c r="F712" s="21" t="str">
        <x:f>IFERROR(INDEX('Resultados'!$G$5:$G$108,MATCH($B712,'Resultados'!$A$5:$A$108,0)),"")</x:f>
        <x:v>1º Grupo H</x:v>
      </x:c>
      <x:c r="G712" s="21" t="str">
        <x:f>IFERROR(INDEX('Resultados'!$J$5:$J$108,MATCH($B712,'Resultados'!$A$5:$A$108,0)),"")</x:f>
        <x:v>2º Grupo J</x:v>
      </x:c>
      <x:c r="H712" s="21" t="str">
        <x:v>Sim</x:v>
      </x:c>
      <x:c r="I712" s="22"/>
      <x:c r="J712" s="22"/>
      <x:c r="K712" s="23"/>
      <x:c r="L712" s="21" t="str">
        <x:f>IFERROR(INDEX('Resultados'!$H$5:$H$108,MATCH($B712,'Resultados'!$A$5:$A$108,0)),"")</x:f>
      </x:c>
      <x:c r="M712" s="21" t="str">
        <x:f>IFERROR(INDEX('Resultados'!$I$5:$I$108,MATCH($B712,'Resultados'!$A$5:$A$108,0)),"")</x:f>
      </x:c>
      <x:c r="N712" s="21" t="str">
        <x:f>IFERROR(INDEX('Resultados'!$L$5:$L$108,MATCH($B712,'Resultados'!$A$5:$A$108,0)),"")</x:f>
      </x:c>
      <x:c r="O712" s="59" t="str">
        <x:f>IF(OR($I712="",$J712="",$L712="",$M712=""),"",IF(AND($H712="Sim",$L712=$M712),IF($I712&lt;&gt;$J712,0,IF(AND($I712=$L712,$J712=$M712),2,1)),IF(AND($I712=$L712,$J712=$M712),3,IF(AND($I712&lt;&gt;$J712,$I712=$M712,$J712=$L712),-2,IF(SIGN($I712-$J712)=SIGN($L712-$M712),1,0)))))</x:f>
      </x:c>
      <x:c r="P712" s="59" t="str">
        <x:f>IF(OR($H712&lt;&gt;"Sim",$I712="",$J712="",$L712="",$M712=""),"",IF(AND(IF($I712&gt;$J712,$F712,IF($I712&lt;$J712,$G712,$K712))&lt;&gt;"",IF($L712&gt;$M712,$F712,IF($L712&lt;$M712,$G712,$N712))&lt;&gt;"",IF($I712&gt;$J712,$F712,IF($I712&lt;$J712,$G712,$K712))=IF($L712&gt;$M712,$F712,IF($L712&lt;$M712,$G712,$N712))),1,0))</x:f>
      </x:c>
      <x:c r="Q712" s="59" t="str">
        <x:f>IF($O712="","",$O712+$P712)</x:f>
      </x:c>
      <x:c r="R712" s="59" t="str">
        <x:f>IF($Q712="","",IF($O712=3,"Cravada",IF(AND($H712="Sim",$L712=$M712,$I712=$J712,$O712=2),"Empate cravado",IF($O712=1,"Resultado certo",IF($O712=-2,"Invertida",IF($P712=1,"Acertou quem passa","Erro"))))))</x:f>
      </x:c>
      <x:c r="S712" s="59" t="str">
        <x:f>IF($O712="","",--(OR($O712=3,AND($H712="Sim",$L712=$M712,$I712=$J712,$O712=2))))</x:f>
      </x:c>
      <x:c r="T712" s="59" t="str">
        <x:f>IF($O712="","",--($O712=-2))</x:f>
      </x:c>
      <x:c r="U712" s="59" t="str">
        <x:f>IF($O712="","",--($O712=1))</x:f>
      </x:c>
      <x:c r="V712" s="59" t="n">
        <x:f>--(AND($I712&lt;&gt;"",$J712&lt;&gt;""))</x:f>
        <x:v>0</x:v>
      </x:c>
    </x:row>
    <x:row r="713">
      <x:c r="A713" s="21" t="str">
        <x:f>INDEX(Config!$B$10:$B$16,INT((ROW()-5)/104)+1)</x:f>
        <x:v>Thyago</x:v>
      </x:c>
      <x:c r="B713" s="21" t="str">
        <x:v>R32_13</x:v>
      </x:c>
      <x:c r="C713" s="21" t="n">
        <x:v>85</x:v>
      </x:c>
      <x:c r="D713" s="21" t="str">
        <x:v>16-avos de final</x:v>
      </x:c>
      <x:c r="E713" s="21" t="str">
        <x:v>2026-07-03</x:v>
      </x:c>
      <x:c r="F713" s="21" t="str">
        <x:f>IFERROR(INDEX('Resultados'!$G$5:$G$108,MATCH($B713,'Resultados'!$A$5:$A$108,0)),"")</x:f>
        <x:v>1º Grupo B</x:v>
      </x:c>
      <x:c r="G713" s="21" t="str">
        <x:f>IFERROR(INDEX('Resultados'!$J$5:$J$108,MATCH($B713,'Resultados'!$A$5:$A$108,0)),"")</x:f>
        <x:v>3º E/F/G/I/J</x:v>
      </x:c>
      <x:c r="H713" s="21" t="str">
        <x:v>Sim</x:v>
      </x:c>
      <x:c r="I713" s="22"/>
      <x:c r="J713" s="22"/>
      <x:c r="K713" s="23"/>
      <x:c r="L713" s="21" t="str">
        <x:f>IFERROR(INDEX('Resultados'!$H$5:$H$108,MATCH($B713,'Resultados'!$A$5:$A$108,0)),"")</x:f>
      </x:c>
      <x:c r="M713" s="21" t="str">
        <x:f>IFERROR(INDEX('Resultados'!$I$5:$I$108,MATCH($B713,'Resultados'!$A$5:$A$108,0)),"")</x:f>
      </x:c>
      <x:c r="N713" s="21" t="str">
        <x:f>IFERROR(INDEX('Resultados'!$L$5:$L$108,MATCH($B713,'Resultados'!$A$5:$A$108,0)),"")</x:f>
      </x:c>
      <x:c r="O713" s="59" t="str">
        <x:f>IF(OR($I713="",$J713="",$L713="",$M713=""),"",IF(AND($H713="Sim",$L713=$M713),IF($I713&lt;&gt;$J713,0,IF(AND($I713=$L713,$J713=$M713),2,1)),IF(AND($I713=$L713,$J713=$M713),3,IF(AND($I713&lt;&gt;$J713,$I713=$M713,$J713=$L713),-2,IF(SIGN($I713-$J713)=SIGN($L713-$M713),1,0)))))</x:f>
      </x:c>
      <x:c r="P713" s="59" t="str">
        <x:f>IF(OR($H713&lt;&gt;"Sim",$I713="",$J713="",$L713="",$M713=""),"",IF(AND(IF($I713&gt;$J713,$F713,IF($I713&lt;$J713,$G713,$K713))&lt;&gt;"",IF($L713&gt;$M713,$F713,IF($L713&lt;$M713,$G713,$N713))&lt;&gt;"",IF($I713&gt;$J713,$F713,IF($I713&lt;$J713,$G713,$K713))=IF($L713&gt;$M713,$F713,IF($L713&lt;$M713,$G713,$N713))),1,0))</x:f>
      </x:c>
      <x:c r="Q713" s="59" t="str">
        <x:f>IF($O713="","",$O713+$P713)</x:f>
      </x:c>
      <x:c r="R713" s="59" t="str">
        <x:f>IF($Q713="","",IF($O713=3,"Cravada",IF(AND($H713="Sim",$L713=$M713,$I713=$J713,$O713=2),"Empate cravado",IF($O713=1,"Resultado certo",IF($O713=-2,"Invertida",IF($P713=1,"Acertou quem passa","Erro"))))))</x:f>
      </x:c>
      <x:c r="S713" s="59" t="str">
        <x:f>IF($O713="","",--(OR($O713=3,AND($H713="Sim",$L713=$M713,$I713=$J713,$O713=2))))</x:f>
      </x:c>
      <x:c r="T713" s="59" t="str">
        <x:f>IF($O713="","",--($O713=-2))</x:f>
      </x:c>
      <x:c r="U713" s="59" t="str">
        <x:f>IF($O713="","",--($O713=1))</x:f>
      </x:c>
      <x:c r="V713" s="59" t="n">
        <x:f>--(AND($I713&lt;&gt;"",$J713&lt;&gt;""))</x:f>
        <x:v>0</x:v>
      </x:c>
    </x:row>
    <x:row r="714">
      <x:c r="A714" s="21" t="str">
        <x:f>INDEX(Config!$B$10:$B$16,INT((ROW()-5)/104)+1)</x:f>
        <x:v>Thyago</x:v>
      </x:c>
      <x:c r="B714" s="21" t="str">
        <x:v>R32_14</x:v>
      </x:c>
      <x:c r="C714" s="21" t="n">
        <x:v>86</x:v>
      </x:c>
      <x:c r="D714" s="21" t="str">
        <x:v>16-avos de final</x:v>
      </x:c>
      <x:c r="E714" s="21" t="str">
        <x:v>2026-07-03</x:v>
      </x:c>
      <x:c r="F714" s="21" t="str">
        <x:f>IFERROR(INDEX('Resultados'!$G$5:$G$108,MATCH($B714,'Resultados'!$A$5:$A$108,0)),"")</x:f>
        <x:v>1º Grupo J</x:v>
      </x:c>
      <x:c r="G714" s="21" t="str">
        <x:f>IFERROR(INDEX('Resultados'!$J$5:$J$108,MATCH($B714,'Resultados'!$A$5:$A$108,0)),"")</x:f>
        <x:v>2º Grupo H</x:v>
      </x:c>
      <x:c r="H714" s="21" t="str">
        <x:v>Sim</x:v>
      </x:c>
      <x:c r="I714" s="22"/>
      <x:c r="J714" s="22"/>
      <x:c r="K714" s="23"/>
      <x:c r="L714" s="21" t="str">
        <x:f>IFERROR(INDEX('Resultados'!$H$5:$H$108,MATCH($B714,'Resultados'!$A$5:$A$108,0)),"")</x:f>
      </x:c>
      <x:c r="M714" s="21" t="str">
        <x:f>IFERROR(INDEX('Resultados'!$I$5:$I$108,MATCH($B714,'Resultados'!$A$5:$A$108,0)),"")</x:f>
      </x:c>
      <x:c r="N714" s="21" t="str">
        <x:f>IFERROR(INDEX('Resultados'!$L$5:$L$108,MATCH($B714,'Resultados'!$A$5:$A$108,0)),"")</x:f>
      </x:c>
      <x:c r="O714" s="59" t="str">
        <x:f>IF(OR($I714="",$J714="",$L714="",$M714=""),"",IF(AND($H714="Sim",$L714=$M714),IF($I714&lt;&gt;$J714,0,IF(AND($I714=$L714,$J714=$M714),2,1)),IF(AND($I714=$L714,$J714=$M714),3,IF(AND($I714&lt;&gt;$J714,$I714=$M714,$J714=$L714),-2,IF(SIGN($I714-$J714)=SIGN($L714-$M714),1,0)))))</x:f>
      </x:c>
      <x:c r="P714" s="59" t="str">
        <x:f>IF(OR($H714&lt;&gt;"Sim",$I714="",$J714="",$L714="",$M714=""),"",IF(AND(IF($I714&gt;$J714,$F714,IF($I714&lt;$J714,$G714,$K714))&lt;&gt;"",IF($L714&gt;$M714,$F714,IF($L714&lt;$M714,$G714,$N714))&lt;&gt;"",IF($I714&gt;$J714,$F714,IF($I714&lt;$J714,$G714,$K714))=IF($L714&gt;$M714,$F714,IF($L714&lt;$M714,$G714,$N714))),1,0))</x:f>
      </x:c>
      <x:c r="Q714" s="59" t="str">
        <x:f>IF($O714="","",$O714+$P714)</x:f>
      </x:c>
      <x:c r="R714" s="59" t="str">
        <x:f>IF($Q714="","",IF($O714=3,"Cravada",IF(AND($H714="Sim",$L714=$M714,$I714=$J714,$O714=2),"Empate cravado",IF($O714=1,"Resultado certo",IF($O714=-2,"Invertida",IF($P714=1,"Acertou quem passa","Erro"))))))</x:f>
      </x:c>
      <x:c r="S714" s="59" t="str">
        <x:f>IF($O714="","",--(OR($O714=3,AND($H714="Sim",$L714=$M714,$I714=$J714,$O714=2))))</x:f>
      </x:c>
      <x:c r="T714" s="59" t="str">
        <x:f>IF($O714="","",--($O714=-2))</x:f>
      </x:c>
      <x:c r="U714" s="59" t="str">
        <x:f>IF($O714="","",--($O714=1))</x:f>
      </x:c>
      <x:c r="V714" s="59" t="n">
        <x:f>--(AND($I714&lt;&gt;"",$J714&lt;&gt;""))</x:f>
        <x:v>0</x:v>
      </x:c>
    </x:row>
    <x:row r="715">
      <x:c r="A715" s="21" t="str">
        <x:f>INDEX(Config!$B$10:$B$16,INT((ROW()-5)/104)+1)</x:f>
        <x:v>Thyago</x:v>
      </x:c>
      <x:c r="B715" s="21" t="str">
        <x:v>R32_15</x:v>
      </x:c>
      <x:c r="C715" s="21" t="n">
        <x:v>87</x:v>
      </x:c>
      <x:c r="D715" s="21" t="str">
        <x:v>16-avos de final</x:v>
      </x:c>
      <x:c r="E715" s="21" t="str">
        <x:v>2026-07-03</x:v>
      </x:c>
      <x:c r="F715" s="21" t="str">
        <x:f>IFERROR(INDEX('Resultados'!$G$5:$G$108,MATCH($B715,'Resultados'!$A$5:$A$108,0)),"")</x:f>
        <x:v>1º Grupo K</x:v>
      </x:c>
      <x:c r="G715" s="21" t="str">
        <x:f>IFERROR(INDEX('Resultados'!$J$5:$J$108,MATCH($B715,'Resultados'!$A$5:$A$108,0)),"")</x:f>
        <x:v>3º D/E/I/J/L</x:v>
      </x:c>
      <x:c r="H715" s="21" t="str">
        <x:v>Sim</x:v>
      </x:c>
      <x:c r="I715" s="22"/>
      <x:c r="J715" s="22"/>
      <x:c r="K715" s="23"/>
      <x:c r="L715" s="21" t="str">
        <x:f>IFERROR(INDEX('Resultados'!$H$5:$H$108,MATCH($B715,'Resultados'!$A$5:$A$108,0)),"")</x:f>
      </x:c>
      <x:c r="M715" s="21" t="str">
        <x:f>IFERROR(INDEX('Resultados'!$I$5:$I$108,MATCH($B715,'Resultados'!$A$5:$A$108,0)),"")</x:f>
      </x:c>
      <x:c r="N715" s="21" t="str">
        <x:f>IFERROR(INDEX('Resultados'!$L$5:$L$108,MATCH($B715,'Resultados'!$A$5:$A$108,0)),"")</x:f>
      </x:c>
      <x:c r="O715" s="59" t="str">
        <x:f>IF(OR($I715="",$J715="",$L715="",$M715=""),"",IF(AND($H715="Sim",$L715=$M715),IF($I715&lt;&gt;$J715,0,IF(AND($I715=$L715,$J715=$M715),2,1)),IF(AND($I715=$L715,$J715=$M715),3,IF(AND($I715&lt;&gt;$J715,$I715=$M715,$J715=$L715),-2,IF(SIGN($I715-$J715)=SIGN($L715-$M715),1,0)))))</x:f>
      </x:c>
      <x:c r="P715" s="59" t="str">
        <x:f>IF(OR($H715&lt;&gt;"Sim",$I715="",$J715="",$L715="",$M715=""),"",IF(AND(IF($I715&gt;$J715,$F715,IF($I715&lt;$J715,$G715,$K715))&lt;&gt;"",IF($L715&gt;$M715,$F715,IF($L715&lt;$M715,$G715,$N715))&lt;&gt;"",IF($I715&gt;$J715,$F715,IF($I715&lt;$J715,$G715,$K715))=IF($L715&gt;$M715,$F715,IF($L715&lt;$M715,$G715,$N715))),1,0))</x:f>
      </x:c>
      <x:c r="Q715" s="59" t="str">
        <x:f>IF($O715="","",$O715+$P715)</x:f>
      </x:c>
      <x:c r="R715" s="59" t="str">
        <x:f>IF($Q715="","",IF($O715=3,"Cravada",IF(AND($H715="Sim",$L715=$M715,$I715=$J715,$O715=2),"Empate cravado",IF($O715=1,"Resultado certo",IF($O715=-2,"Invertida",IF($P715=1,"Acertou quem passa","Erro"))))))</x:f>
      </x:c>
      <x:c r="S715" s="59" t="str">
        <x:f>IF($O715="","",--(OR($O715=3,AND($H715="Sim",$L715=$M715,$I715=$J715,$O715=2))))</x:f>
      </x:c>
      <x:c r="T715" s="59" t="str">
        <x:f>IF($O715="","",--($O715=-2))</x:f>
      </x:c>
      <x:c r="U715" s="59" t="str">
        <x:f>IF($O715="","",--($O715=1))</x:f>
      </x:c>
      <x:c r="V715" s="59" t="n">
        <x:f>--(AND($I715&lt;&gt;"",$J715&lt;&gt;""))</x:f>
        <x:v>0</x:v>
      </x:c>
    </x:row>
    <x:row r="716">
      <x:c r="A716" s="21" t="str">
        <x:f>INDEX(Config!$B$10:$B$16,INT((ROW()-5)/104)+1)</x:f>
        <x:v>Thyago</x:v>
      </x:c>
      <x:c r="B716" s="21" t="str">
        <x:v>R32_16</x:v>
      </x:c>
      <x:c r="C716" s="21" t="n">
        <x:v>88</x:v>
      </x:c>
      <x:c r="D716" s="21" t="str">
        <x:v>16-avos de final</x:v>
      </x:c>
      <x:c r="E716" s="21" t="str">
        <x:v>2026-07-03</x:v>
      </x:c>
      <x:c r="F716" s="21" t="str">
        <x:f>IFERROR(INDEX('Resultados'!$G$5:$G$108,MATCH($B716,'Resultados'!$A$5:$A$108,0)),"")</x:f>
        <x:v>2º Grupo D</x:v>
      </x:c>
      <x:c r="G716" s="21" t="str">
        <x:f>IFERROR(INDEX('Resultados'!$J$5:$J$108,MATCH($B716,'Resultados'!$A$5:$A$108,0)),"")</x:f>
        <x:v>2º Grupo G</x:v>
      </x:c>
      <x:c r="H716" s="21" t="str">
        <x:v>Sim</x:v>
      </x:c>
      <x:c r="I716" s="22"/>
      <x:c r="J716" s="22"/>
      <x:c r="K716" s="23"/>
      <x:c r="L716" s="21" t="str">
        <x:f>IFERROR(INDEX('Resultados'!$H$5:$H$108,MATCH($B716,'Resultados'!$A$5:$A$108,0)),"")</x:f>
      </x:c>
      <x:c r="M716" s="21" t="str">
        <x:f>IFERROR(INDEX('Resultados'!$I$5:$I$108,MATCH($B716,'Resultados'!$A$5:$A$108,0)),"")</x:f>
      </x:c>
      <x:c r="N716" s="21" t="str">
        <x:f>IFERROR(INDEX('Resultados'!$L$5:$L$108,MATCH($B716,'Resultados'!$A$5:$A$108,0)),"")</x:f>
      </x:c>
      <x:c r="O716" s="59" t="str">
        <x:f>IF(OR($I716="",$J716="",$L716="",$M716=""),"",IF(AND($H716="Sim",$L716=$M716),IF($I716&lt;&gt;$J716,0,IF(AND($I716=$L716,$J716=$M716),2,1)),IF(AND($I716=$L716,$J716=$M716),3,IF(AND($I716&lt;&gt;$J716,$I716=$M716,$J716=$L716),-2,IF(SIGN($I716-$J716)=SIGN($L716-$M716),1,0)))))</x:f>
      </x:c>
      <x:c r="P716" s="59" t="str">
        <x:f>IF(OR($H716&lt;&gt;"Sim",$I716="",$J716="",$L716="",$M716=""),"",IF(AND(IF($I716&gt;$J716,$F716,IF($I716&lt;$J716,$G716,$K716))&lt;&gt;"",IF($L716&gt;$M716,$F716,IF($L716&lt;$M716,$G716,$N716))&lt;&gt;"",IF($I716&gt;$J716,$F716,IF($I716&lt;$J716,$G716,$K716))=IF($L716&gt;$M716,$F716,IF($L716&lt;$M716,$G716,$N716))),1,0))</x:f>
      </x:c>
      <x:c r="Q716" s="59" t="str">
        <x:f>IF($O716="","",$O716+$P716)</x:f>
      </x:c>
      <x:c r="R716" s="59" t="str">
        <x:f>IF($Q716="","",IF($O716=3,"Cravada",IF(AND($H716="Sim",$L716=$M716,$I716=$J716,$O716=2),"Empate cravado",IF($O716=1,"Resultado certo",IF($O716=-2,"Invertida",IF($P716=1,"Acertou quem passa","Erro"))))))</x:f>
      </x:c>
      <x:c r="S716" s="59" t="str">
        <x:f>IF($O716="","",--(OR($O716=3,AND($H716="Sim",$L716=$M716,$I716=$J716,$O716=2))))</x:f>
      </x:c>
      <x:c r="T716" s="59" t="str">
        <x:f>IF($O716="","",--($O716=-2))</x:f>
      </x:c>
      <x:c r="U716" s="59" t="str">
        <x:f>IF($O716="","",--($O716=1))</x:f>
      </x:c>
      <x:c r="V716" s="59" t="n">
        <x:f>--(AND($I716&lt;&gt;"",$J716&lt;&gt;""))</x:f>
        <x:v>0</x:v>
      </x:c>
    </x:row>
    <x:row r="717">
      <x:c r="A717" s="21" t="str">
        <x:f>INDEX(Config!$B$10:$B$16,INT((ROW()-5)/104)+1)</x:f>
        <x:v>Thyago</x:v>
      </x:c>
      <x:c r="B717" s="21" t="str">
        <x:v>R16_01</x:v>
      </x:c>
      <x:c r="C717" s="21" t="n">
        <x:v>89</x:v>
      </x:c>
      <x:c r="D717" s="21" t="str">
        <x:v>Oitavas de final</x:v>
      </x:c>
      <x:c r="E717" s="21" t="str">
        <x:v>2026-07-04</x:v>
      </x:c>
      <x:c r="F717" s="21" t="str">
        <x:f>IFERROR(INDEX('Resultados'!$G$5:$G$108,MATCH($B717,'Resultados'!$A$5:$A$108,0)),"")</x:f>
        <x:v>Vencedor M74</x:v>
      </x:c>
      <x:c r="G717" s="21" t="str">
        <x:f>IFERROR(INDEX('Resultados'!$J$5:$J$108,MATCH($B717,'Resultados'!$A$5:$A$108,0)),"")</x:f>
        <x:v>Vencedor M77</x:v>
      </x:c>
      <x:c r="H717" s="21" t="str">
        <x:v>Sim</x:v>
      </x:c>
      <x:c r="I717" s="22"/>
      <x:c r="J717" s="22"/>
      <x:c r="K717" s="23"/>
      <x:c r="L717" s="21" t="str">
        <x:f>IFERROR(INDEX('Resultados'!$H$5:$H$108,MATCH($B717,'Resultados'!$A$5:$A$108,0)),"")</x:f>
      </x:c>
      <x:c r="M717" s="21" t="str">
        <x:f>IFERROR(INDEX('Resultados'!$I$5:$I$108,MATCH($B717,'Resultados'!$A$5:$A$108,0)),"")</x:f>
      </x:c>
      <x:c r="N717" s="21" t="str">
        <x:f>IFERROR(INDEX('Resultados'!$L$5:$L$108,MATCH($B717,'Resultados'!$A$5:$A$108,0)),"")</x:f>
      </x:c>
      <x:c r="O717" s="59" t="str">
        <x:f>IF(OR($I717="",$J717="",$L717="",$M717=""),"",IF(AND($H717="Sim",$L717=$M717),IF($I717&lt;&gt;$J717,0,IF(AND($I717=$L717,$J717=$M717),2,1)),IF(AND($I717=$L717,$J717=$M717),3,IF(AND($I717&lt;&gt;$J717,$I717=$M717,$J717=$L717),-2,IF(SIGN($I717-$J717)=SIGN($L717-$M717),1,0)))))</x:f>
      </x:c>
      <x:c r="P717" s="59" t="str">
        <x:f>IF(OR($H717&lt;&gt;"Sim",$I717="",$J717="",$L717="",$M717=""),"",IF(AND(IF($I717&gt;$J717,$F717,IF($I717&lt;$J717,$G717,$K717))&lt;&gt;"",IF($L717&gt;$M717,$F717,IF($L717&lt;$M717,$G717,$N717))&lt;&gt;"",IF($I717&gt;$J717,$F717,IF($I717&lt;$J717,$G717,$K717))=IF($L717&gt;$M717,$F717,IF($L717&lt;$M717,$G717,$N717))),1,0))</x:f>
      </x:c>
      <x:c r="Q717" s="59" t="str">
        <x:f>IF($O717="","",$O717+$P717)</x:f>
      </x:c>
      <x:c r="R717" s="59" t="str">
        <x:f>IF($Q717="","",IF($O717=3,"Cravada",IF(AND($H717="Sim",$L717=$M717,$I717=$J717,$O717=2),"Empate cravado",IF($O717=1,"Resultado certo",IF($O717=-2,"Invertida",IF($P717=1,"Acertou quem passa","Erro"))))))</x:f>
      </x:c>
      <x:c r="S717" s="59" t="str">
        <x:f>IF($O717="","",--(OR($O717=3,AND($H717="Sim",$L717=$M717,$I717=$J717,$O717=2))))</x:f>
      </x:c>
      <x:c r="T717" s="59" t="str">
        <x:f>IF($O717="","",--($O717=-2))</x:f>
      </x:c>
      <x:c r="U717" s="59" t="str">
        <x:f>IF($O717="","",--($O717=1))</x:f>
      </x:c>
      <x:c r="V717" s="59" t="n">
        <x:f>--(AND($I717&lt;&gt;"",$J717&lt;&gt;""))</x:f>
        <x:v>0</x:v>
      </x:c>
    </x:row>
    <x:row r="718">
      <x:c r="A718" s="21" t="str">
        <x:f>INDEX(Config!$B$10:$B$16,INT((ROW()-5)/104)+1)</x:f>
        <x:v>Thyago</x:v>
      </x:c>
      <x:c r="B718" s="21" t="str">
        <x:v>R16_02</x:v>
      </x:c>
      <x:c r="C718" s="21" t="n">
        <x:v>90</x:v>
      </x:c>
      <x:c r="D718" s="21" t="str">
        <x:v>Oitavas de final</x:v>
      </x:c>
      <x:c r="E718" s="21" t="str">
        <x:v>2026-07-04</x:v>
      </x:c>
      <x:c r="F718" s="21" t="str">
        <x:f>IFERROR(INDEX('Resultados'!$G$5:$G$108,MATCH($B718,'Resultados'!$A$5:$A$108,0)),"")</x:f>
        <x:v>Vencedor M73</x:v>
      </x:c>
      <x:c r="G718" s="21" t="str">
        <x:f>IFERROR(INDEX('Resultados'!$J$5:$J$108,MATCH($B718,'Resultados'!$A$5:$A$108,0)),"")</x:f>
        <x:v>Vencedor M75</x:v>
      </x:c>
      <x:c r="H718" s="21" t="str">
        <x:v>Sim</x:v>
      </x:c>
      <x:c r="I718" s="22"/>
      <x:c r="J718" s="22"/>
      <x:c r="K718" s="23"/>
      <x:c r="L718" s="21" t="str">
        <x:f>IFERROR(INDEX('Resultados'!$H$5:$H$108,MATCH($B718,'Resultados'!$A$5:$A$108,0)),"")</x:f>
      </x:c>
      <x:c r="M718" s="21" t="str">
        <x:f>IFERROR(INDEX('Resultados'!$I$5:$I$108,MATCH($B718,'Resultados'!$A$5:$A$108,0)),"")</x:f>
      </x:c>
      <x:c r="N718" s="21" t="str">
        <x:f>IFERROR(INDEX('Resultados'!$L$5:$L$108,MATCH($B718,'Resultados'!$A$5:$A$108,0)),"")</x:f>
      </x:c>
      <x:c r="O718" s="59" t="str">
        <x:f>IF(OR($I718="",$J718="",$L718="",$M718=""),"",IF(AND($H718="Sim",$L718=$M718),IF($I718&lt;&gt;$J718,0,IF(AND($I718=$L718,$J718=$M718),2,1)),IF(AND($I718=$L718,$J718=$M718),3,IF(AND($I718&lt;&gt;$J718,$I718=$M718,$J718=$L718),-2,IF(SIGN($I718-$J718)=SIGN($L718-$M718),1,0)))))</x:f>
      </x:c>
      <x:c r="P718" s="59" t="str">
        <x:f>IF(OR($H718&lt;&gt;"Sim",$I718="",$J718="",$L718="",$M718=""),"",IF(AND(IF($I718&gt;$J718,$F718,IF($I718&lt;$J718,$G718,$K718))&lt;&gt;"",IF($L718&gt;$M718,$F718,IF($L718&lt;$M718,$G718,$N718))&lt;&gt;"",IF($I718&gt;$J718,$F718,IF($I718&lt;$J718,$G718,$K718))=IF($L718&gt;$M718,$F718,IF($L718&lt;$M718,$G718,$N718))),1,0))</x:f>
      </x:c>
      <x:c r="Q718" s="59" t="str">
        <x:f>IF($O718="","",$O718+$P718)</x:f>
      </x:c>
      <x:c r="R718" s="59" t="str">
        <x:f>IF($Q718="","",IF($O718=3,"Cravada",IF(AND($H718="Sim",$L718=$M718,$I718=$J718,$O718=2),"Empate cravado",IF($O718=1,"Resultado certo",IF($O718=-2,"Invertida",IF($P718=1,"Acertou quem passa","Erro"))))))</x:f>
      </x:c>
      <x:c r="S718" s="59" t="str">
        <x:f>IF($O718="","",--(OR($O718=3,AND($H718="Sim",$L718=$M718,$I718=$J718,$O718=2))))</x:f>
      </x:c>
      <x:c r="T718" s="59" t="str">
        <x:f>IF($O718="","",--($O718=-2))</x:f>
      </x:c>
      <x:c r="U718" s="59" t="str">
        <x:f>IF($O718="","",--($O718=1))</x:f>
      </x:c>
      <x:c r="V718" s="59" t="n">
        <x:f>--(AND($I718&lt;&gt;"",$J718&lt;&gt;""))</x:f>
        <x:v>0</x:v>
      </x:c>
    </x:row>
    <x:row r="719">
      <x:c r="A719" s="21" t="str">
        <x:f>INDEX(Config!$B$10:$B$16,INT((ROW()-5)/104)+1)</x:f>
        <x:v>Thyago</x:v>
      </x:c>
      <x:c r="B719" s="21" t="str">
        <x:v>R16_03</x:v>
      </x:c>
      <x:c r="C719" s="21" t="n">
        <x:v>91</x:v>
      </x:c>
      <x:c r="D719" s="21" t="str">
        <x:v>Oitavas de final</x:v>
      </x:c>
      <x:c r="E719" s="21" t="str">
        <x:v>2026-07-05</x:v>
      </x:c>
      <x:c r="F719" s="21" t="str">
        <x:f>IFERROR(INDEX('Resultados'!$G$5:$G$108,MATCH($B719,'Resultados'!$A$5:$A$108,0)),"")</x:f>
        <x:v>Vencedor M76</x:v>
      </x:c>
      <x:c r="G719" s="21" t="str">
        <x:f>IFERROR(INDEX('Resultados'!$J$5:$J$108,MATCH($B719,'Resultados'!$A$5:$A$108,0)),"")</x:f>
        <x:v>Vencedor M78</x:v>
      </x:c>
      <x:c r="H719" s="21" t="str">
        <x:v>Sim</x:v>
      </x:c>
      <x:c r="I719" s="22"/>
      <x:c r="J719" s="22"/>
      <x:c r="K719" s="23"/>
      <x:c r="L719" s="21" t="str">
        <x:f>IFERROR(INDEX('Resultados'!$H$5:$H$108,MATCH($B719,'Resultados'!$A$5:$A$108,0)),"")</x:f>
      </x:c>
      <x:c r="M719" s="21" t="str">
        <x:f>IFERROR(INDEX('Resultados'!$I$5:$I$108,MATCH($B719,'Resultados'!$A$5:$A$108,0)),"")</x:f>
      </x:c>
      <x:c r="N719" s="21" t="str">
        <x:f>IFERROR(INDEX('Resultados'!$L$5:$L$108,MATCH($B719,'Resultados'!$A$5:$A$108,0)),"")</x:f>
      </x:c>
      <x:c r="O719" s="59" t="str">
        <x:f>IF(OR($I719="",$J719="",$L719="",$M719=""),"",IF(AND($H719="Sim",$L719=$M719),IF($I719&lt;&gt;$J719,0,IF(AND($I719=$L719,$J719=$M719),2,1)),IF(AND($I719=$L719,$J719=$M719),3,IF(AND($I719&lt;&gt;$J719,$I719=$M719,$J719=$L719),-2,IF(SIGN($I719-$J719)=SIGN($L719-$M719),1,0)))))</x:f>
      </x:c>
      <x:c r="P719" s="59" t="str">
        <x:f>IF(OR($H719&lt;&gt;"Sim",$I719="",$J719="",$L719="",$M719=""),"",IF(AND(IF($I719&gt;$J719,$F719,IF($I719&lt;$J719,$G719,$K719))&lt;&gt;"",IF($L719&gt;$M719,$F719,IF($L719&lt;$M719,$G719,$N719))&lt;&gt;"",IF($I719&gt;$J719,$F719,IF($I719&lt;$J719,$G719,$K719))=IF($L719&gt;$M719,$F719,IF($L719&lt;$M719,$G719,$N719))),1,0))</x:f>
      </x:c>
      <x:c r="Q719" s="59" t="str">
        <x:f>IF($O719="","",$O719+$P719)</x:f>
      </x:c>
      <x:c r="R719" s="59" t="str">
        <x:f>IF($Q719="","",IF($O719=3,"Cravada",IF(AND($H719="Sim",$L719=$M719,$I719=$J719,$O719=2),"Empate cravado",IF($O719=1,"Resultado certo",IF($O719=-2,"Invertida",IF($P719=1,"Acertou quem passa","Erro"))))))</x:f>
      </x:c>
      <x:c r="S719" s="59" t="str">
        <x:f>IF($O719="","",--(OR($O719=3,AND($H719="Sim",$L719=$M719,$I719=$J719,$O719=2))))</x:f>
      </x:c>
      <x:c r="T719" s="59" t="str">
        <x:f>IF($O719="","",--($O719=-2))</x:f>
      </x:c>
      <x:c r="U719" s="59" t="str">
        <x:f>IF($O719="","",--($O719=1))</x:f>
      </x:c>
      <x:c r="V719" s="59" t="n">
        <x:f>--(AND($I719&lt;&gt;"",$J719&lt;&gt;""))</x:f>
        <x:v>0</x:v>
      </x:c>
    </x:row>
    <x:row r="720">
      <x:c r="A720" s="21" t="str">
        <x:f>INDEX(Config!$B$10:$B$16,INT((ROW()-5)/104)+1)</x:f>
        <x:v>Thyago</x:v>
      </x:c>
      <x:c r="B720" s="21" t="str">
        <x:v>R16_04</x:v>
      </x:c>
      <x:c r="C720" s="21" t="n">
        <x:v>92</x:v>
      </x:c>
      <x:c r="D720" s="21" t="str">
        <x:v>Oitavas de final</x:v>
      </x:c>
      <x:c r="E720" s="21" t="str">
        <x:v>2026-07-05</x:v>
      </x:c>
      <x:c r="F720" s="21" t="str">
        <x:f>IFERROR(INDEX('Resultados'!$G$5:$G$108,MATCH($B720,'Resultados'!$A$5:$A$108,0)),"")</x:f>
        <x:v>Vencedor M79</x:v>
      </x:c>
      <x:c r="G720" s="21" t="str">
        <x:f>IFERROR(INDEX('Resultados'!$J$5:$J$108,MATCH($B720,'Resultados'!$A$5:$A$108,0)),"")</x:f>
        <x:v>Vencedor M80</x:v>
      </x:c>
      <x:c r="H720" s="21" t="str">
        <x:v>Sim</x:v>
      </x:c>
      <x:c r="I720" s="22"/>
      <x:c r="J720" s="22"/>
      <x:c r="K720" s="23"/>
      <x:c r="L720" s="21" t="str">
        <x:f>IFERROR(INDEX('Resultados'!$H$5:$H$108,MATCH($B720,'Resultados'!$A$5:$A$108,0)),"")</x:f>
      </x:c>
      <x:c r="M720" s="21" t="str">
        <x:f>IFERROR(INDEX('Resultados'!$I$5:$I$108,MATCH($B720,'Resultados'!$A$5:$A$108,0)),"")</x:f>
      </x:c>
      <x:c r="N720" s="21" t="str">
        <x:f>IFERROR(INDEX('Resultados'!$L$5:$L$108,MATCH($B720,'Resultados'!$A$5:$A$108,0)),"")</x:f>
      </x:c>
      <x:c r="O720" s="59" t="str">
        <x:f>IF(OR($I720="",$J720="",$L720="",$M720=""),"",IF(AND($H720="Sim",$L720=$M720),IF($I720&lt;&gt;$J720,0,IF(AND($I720=$L720,$J720=$M720),2,1)),IF(AND($I720=$L720,$J720=$M720),3,IF(AND($I720&lt;&gt;$J720,$I720=$M720,$J720=$L720),-2,IF(SIGN($I720-$J720)=SIGN($L720-$M720),1,0)))))</x:f>
      </x:c>
      <x:c r="P720" s="59" t="str">
        <x:f>IF(OR($H720&lt;&gt;"Sim",$I720="",$J720="",$L720="",$M720=""),"",IF(AND(IF($I720&gt;$J720,$F720,IF($I720&lt;$J720,$G720,$K720))&lt;&gt;"",IF($L720&gt;$M720,$F720,IF($L720&lt;$M720,$G720,$N720))&lt;&gt;"",IF($I720&gt;$J720,$F720,IF($I720&lt;$J720,$G720,$K720))=IF($L720&gt;$M720,$F720,IF($L720&lt;$M720,$G720,$N720))),1,0))</x:f>
      </x:c>
      <x:c r="Q720" s="59" t="str">
        <x:f>IF($O720="","",$O720+$P720)</x:f>
      </x:c>
      <x:c r="R720" s="59" t="str">
        <x:f>IF($Q720="","",IF($O720=3,"Cravada",IF(AND($H720="Sim",$L720=$M720,$I720=$J720,$O720=2),"Empate cravado",IF($O720=1,"Resultado certo",IF($O720=-2,"Invertida",IF($P720=1,"Acertou quem passa","Erro"))))))</x:f>
      </x:c>
      <x:c r="S720" s="59" t="str">
        <x:f>IF($O720="","",--(OR($O720=3,AND($H720="Sim",$L720=$M720,$I720=$J720,$O720=2))))</x:f>
      </x:c>
      <x:c r="T720" s="59" t="str">
        <x:f>IF($O720="","",--($O720=-2))</x:f>
      </x:c>
      <x:c r="U720" s="59" t="str">
        <x:f>IF($O720="","",--($O720=1))</x:f>
      </x:c>
      <x:c r="V720" s="59" t="n">
        <x:f>--(AND($I720&lt;&gt;"",$J720&lt;&gt;""))</x:f>
        <x:v>0</x:v>
      </x:c>
    </x:row>
    <x:row r="721">
      <x:c r="A721" s="21" t="str">
        <x:f>INDEX(Config!$B$10:$B$16,INT((ROW()-5)/104)+1)</x:f>
        <x:v>Thyago</x:v>
      </x:c>
      <x:c r="B721" s="21" t="str">
        <x:v>R16_05</x:v>
      </x:c>
      <x:c r="C721" s="21" t="n">
        <x:v>93</x:v>
      </x:c>
      <x:c r="D721" s="21" t="str">
        <x:v>Oitavas de final</x:v>
      </x:c>
      <x:c r="E721" s="21" t="str">
        <x:v>2026-07-06</x:v>
      </x:c>
      <x:c r="F721" s="21" t="str">
        <x:f>IFERROR(INDEX('Resultados'!$G$5:$G$108,MATCH($B721,'Resultados'!$A$5:$A$108,0)),"")</x:f>
        <x:v>Vencedor M83</x:v>
      </x:c>
      <x:c r="G721" s="21" t="str">
        <x:f>IFERROR(INDEX('Resultados'!$J$5:$J$108,MATCH($B721,'Resultados'!$A$5:$A$108,0)),"")</x:f>
        <x:v>Vencedor M84</x:v>
      </x:c>
      <x:c r="H721" s="21" t="str">
        <x:v>Sim</x:v>
      </x:c>
      <x:c r="I721" s="22"/>
      <x:c r="J721" s="22"/>
      <x:c r="K721" s="23"/>
      <x:c r="L721" s="21" t="str">
        <x:f>IFERROR(INDEX('Resultados'!$H$5:$H$108,MATCH($B721,'Resultados'!$A$5:$A$108,0)),"")</x:f>
      </x:c>
      <x:c r="M721" s="21" t="str">
        <x:f>IFERROR(INDEX('Resultados'!$I$5:$I$108,MATCH($B721,'Resultados'!$A$5:$A$108,0)),"")</x:f>
      </x:c>
      <x:c r="N721" s="21" t="str">
        <x:f>IFERROR(INDEX('Resultados'!$L$5:$L$108,MATCH($B721,'Resultados'!$A$5:$A$108,0)),"")</x:f>
      </x:c>
      <x:c r="O721" s="59" t="str">
        <x:f>IF(OR($I721="",$J721="",$L721="",$M721=""),"",IF(AND($H721="Sim",$L721=$M721),IF($I721&lt;&gt;$J721,0,IF(AND($I721=$L721,$J721=$M721),2,1)),IF(AND($I721=$L721,$J721=$M721),3,IF(AND($I721&lt;&gt;$J721,$I721=$M721,$J721=$L721),-2,IF(SIGN($I721-$J721)=SIGN($L721-$M721),1,0)))))</x:f>
      </x:c>
      <x:c r="P721" s="59" t="str">
        <x:f>IF(OR($H721&lt;&gt;"Sim",$I721="",$J721="",$L721="",$M721=""),"",IF(AND(IF($I721&gt;$J721,$F721,IF($I721&lt;$J721,$G721,$K721))&lt;&gt;"",IF($L721&gt;$M721,$F721,IF($L721&lt;$M721,$G721,$N721))&lt;&gt;"",IF($I721&gt;$J721,$F721,IF($I721&lt;$J721,$G721,$K721))=IF($L721&gt;$M721,$F721,IF($L721&lt;$M721,$G721,$N721))),1,0))</x:f>
      </x:c>
      <x:c r="Q721" s="59" t="str">
        <x:f>IF($O721="","",$O721+$P721)</x:f>
      </x:c>
      <x:c r="R721" s="59" t="str">
        <x:f>IF($Q721="","",IF($O721=3,"Cravada",IF(AND($H721="Sim",$L721=$M721,$I721=$J721,$O721=2),"Empate cravado",IF($O721=1,"Resultado certo",IF($O721=-2,"Invertida",IF($P721=1,"Acertou quem passa","Erro"))))))</x:f>
      </x:c>
      <x:c r="S721" s="59" t="str">
        <x:f>IF($O721="","",--(OR($O721=3,AND($H721="Sim",$L721=$M721,$I721=$J721,$O721=2))))</x:f>
      </x:c>
      <x:c r="T721" s="59" t="str">
        <x:f>IF($O721="","",--($O721=-2))</x:f>
      </x:c>
      <x:c r="U721" s="59" t="str">
        <x:f>IF($O721="","",--($O721=1))</x:f>
      </x:c>
      <x:c r="V721" s="59" t="n">
        <x:f>--(AND($I721&lt;&gt;"",$J721&lt;&gt;""))</x:f>
        <x:v>0</x:v>
      </x:c>
    </x:row>
    <x:row r="722">
      <x:c r="A722" s="21" t="str">
        <x:f>INDEX(Config!$B$10:$B$16,INT((ROW()-5)/104)+1)</x:f>
        <x:v>Thyago</x:v>
      </x:c>
      <x:c r="B722" s="21" t="str">
        <x:v>R16_06</x:v>
      </x:c>
      <x:c r="C722" s="21" t="n">
        <x:v>94</x:v>
      </x:c>
      <x:c r="D722" s="21" t="str">
        <x:v>Oitavas de final</x:v>
      </x:c>
      <x:c r="E722" s="21" t="str">
        <x:v>2026-07-06</x:v>
      </x:c>
      <x:c r="F722" s="21" t="str">
        <x:f>IFERROR(INDEX('Resultados'!$G$5:$G$108,MATCH($B722,'Resultados'!$A$5:$A$108,0)),"")</x:f>
        <x:v>Vencedor M81</x:v>
      </x:c>
      <x:c r="G722" s="21" t="str">
        <x:f>IFERROR(INDEX('Resultados'!$J$5:$J$108,MATCH($B722,'Resultados'!$A$5:$A$108,0)),"")</x:f>
        <x:v>Vencedor M82</x:v>
      </x:c>
      <x:c r="H722" s="21" t="str">
        <x:v>Sim</x:v>
      </x:c>
      <x:c r="I722" s="22"/>
      <x:c r="J722" s="22"/>
      <x:c r="K722" s="23"/>
      <x:c r="L722" s="21" t="str">
        <x:f>IFERROR(INDEX('Resultados'!$H$5:$H$108,MATCH($B722,'Resultados'!$A$5:$A$108,0)),"")</x:f>
      </x:c>
      <x:c r="M722" s="21" t="str">
        <x:f>IFERROR(INDEX('Resultados'!$I$5:$I$108,MATCH($B722,'Resultados'!$A$5:$A$108,0)),"")</x:f>
      </x:c>
      <x:c r="N722" s="21" t="str">
        <x:f>IFERROR(INDEX('Resultados'!$L$5:$L$108,MATCH($B722,'Resultados'!$A$5:$A$108,0)),"")</x:f>
      </x:c>
      <x:c r="O722" s="59" t="str">
        <x:f>IF(OR($I722="",$J722="",$L722="",$M722=""),"",IF(AND($H722="Sim",$L722=$M722),IF($I722&lt;&gt;$J722,0,IF(AND($I722=$L722,$J722=$M722),2,1)),IF(AND($I722=$L722,$J722=$M722),3,IF(AND($I722&lt;&gt;$J722,$I722=$M722,$J722=$L722),-2,IF(SIGN($I722-$J722)=SIGN($L722-$M722),1,0)))))</x:f>
      </x:c>
      <x:c r="P722" s="59" t="str">
        <x:f>IF(OR($H722&lt;&gt;"Sim",$I722="",$J722="",$L722="",$M722=""),"",IF(AND(IF($I722&gt;$J722,$F722,IF($I722&lt;$J722,$G722,$K722))&lt;&gt;"",IF($L722&gt;$M722,$F722,IF($L722&lt;$M722,$G722,$N722))&lt;&gt;"",IF($I722&gt;$J722,$F722,IF($I722&lt;$J722,$G722,$K722))=IF($L722&gt;$M722,$F722,IF($L722&lt;$M722,$G722,$N722))),1,0))</x:f>
      </x:c>
      <x:c r="Q722" s="59" t="str">
        <x:f>IF($O722="","",$O722+$P722)</x:f>
      </x:c>
      <x:c r="R722" s="59" t="str">
        <x:f>IF($Q722="","",IF($O722=3,"Cravada",IF(AND($H722="Sim",$L722=$M722,$I722=$J722,$O722=2),"Empate cravado",IF($O722=1,"Resultado certo",IF($O722=-2,"Invertida",IF($P722=1,"Acertou quem passa","Erro"))))))</x:f>
      </x:c>
      <x:c r="S722" s="59" t="str">
        <x:f>IF($O722="","",--(OR($O722=3,AND($H722="Sim",$L722=$M722,$I722=$J722,$O722=2))))</x:f>
      </x:c>
      <x:c r="T722" s="59" t="str">
        <x:f>IF($O722="","",--($O722=-2))</x:f>
      </x:c>
      <x:c r="U722" s="59" t="str">
        <x:f>IF($O722="","",--($O722=1))</x:f>
      </x:c>
      <x:c r="V722" s="59" t="n">
        <x:f>--(AND($I722&lt;&gt;"",$J722&lt;&gt;""))</x:f>
        <x:v>0</x:v>
      </x:c>
    </x:row>
    <x:row r="723">
      <x:c r="A723" s="21" t="str">
        <x:f>INDEX(Config!$B$10:$B$16,INT((ROW()-5)/104)+1)</x:f>
        <x:v>Thyago</x:v>
      </x:c>
      <x:c r="B723" s="21" t="str">
        <x:v>R16_07</x:v>
      </x:c>
      <x:c r="C723" s="21" t="n">
        <x:v>95</x:v>
      </x:c>
      <x:c r="D723" s="21" t="str">
        <x:v>Oitavas de final</x:v>
      </x:c>
      <x:c r="E723" s="21" t="str">
        <x:v>2026-07-07</x:v>
      </x:c>
      <x:c r="F723" s="21" t="str">
        <x:f>IFERROR(INDEX('Resultados'!$G$5:$G$108,MATCH($B723,'Resultados'!$A$5:$A$108,0)),"")</x:f>
        <x:v>Vencedor M86</x:v>
      </x:c>
      <x:c r="G723" s="21" t="str">
        <x:f>IFERROR(INDEX('Resultados'!$J$5:$J$108,MATCH($B723,'Resultados'!$A$5:$A$108,0)),"")</x:f>
        <x:v>Vencedor M88</x:v>
      </x:c>
      <x:c r="H723" s="21" t="str">
        <x:v>Sim</x:v>
      </x:c>
      <x:c r="I723" s="22"/>
      <x:c r="J723" s="22"/>
      <x:c r="K723" s="23"/>
      <x:c r="L723" s="21" t="str">
        <x:f>IFERROR(INDEX('Resultados'!$H$5:$H$108,MATCH($B723,'Resultados'!$A$5:$A$108,0)),"")</x:f>
      </x:c>
      <x:c r="M723" s="21" t="str">
        <x:f>IFERROR(INDEX('Resultados'!$I$5:$I$108,MATCH($B723,'Resultados'!$A$5:$A$108,0)),"")</x:f>
      </x:c>
      <x:c r="N723" s="21" t="str">
        <x:f>IFERROR(INDEX('Resultados'!$L$5:$L$108,MATCH($B723,'Resultados'!$A$5:$A$108,0)),"")</x:f>
      </x:c>
      <x:c r="O723" s="59" t="str">
        <x:f>IF(OR($I723="",$J723="",$L723="",$M723=""),"",IF(AND($H723="Sim",$L723=$M723),IF($I723&lt;&gt;$J723,0,IF(AND($I723=$L723,$J723=$M723),2,1)),IF(AND($I723=$L723,$J723=$M723),3,IF(AND($I723&lt;&gt;$J723,$I723=$M723,$J723=$L723),-2,IF(SIGN($I723-$J723)=SIGN($L723-$M723),1,0)))))</x:f>
      </x:c>
      <x:c r="P723" s="59" t="str">
        <x:f>IF(OR($H723&lt;&gt;"Sim",$I723="",$J723="",$L723="",$M723=""),"",IF(AND(IF($I723&gt;$J723,$F723,IF($I723&lt;$J723,$G723,$K723))&lt;&gt;"",IF($L723&gt;$M723,$F723,IF($L723&lt;$M723,$G723,$N723))&lt;&gt;"",IF($I723&gt;$J723,$F723,IF($I723&lt;$J723,$G723,$K723))=IF($L723&gt;$M723,$F723,IF($L723&lt;$M723,$G723,$N723))),1,0))</x:f>
      </x:c>
      <x:c r="Q723" s="59" t="str">
        <x:f>IF($O723="","",$O723+$P723)</x:f>
      </x:c>
      <x:c r="R723" s="59" t="str">
        <x:f>IF($Q723="","",IF($O723=3,"Cravada",IF(AND($H723="Sim",$L723=$M723,$I723=$J723,$O723=2),"Empate cravado",IF($O723=1,"Resultado certo",IF($O723=-2,"Invertida",IF($P723=1,"Acertou quem passa","Erro"))))))</x:f>
      </x:c>
      <x:c r="S723" s="59" t="str">
        <x:f>IF($O723="","",--(OR($O723=3,AND($H723="Sim",$L723=$M723,$I723=$J723,$O723=2))))</x:f>
      </x:c>
      <x:c r="T723" s="59" t="str">
        <x:f>IF($O723="","",--($O723=-2))</x:f>
      </x:c>
      <x:c r="U723" s="59" t="str">
        <x:f>IF($O723="","",--($O723=1))</x:f>
      </x:c>
      <x:c r="V723" s="59" t="n">
        <x:f>--(AND($I723&lt;&gt;"",$J723&lt;&gt;""))</x:f>
        <x:v>0</x:v>
      </x:c>
    </x:row>
    <x:row r="724">
      <x:c r="A724" s="21" t="str">
        <x:f>INDEX(Config!$B$10:$B$16,INT((ROW()-5)/104)+1)</x:f>
        <x:v>Thyago</x:v>
      </x:c>
      <x:c r="B724" s="21" t="str">
        <x:v>R16_08</x:v>
      </x:c>
      <x:c r="C724" s="21" t="n">
        <x:v>96</x:v>
      </x:c>
      <x:c r="D724" s="21" t="str">
        <x:v>Oitavas de final</x:v>
      </x:c>
      <x:c r="E724" s="21" t="str">
        <x:v>2026-07-07</x:v>
      </x:c>
      <x:c r="F724" s="21" t="str">
        <x:f>IFERROR(INDEX('Resultados'!$G$5:$G$108,MATCH($B724,'Resultados'!$A$5:$A$108,0)),"")</x:f>
        <x:v>Vencedor M85</x:v>
      </x:c>
      <x:c r="G724" s="21" t="str">
        <x:f>IFERROR(INDEX('Resultados'!$J$5:$J$108,MATCH($B724,'Resultados'!$A$5:$A$108,0)),"")</x:f>
        <x:v>Vencedor M87</x:v>
      </x:c>
      <x:c r="H724" s="21" t="str">
        <x:v>Sim</x:v>
      </x:c>
      <x:c r="I724" s="22"/>
      <x:c r="J724" s="22"/>
      <x:c r="K724" s="23"/>
      <x:c r="L724" s="21" t="str">
        <x:f>IFERROR(INDEX('Resultados'!$H$5:$H$108,MATCH($B724,'Resultados'!$A$5:$A$108,0)),"")</x:f>
      </x:c>
      <x:c r="M724" s="21" t="str">
        <x:f>IFERROR(INDEX('Resultados'!$I$5:$I$108,MATCH($B724,'Resultados'!$A$5:$A$108,0)),"")</x:f>
      </x:c>
      <x:c r="N724" s="21" t="str">
        <x:f>IFERROR(INDEX('Resultados'!$L$5:$L$108,MATCH($B724,'Resultados'!$A$5:$A$108,0)),"")</x:f>
      </x:c>
      <x:c r="O724" s="59" t="str">
        <x:f>IF(OR($I724="",$J724="",$L724="",$M724=""),"",IF(AND($H724="Sim",$L724=$M724),IF($I724&lt;&gt;$J724,0,IF(AND($I724=$L724,$J724=$M724),2,1)),IF(AND($I724=$L724,$J724=$M724),3,IF(AND($I724&lt;&gt;$J724,$I724=$M724,$J724=$L724),-2,IF(SIGN($I724-$J724)=SIGN($L724-$M724),1,0)))))</x:f>
      </x:c>
      <x:c r="P724" s="59" t="str">
        <x:f>IF(OR($H724&lt;&gt;"Sim",$I724="",$J724="",$L724="",$M724=""),"",IF(AND(IF($I724&gt;$J724,$F724,IF($I724&lt;$J724,$G724,$K724))&lt;&gt;"",IF($L724&gt;$M724,$F724,IF($L724&lt;$M724,$G724,$N724))&lt;&gt;"",IF($I724&gt;$J724,$F724,IF($I724&lt;$J724,$G724,$K724))=IF($L724&gt;$M724,$F724,IF($L724&lt;$M724,$G724,$N724))),1,0))</x:f>
      </x:c>
      <x:c r="Q724" s="59" t="str">
        <x:f>IF($O724="","",$O724+$P724)</x:f>
      </x:c>
      <x:c r="R724" s="59" t="str">
        <x:f>IF($Q724="","",IF($O724=3,"Cravada",IF(AND($H724="Sim",$L724=$M724,$I724=$J724,$O724=2),"Empate cravado",IF($O724=1,"Resultado certo",IF($O724=-2,"Invertida",IF($P724=1,"Acertou quem passa","Erro"))))))</x:f>
      </x:c>
      <x:c r="S724" s="59" t="str">
        <x:f>IF($O724="","",--(OR($O724=3,AND($H724="Sim",$L724=$M724,$I724=$J724,$O724=2))))</x:f>
      </x:c>
      <x:c r="T724" s="59" t="str">
        <x:f>IF($O724="","",--($O724=-2))</x:f>
      </x:c>
      <x:c r="U724" s="59" t="str">
        <x:f>IF($O724="","",--($O724=1))</x:f>
      </x:c>
      <x:c r="V724" s="59" t="n">
        <x:f>--(AND($I724&lt;&gt;"",$J724&lt;&gt;""))</x:f>
        <x:v>0</x:v>
      </x:c>
    </x:row>
    <x:row r="725">
      <x:c r="A725" s="21" t="str">
        <x:f>INDEX(Config!$B$10:$B$16,INT((ROW()-5)/104)+1)</x:f>
        <x:v>Thyago</x:v>
      </x:c>
      <x:c r="B725" s="21" t="str">
        <x:v>QF_01</x:v>
      </x:c>
      <x:c r="C725" s="21" t="n">
        <x:v>97</x:v>
      </x:c>
      <x:c r="D725" s="21" t="str">
        <x:v>Quartas de final</x:v>
      </x:c>
      <x:c r="E725" s="21" t="str">
        <x:v>2026-07-09</x:v>
      </x:c>
      <x:c r="F725" s="21" t="str">
        <x:f>IFERROR(INDEX('Resultados'!$G$5:$G$108,MATCH($B725,'Resultados'!$A$5:$A$108,0)),"")</x:f>
        <x:v>Vencedor M89</x:v>
      </x:c>
      <x:c r="G725" s="21" t="str">
        <x:f>IFERROR(INDEX('Resultados'!$J$5:$J$108,MATCH($B725,'Resultados'!$A$5:$A$108,0)),"")</x:f>
        <x:v>Vencedor M90</x:v>
      </x:c>
      <x:c r="H725" s="21" t="str">
        <x:v>Sim</x:v>
      </x:c>
      <x:c r="I725" s="22"/>
      <x:c r="J725" s="22"/>
      <x:c r="K725" s="23"/>
      <x:c r="L725" s="21" t="str">
        <x:f>IFERROR(INDEX('Resultados'!$H$5:$H$108,MATCH($B725,'Resultados'!$A$5:$A$108,0)),"")</x:f>
      </x:c>
      <x:c r="M725" s="21" t="str">
        <x:f>IFERROR(INDEX('Resultados'!$I$5:$I$108,MATCH($B725,'Resultados'!$A$5:$A$108,0)),"")</x:f>
      </x:c>
      <x:c r="N725" s="21" t="str">
        <x:f>IFERROR(INDEX('Resultados'!$L$5:$L$108,MATCH($B725,'Resultados'!$A$5:$A$108,0)),"")</x:f>
      </x:c>
      <x:c r="O725" s="59" t="str">
        <x:f>IF(OR($I725="",$J725="",$L725="",$M725=""),"",IF(AND($H725="Sim",$L725=$M725),IF($I725&lt;&gt;$J725,0,IF(AND($I725=$L725,$J725=$M725),2,1)),IF(AND($I725=$L725,$J725=$M725),3,IF(AND($I725&lt;&gt;$J725,$I725=$M725,$J725=$L725),-2,IF(SIGN($I725-$J725)=SIGN($L725-$M725),1,0)))))</x:f>
      </x:c>
      <x:c r="P725" s="59" t="str">
        <x:f>IF(OR($H725&lt;&gt;"Sim",$I725="",$J725="",$L725="",$M725=""),"",IF(AND(IF($I725&gt;$J725,$F725,IF($I725&lt;$J725,$G725,$K725))&lt;&gt;"",IF($L725&gt;$M725,$F725,IF($L725&lt;$M725,$G725,$N725))&lt;&gt;"",IF($I725&gt;$J725,$F725,IF($I725&lt;$J725,$G725,$K725))=IF($L725&gt;$M725,$F725,IF($L725&lt;$M725,$G725,$N725))),1,0))</x:f>
      </x:c>
      <x:c r="Q725" s="59" t="str">
        <x:f>IF($O725="","",$O725+$P725)</x:f>
      </x:c>
      <x:c r="R725" s="59" t="str">
        <x:f>IF($Q725="","",IF($O725=3,"Cravada",IF(AND($H725="Sim",$L725=$M725,$I725=$J725,$O725=2),"Empate cravado",IF($O725=1,"Resultado certo",IF($O725=-2,"Invertida",IF($P725=1,"Acertou quem passa","Erro"))))))</x:f>
      </x:c>
      <x:c r="S725" s="59" t="str">
        <x:f>IF($O725="","",--(OR($O725=3,AND($H725="Sim",$L725=$M725,$I725=$J725,$O725=2))))</x:f>
      </x:c>
      <x:c r="T725" s="59" t="str">
        <x:f>IF($O725="","",--($O725=-2))</x:f>
      </x:c>
      <x:c r="U725" s="59" t="str">
        <x:f>IF($O725="","",--($O725=1))</x:f>
      </x:c>
      <x:c r="V725" s="59" t="n">
        <x:f>--(AND($I725&lt;&gt;"",$J725&lt;&gt;""))</x:f>
        <x:v>0</x:v>
      </x:c>
    </x:row>
    <x:row r="726">
      <x:c r="A726" s="21" t="str">
        <x:f>INDEX(Config!$B$10:$B$16,INT((ROW()-5)/104)+1)</x:f>
        <x:v>Thyago</x:v>
      </x:c>
      <x:c r="B726" s="21" t="str">
        <x:v>QF_02</x:v>
      </x:c>
      <x:c r="C726" s="21" t="n">
        <x:v>98</x:v>
      </x:c>
      <x:c r="D726" s="21" t="str">
        <x:v>Quartas de final</x:v>
      </x:c>
      <x:c r="E726" s="21" t="str">
        <x:v>2026-07-10</x:v>
      </x:c>
      <x:c r="F726" s="21" t="str">
        <x:f>IFERROR(INDEX('Resultados'!$G$5:$G$108,MATCH($B726,'Resultados'!$A$5:$A$108,0)),"")</x:f>
        <x:v>Vencedor M93</x:v>
      </x:c>
      <x:c r="G726" s="21" t="str">
        <x:f>IFERROR(INDEX('Resultados'!$J$5:$J$108,MATCH($B726,'Resultados'!$A$5:$A$108,0)),"")</x:f>
        <x:v>Vencedor M94</x:v>
      </x:c>
      <x:c r="H726" s="21" t="str">
        <x:v>Sim</x:v>
      </x:c>
      <x:c r="I726" s="22"/>
      <x:c r="J726" s="22"/>
      <x:c r="K726" s="23"/>
      <x:c r="L726" s="21" t="str">
        <x:f>IFERROR(INDEX('Resultados'!$H$5:$H$108,MATCH($B726,'Resultados'!$A$5:$A$108,0)),"")</x:f>
      </x:c>
      <x:c r="M726" s="21" t="str">
        <x:f>IFERROR(INDEX('Resultados'!$I$5:$I$108,MATCH($B726,'Resultados'!$A$5:$A$108,0)),"")</x:f>
      </x:c>
      <x:c r="N726" s="21" t="str">
        <x:f>IFERROR(INDEX('Resultados'!$L$5:$L$108,MATCH($B726,'Resultados'!$A$5:$A$108,0)),"")</x:f>
      </x:c>
      <x:c r="O726" s="59" t="str">
        <x:f>IF(OR($I726="",$J726="",$L726="",$M726=""),"",IF(AND($H726="Sim",$L726=$M726),IF($I726&lt;&gt;$J726,0,IF(AND($I726=$L726,$J726=$M726),2,1)),IF(AND($I726=$L726,$J726=$M726),3,IF(AND($I726&lt;&gt;$J726,$I726=$M726,$J726=$L726),-2,IF(SIGN($I726-$J726)=SIGN($L726-$M726),1,0)))))</x:f>
      </x:c>
      <x:c r="P726" s="59" t="str">
        <x:f>IF(OR($H726&lt;&gt;"Sim",$I726="",$J726="",$L726="",$M726=""),"",IF(AND(IF($I726&gt;$J726,$F726,IF($I726&lt;$J726,$G726,$K726))&lt;&gt;"",IF($L726&gt;$M726,$F726,IF($L726&lt;$M726,$G726,$N726))&lt;&gt;"",IF($I726&gt;$J726,$F726,IF($I726&lt;$J726,$G726,$K726))=IF($L726&gt;$M726,$F726,IF($L726&lt;$M726,$G726,$N726))),1,0))</x:f>
      </x:c>
      <x:c r="Q726" s="59" t="str">
        <x:f>IF($O726="","",$O726+$P726)</x:f>
      </x:c>
      <x:c r="R726" s="59" t="str">
        <x:f>IF($Q726="","",IF($O726=3,"Cravada",IF(AND($H726="Sim",$L726=$M726,$I726=$J726,$O726=2),"Empate cravado",IF($O726=1,"Resultado certo",IF($O726=-2,"Invertida",IF($P726=1,"Acertou quem passa","Erro"))))))</x:f>
      </x:c>
      <x:c r="S726" s="59" t="str">
        <x:f>IF($O726="","",--(OR($O726=3,AND($H726="Sim",$L726=$M726,$I726=$J726,$O726=2))))</x:f>
      </x:c>
      <x:c r="T726" s="59" t="str">
        <x:f>IF($O726="","",--($O726=-2))</x:f>
      </x:c>
      <x:c r="U726" s="59" t="str">
        <x:f>IF($O726="","",--($O726=1))</x:f>
      </x:c>
      <x:c r="V726" s="59" t="n">
        <x:f>--(AND($I726&lt;&gt;"",$J726&lt;&gt;""))</x:f>
        <x:v>0</x:v>
      </x:c>
    </x:row>
    <x:row r="727">
      <x:c r="A727" s="21" t="str">
        <x:f>INDEX(Config!$B$10:$B$16,INT((ROW()-5)/104)+1)</x:f>
        <x:v>Thyago</x:v>
      </x:c>
      <x:c r="B727" s="21" t="str">
        <x:v>QF_03</x:v>
      </x:c>
      <x:c r="C727" s="21" t="n">
        <x:v>99</x:v>
      </x:c>
      <x:c r="D727" s="21" t="str">
        <x:v>Quartas de final</x:v>
      </x:c>
      <x:c r="E727" s="21" t="str">
        <x:v>2026-07-11</x:v>
      </x:c>
      <x:c r="F727" s="21" t="str">
        <x:f>IFERROR(INDEX('Resultados'!$G$5:$G$108,MATCH($B727,'Resultados'!$A$5:$A$108,0)),"")</x:f>
        <x:v>Vencedor M91</x:v>
      </x:c>
      <x:c r="G727" s="21" t="str">
        <x:f>IFERROR(INDEX('Resultados'!$J$5:$J$108,MATCH($B727,'Resultados'!$A$5:$A$108,0)),"")</x:f>
        <x:v>Vencedor M92</x:v>
      </x:c>
      <x:c r="H727" s="21" t="str">
        <x:v>Sim</x:v>
      </x:c>
      <x:c r="I727" s="22"/>
      <x:c r="J727" s="22"/>
      <x:c r="K727" s="23"/>
      <x:c r="L727" s="21" t="str">
        <x:f>IFERROR(INDEX('Resultados'!$H$5:$H$108,MATCH($B727,'Resultados'!$A$5:$A$108,0)),"")</x:f>
      </x:c>
      <x:c r="M727" s="21" t="str">
        <x:f>IFERROR(INDEX('Resultados'!$I$5:$I$108,MATCH($B727,'Resultados'!$A$5:$A$108,0)),"")</x:f>
      </x:c>
      <x:c r="N727" s="21" t="str">
        <x:f>IFERROR(INDEX('Resultados'!$L$5:$L$108,MATCH($B727,'Resultados'!$A$5:$A$108,0)),"")</x:f>
      </x:c>
      <x:c r="O727" s="59" t="str">
        <x:f>IF(OR($I727="",$J727="",$L727="",$M727=""),"",IF(AND($H727="Sim",$L727=$M727),IF($I727&lt;&gt;$J727,0,IF(AND($I727=$L727,$J727=$M727),2,1)),IF(AND($I727=$L727,$J727=$M727),3,IF(AND($I727&lt;&gt;$J727,$I727=$M727,$J727=$L727),-2,IF(SIGN($I727-$J727)=SIGN($L727-$M727),1,0)))))</x:f>
      </x:c>
      <x:c r="P727" s="59" t="str">
        <x:f>IF(OR($H727&lt;&gt;"Sim",$I727="",$J727="",$L727="",$M727=""),"",IF(AND(IF($I727&gt;$J727,$F727,IF($I727&lt;$J727,$G727,$K727))&lt;&gt;"",IF($L727&gt;$M727,$F727,IF($L727&lt;$M727,$G727,$N727))&lt;&gt;"",IF($I727&gt;$J727,$F727,IF($I727&lt;$J727,$G727,$K727))=IF($L727&gt;$M727,$F727,IF($L727&lt;$M727,$G727,$N727))),1,0))</x:f>
      </x:c>
      <x:c r="Q727" s="59" t="str">
        <x:f>IF($O727="","",$O727+$P727)</x:f>
      </x:c>
      <x:c r="R727" s="59" t="str">
        <x:f>IF($Q727="","",IF($O727=3,"Cravada",IF(AND($H727="Sim",$L727=$M727,$I727=$J727,$O727=2),"Empate cravado",IF($O727=1,"Resultado certo",IF($O727=-2,"Invertida",IF($P727=1,"Acertou quem passa","Erro"))))))</x:f>
      </x:c>
      <x:c r="S727" s="59" t="str">
        <x:f>IF($O727="","",--(OR($O727=3,AND($H727="Sim",$L727=$M727,$I727=$J727,$O727=2))))</x:f>
      </x:c>
      <x:c r="T727" s="59" t="str">
        <x:f>IF($O727="","",--($O727=-2))</x:f>
      </x:c>
      <x:c r="U727" s="59" t="str">
        <x:f>IF($O727="","",--($O727=1))</x:f>
      </x:c>
      <x:c r="V727" s="59" t="n">
        <x:f>--(AND($I727&lt;&gt;"",$J727&lt;&gt;""))</x:f>
        <x:v>0</x:v>
      </x:c>
    </x:row>
    <x:row r="728">
      <x:c r="A728" s="21" t="str">
        <x:f>INDEX(Config!$B$10:$B$16,INT((ROW()-5)/104)+1)</x:f>
        <x:v>Thyago</x:v>
      </x:c>
      <x:c r="B728" s="21" t="str">
        <x:v>QF_04</x:v>
      </x:c>
      <x:c r="C728" s="21" t="n">
        <x:v>100</x:v>
      </x:c>
      <x:c r="D728" s="21" t="str">
        <x:v>Quartas de final</x:v>
      </x:c>
      <x:c r="E728" s="21" t="str">
        <x:v>2026-07-11</x:v>
      </x:c>
      <x:c r="F728" s="21" t="str">
        <x:f>IFERROR(INDEX('Resultados'!$G$5:$G$108,MATCH($B728,'Resultados'!$A$5:$A$108,0)),"")</x:f>
        <x:v>Vencedor M95</x:v>
      </x:c>
      <x:c r="G728" s="21" t="str">
        <x:f>IFERROR(INDEX('Resultados'!$J$5:$J$108,MATCH($B728,'Resultados'!$A$5:$A$108,0)),"")</x:f>
        <x:v>Vencedor M96</x:v>
      </x:c>
      <x:c r="H728" s="21" t="str">
        <x:v>Sim</x:v>
      </x:c>
      <x:c r="I728" s="22"/>
      <x:c r="J728" s="22"/>
      <x:c r="K728" s="23"/>
      <x:c r="L728" s="21" t="str">
        <x:f>IFERROR(INDEX('Resultados'!$H$5:$H$108,MATCH($B728,'Resultados'!$A$5:$A$108,0)),"")</x:f>
      </x:c>
      <x:c r="M728" s="21" t="str">
        <x:f>IFERROR(INDEX('Resultados'!$I$5:$I$108,MATCH($B728,'Resultados'!$A$5:$A$108,0)),"")</x:f>
      </x:c>
      <x:c r="N728" s="21" t="str">
        <x:f>IFERROR(INDEX('Resultados'!$L$5:$L$108,MATCH($B728,'Resultados'!$A$5:$A$108,0)),"")</x:f>
      </x:c>
      <x:c r="O728" s="59" t="str">
        <x:f>IF(OR($I728="",$J728="",$L728="",$M728=""),"",IF(AND($H728="Sim",$L728=$M728),IF($I728&lt;&gt;$J728,0,IF(AND($I728=$L728,$J728=$M728),2,1)),IF(AND($I728=$L728,$J728=$M728),3,IF(AND($I728&lt;&gt;$J728,$I728=$M728,$J728=$L728),-2,IF(SIGN($I728-$J728)=SIGN($L728-$M728),1,0)))))</x:f>
      </x:c>
      <x:c r="P728" s="59" t="str">
        <x:f>IF(OR($H728&lt;&gt;"Sim",$I728="",$J728="",$L728="",$M728=""),"",IF(AND(IF($I728&gt;$J728,$F728,IF($I728&lt;$J728,$G728,$K728))&lt;&gt;"",IF($L728&gt;$M728,$F728,IF($L728&lt;$M728,$G728,$N728))&lt;&gt;"",IF($I728&gt;$J728,$F728,IF($I728&lt;$J728,$G728,$K728))=IF($L728&gt;$M728,$F728,IF($L728&lt;$M728,$G728,$N728))),1,0))</x:f>
      </x:c>
      <x:c r="Q728" s="59" t="str">
        <x:f>IF($O728="","",$O728+$P728)</x:f>
      </x:c>
      <x:c r="R728" s="59" t="str">
        <x:f>IF($Q728="","",IF($O728=3,"Cravada",IF(AND($H728="Sim",$L728=$M728,$I728=$J728,$O728=2),"Empate cravado",IF($O728=1,"Resultado certo",IF($O728=-2,"Invertida",IF($P728=1,"Acertou quem passa","Erro"))))))</x:f>
      </x:c>
      <x:c r="S728" s="59" t="str">
        <x:f>IF($O728="","",--(OR($O728=3,AND($H728="Sim",$L728=$M728,$I728=$J728,$O728=2))))</x:f>
      </x:c>
      <x:c r="T728" s="59" t="str">
        <x:f>IF($O728="","",--($O728=-2))</x:f>
      </x:c>
      <x:c r="U728" s="59" t="str">
        <x:f>IF($O728="","",--($O728=1))</x:f>
      </x:c>
      <x:c r="V728" s="59" t="n">
        <x:f>--(AND($I728&lt;&gt;"",$J728&lt;&gt;""))</x:f>
        <x:v>0</x:v>
      </x:c>
    </x:row>
    <x:row r="729">
      <x:c r="A729" s="21" t="str">
        <x:f>INDEX(Config!$B$10:$B$16,INT((ROW()-5)/104)+1)</x:f>
        <x:v>Thyago</x:v>
      </x:c>
      <x:c r="B729" s="21" t="str">
        <x:v>SF_01</x:v>
      </x:c>
      <x:c r="C729" s="21" t="n">
        <x:v>101</x:v>
      </x:c>
      <x:c r="D729" s="21" t="str">
        <x:v>Semifinais</x:v>
      </x:c>
      <x:c r="E729" s="21" t="str">
        <x:v>2026-07-14</x:v>
      </x:c>
      <x:c r="F729" s="21" t="str">
        <x:f>IFERROR(INDEX('Resultados'!$G$5:$G$108,MATCH($B729,'Resultados'!$A$5:$A$108,0)),"")</x:f>
        <x:v>Vencedor M97</x:v>
      </x:c>
      <x:c r="G729" s="21" t="str">
        <x:f>IFERROR(INDEX('Resultados'!$J$5:$J$108,MATCH($B729,'Resultados'!$A$5:$A$108,0)),"")</x:f>
        <x:v>Vencedor M98</x:v>
      </x:c>
      <x:c r="H729" s="21" t="str">
        <x:v>Sim</x:v>
      </x:c>
      <x:c r="I729" s="22"/>
      <x:c r="J729" s="22"/>
      <x:c r="K729" s="23"/>
      <x:c r="L729" s="21" t="str">
        <x:f>IFERROR(INDEX('Resultados'!$H$5:$H$108,MATCH($B729,'Resultados'!$A$5:$A$108,0)),"")</x:f>
      </x:c>
      <x:c r="M729" s="21" t="str">
        <x:f>IFERROR(INDEX('Resultados'!$I$5:$I$108,MATCH($B729,'Resultados'!$A$5:$A$108,0)),"")</x:f>
      </x:c>
      <x:c r="N729" s="21" t="str">
        <x:f>IFERROR(INDEX('Resultados'!$L$5:$L$108,MATCH($B729,'Resultados'!$A$5:$A$108,0)),"")</x:f>
      </x:c>
      <x:c r="O729" s="59" t="str">
        <x:f>IF(OR($I729="",$J729="",$L729="",$M729=""),"",IF(AND($H729="Sim",$L729=$M729),IF($I729&lt;&gt;$J729,0,IF(AND($I729=$L729,$J729=$M729),2,1)),IF(AND($I729=$L729,$J729=$M729),3,IF(AND($I729&lt;&gt;$J729,$I729=$M729,$J729=$L729),-2,IF(SIGN($I729-$J729)=SIGN($L729-$M729),1,0)))))</x:f>
      </x:c>
      <x:c r="P729" s="59" t="str">
        <x:f>IF(OR($H729&lt;&gt;"Sim",$I729="",$J729="",$L729="",$M729=""),"",IF(AND(IF($I729&gt;$J729,$F729,IF($I729&lt;$J729,$G729,$K729))&lt;&gt;"",IF($L729&gt;$M729,$F729,IF($L729&lt;$M729,$G729,$N729))&lt;&gt;"",IF($I729&gt;$J729,$F729,IF($I729&lt;$J729,$G729,$K729))=IF($L729&gt;$M729,$F729,IF($L729&lt;$M729,$G729,$N729))),1,0))</x:f>
      </x:c>
      <x:c r="Q729" s="59" t="str">
        <x:f>IF($O729="","",$O729+$P729)</x:f>
      </x:c>
      <x:c r="R729" s="59" t="str">
        <x:f>IF($Q729="","",IF($O729=3,"Cravada",IF(AND($H729="Sim",$L729=$M729,$I729=$J729,$O729=2),"Empate cravado",IF($O729=1,"Resultado certo",IF($O729=-2,"Invertida",IF($P729=1,"Acertou quem passa","Erro"))))))</x:f>
      </x:c>
      <x:c r="S729" s="59" t="str">
        <x:f>IF($O729="","",--(OR($O729=3,AND($H729="Sim",$L729=$M729,$I729=$J729,$O729=2))))</x:f>
      </x:c>
      <x:c r="T729" s="59" t="str">
        <x:f>IF($O729="","",--($O729=-2))</x:f>
      </x:c>
      <x:c r="U729" s="59" t="str">
        <x:f>IF($O729="","",--($O729=1))</x:f>
      </x:c>
      <x:c r="V729" s="59" t="n">
        <x:f>--(AND($I729&lt;&gt;"",$J729&lt;&gt;""))</x:f>
        <x:v>0</x:v>
      </x:c>
    </x:row>
    <x:row r="730">
      <x:c r="A730" s="21" t="str">
        <x:f>INDEX(Config!$B$10:$B$16,INT((ROW()-5)/104)+1)</x:f>
        <x:v>Thyago</x:v>
      </x:c>
      <x:c r="B730" s="21" t="str">
        <x:v>SF_02</x:v>
      </x:c>
      <x:c r="C730" s="21" t="n">
        <x:v>102</x:v>
      </x:c>
      <x:c r="D730" s="21" t="str">
        <x:v>Semifinais</x:v>
      </x:c>
      <x:c r="E730" s="21" t="str">
        <x:v>2026-07-15</x:v>
      </x:c>
      <x:c r="F730" s="21" t="str">
        <x:f>IFERROR(INDEX('Resultados'!$G$5:$G$108,MATCH($B730,'Resultados'!$A$5:$A$108,0)),"")</x:f>
        <x:v>Vencedor M99</x:v>
      </x:c>
      <x:c r="G730" s="21" t="str">
        <x:f>IFERROR(INDEX('Resultados'!$J$5:$J$108,MATCH($B730,'Resultados'!$A$5:$A$108,0)),"")</x:f>
        <x:v>Vencedor M100</x:v>
      </x:c>
      <x:c r="H730" s="21" t="str">
        <x:v>Sim</x:v>
      </x:c>
      <x:c r="I730" s="22"/>
      <x:c r="J730" s="22"/>
      <x:c r="K730" s="23"/>
      <x:c r="L730" s="21" t="str">
        <x:f>IFERROR(INDEX('Resultados'!$H$5:$H$108,MATCH($B730,'Resultados'!$A$5:$A$108,0)),"")</x:f>
      </x:c>
      <x:c r="M730" s="21" t="str">
        <x:f>IFERROR(INDEX('Resultados'!$I$5:$I$108,MATCH($B730,'Resultados'!$A$5:$A$108,0)),"")</x:f>
      </x:c>
      <x:c r="N730" s="21" t="str">
        <x:f>IFERROR(INDEX('Resultados'!$L$5:$L$108,MATCH($B730,'Resultados'!$A$5:$A$108,0)),"")</x:f>
      </x:c>
      <x:c r="O730" s="59" t="str">
        <x:f>IF(OR($I730="",$J730="",$L730="",$M730=""),"",IF(AND($H730="Sim",$L730=$M730),IF($I730&lt;&gt;$J730,0,IF(AND($I730=$L730,$J730=$M730),2,1)),IF(AND($I730=$L730,$J730=$M730),3,IF(AND($I730&lt;&gt;$J730,$I730=$M730,$J730=$L730),-2,IF(SIGN($I730-$J730)=SIGN($L730-$M730),1,0)))))</x:f>
      </x:c>
      <x:c r="P730" s="59" t="str">
        <x:f>IF(OR($H730&lt;&gt;"Sim",$I730="",$J730="",$L730="",$M730=""),"",IF(AND(IF($I730&gt;$J730,$F730,IF($I730&lt;$J730,$G730,$K730))&lt;&gt;"",IF($L730&gt;$M730,$F730,IF($L730&lt;$M730,$G730,$N730))&lt;&gt;"",IF($I730&gt;$J730,$F730,IF($I730&lt;$J730,$G730,$K730))=IF($L730&gt;$M730,$F730,IF($L730&lt;$M730,$G730,$N730))),1,0))</x:f>
      </x:c>
      <x:c r="Q730" s="59" t="str">
        <x:f>IF($O730="","",$O730+$P730)</x:f>
      </x:c>
      <x:c r="R730" s="59" t="str">
        <x:f>IF($Q730="","",IF($O730=3,"Cravada",IF(AND($H730="Sim",$L730=$M730,$I730=$J730,$O730=2),"Empate cravado",IF($O730=1,"Resultado certo",IF($O730=-2,"Invertida",IF($P730=1,"Acertou quem passa","Erro"))))))</x:f>
      </x:c>
      <x:c r="S730" s="59" t="str">
        <x:f>IF($O730="","",--(OR($O730=3,AND($H730="Sim",$L730=$M730,$I730=$J730,$O730=2))))</x:f>
      </x:c>
      <x:c r="T730" s="59" t="str">
        <x:f>IF($O730="","",--($O730=-2))</x:f>
      </x:c>
      <x:c r="U730" s="59" t="str">
        <x:f>IF($O730="","",--($O730=1))</x:f>
      </x:c>
      <x:c r="V730" s="59" t="n">
        <x:f>--(AND($I730&lt;&gt;"",$J730&lt;&gt;""))</x:f>
        <x:v>0</x:v>
      </x:c>
    </x:row>
    <x:row r="731">
      <x:c r="A731" s="21" t="str">
        <x:f>INDEX(Config!$B$10:$B$16,INT((ROW()-5)/104)+1)</x:f>
        <x:v>Thyago</x:v>
      </x:c>
      <x:c r="B731" s="21" t="str">
        <x:v>P3</x:v>
      </x:c>
      <x:c r="C731" s="21" t="n">
        <x:v>103</x:v>
      </x:c>
      <x:c r="D731" s="21" t="str">
        <x:v>Disputa de 3º lugar</x:v>
      </x:c>
      <x:c r="E731" s="21" t="str">
        <x:v>2026-07-18</x:v>
      </x:c>
      <x:c r="F731" s="21" t="str">
        <x:f>IFERROR(INDEX('Resultados'!$G$5:$G$108,MATCH($B731,'Resultados'!$A$5:$A$108,0)),"")</x:f>
        <x:v>Perdedor M101</x:v>
      </x:c>
      <x:c r="G731" s="21" t="str">
        <x:f>IFERROR(INDEX('Resultados'!$J$5:$J$108,MATCH($B731,'Resultados'!$A$5:$A$108,0)),"")</x:f>
        <x:v>Perdedor M102</x:v>
      </x:c>
      <x:c r="H731" s="21" t="str">
        <x:v>Sim</x:v>
      </x:c>
      <x:c r="I731" s="22"/>
      <x:c r="J731" s="22"/>
      <x:c r="K731" s="23"/>
      <x:c r="L731" s="21" t="str">
        <x:f>IFERROR(INDEX('Resultados'!$H$5:$H$108,MATCH($B731,'Resultados'!$A$5:$A$108,0)),"")</x:f>
      </x:c>
      <x:c r="M731" s="21" t="str">
        <x:f>IFERROR(INDEX('Resultados'!$I$5:$I$108,MATCH($B731,'Resultados'!$A$5:$A$108,0)),"")</x:f>
      </x:c>
      <x:c r="N731" s="21" t="str">
        <x:f>IFERROR(INDEX('Resultados'!$L$5:$L$108,MATCH($B731,'Resultados'!$A$5:$A$108,0)),"")</x:f>
      </x:c>
      <x:c r="O731" s="59" t="str">
        <x:f>IF(OR($I731="",$J731="",$L731="",$M731=""),"",IF(AND($H731="Sim",$L731=$M731),IF($I731&lt;&gt;$J731,0,IF(AND($I731=$L731,$J731=$M731),2,1)),IF(AND($I731=$L731,$J731=$M731),3,IF(AND($I731&lt;&gt;$J731,$I731=$M731,$J731=$L731),-2,IF(SIGN($I731-$J731)=SIGN($L731-$M731),1,0)))))</x:f>
      </x:c>
      <x:c r="P731" s="59" t="str">
        <x:f>IF(OR($H731&lt;&gt;"Sim",$I731="",$J731="",$L731="",$M731=""),"",IF(AND(IF($I731&gt;$J731,$F731,IF($I731&lt;$J731,$G731,$K731))&lt;&gt;"",IF($L731&gt;$M731,$F731,IF($L731&lt;$M731,$G731,$N731))&lt;&gt;"",IF($I731&gt;$J731,$F731,IF($I731&lt;$J731,$G731,$K731))=IF($L731&gt;$M731,$F731,IF($L731&lt;$M731,$G731,$N731))),1,0))</x:f>
      </x:c>
      <x:c r="Q731" s="59" t="str">
        <x:f>IF($O731="","",$O731+$P731)</x:f>
      </x:c>
      <x:c r="R731" s="59" t="str">
        <x:f>IF($Q731="","",IF($O731=3,"Cravada",IF(AND($H731="Sim",$L731=$M731,$I731=$J731,$O731=2),"Empate cravado",IF($O731=1,"Resultado certo",IF($O731=-2,"Invertida",IF($P731=1,"Acertou quem passa","Erro"))))))</x:f>
      </x:c>
      <x:c r="S731" s="59" t="str">
        <x:f>IF($O731="","",--(OR($O731=3,AND($H731="Sim",$L731=$M731,$I731=$J731,$O731=2))))</x:f>
      </x:c>
      <x:c r="T731" s="59" t="str">
        <x:f>IF($O731="","",--($O731=-2))</x:f>
      </x:c>
      <x:c r="U731" s="59" t="str">
        <x:f>IF($O731="","",--($O731=1))</x:f>
      </x:c>
      <x:c r="V731" s="59" t="n">
        <x:f>--(AND($I731&lt;&gt;"",$J731&lt;&gt;""))</x:f>
        <x:v>0</x:v>
      </x:c>
    </x:row>
    <x:row r="732">
      <x:c r="A732" s="21" t="str">
        <x:f>INDEX(Config!$B$10:$B$16,INT((ROW()-5)/104)+1)</x:f>
        <x:v>Thyago</x:v>
      </x:c>
      <x:c r="B732" s="21" t="str">
        <x:v>FINAL</x:v>
      </x:c>
      <x:c r="C732" s="21" t="n">
        <x:v>104</x:v>
      </x:c>
      <x:c r="D732" s="21" t="str">
        <x:v>Final</x:v>
      </x:c>
      <x:c r="E732" s="21" t="str">
        <x:v>2026-07-19</x:v>
      </x:c>
      <x:c r="F732" s="21" t="str">
        <x:f>IFERROR(INDEX('Resultados'!$G$5:$G$108,MATCH($B732,'Resultados'!$A$5:$A$108,0)),"")</x:f>
        <x:v>Vencedor M101</x:v>
      </x:c>
      <x:c r="G732" s="21" t="str">
        <x:f>IFERROR(INDEX('Resultados'!$J$5:$J$108,MATCH($B732,'Resultados'!$A$5:$A$108,0)),"")</x:f>
        <x:v>Vencedor M102</x:v>
      </x:c>
      <x:c r="H732" s="21" t="str">
        <x:v>Sim</x:v>
      </x:c>
      <x:c r="I732" s="22"/>
      <x:c r="J732" s="22"/>
      <x:c r="K732" s="23"/>
      <x:c r="L732" s="21" t="str">
        <x:f>IFERROR(INDEX('Resultados'!$H$5:$H$108,MATCH($B732,'Resultados'!$A$5:$A$108,0)),"")</x:f>
      </x:c>
      <x:c r="M732" s="21" t="str">
        <x:f>IFERROR(INDEX('Resultados'!$I$5:$I$108,MATCH($B732,'Resultados'!$A$5:$A$108,0)),"")</x:f>
      </x:c>
      <x:c r="N732" s="21" t="str">
        <x:f>IFERROR(INDEX('Resultados'!$L$5:$L$108,MATCH($B732,'Resultados'!$A$5:$A$108,0)),"")</x:f>
      </x:c>
      <x:c r="O732" s="59" t="str">
        <x:f>IF(OR($I732="",$J732="",$L732="",$M732=""),"",IF(AND($H732="Sim",$L732=$M732),IF($I732&lt;&gt;$J732,0,IF(AND($I732=$L732,$J732=$M732),2,1)),IF(AND($I732=$L732,$J732=$M732),3,IF(AND($I732&lt;&gt;$J732,$I732=$M732,$J732=$L732),-2,IF(SIGN($I732-$J732)=SIGN($L732-$M732),1,0)))))</x:f>
      </x:c>
      <x:c r="P732" s="59" t="str">
        <x:f>IF(OR($H732&lt;&gt;"Sim",$I732="",$J732="",$L732="",$M732=""),"",IF(AND(IF($I732&gt;$J732,$F732,IF($I732&lt;$J732,$G732,$K732))&lt;&gt;"",IF($L732&gt;$M732,$F732,IF($L732&lt;$M732,$G732,$N732))&lt;&gt;"",IF($I732&gt;$J732,$F732,IF($I732&lt;$J732,$G732,$K732))=IF($L732&gt;$M732,$F732,IF($L732&lt;$M732,$G732,$N732))),1,0))</x:f>
      </x:c>
      <x:c r="Q732" s="59" t="str">
        <x:f>IF($O732="","",$O732+$P732)</x:f>
      </x:c>
      <x:c r="R732" s="59" t="str">
        <x:f>IF($Q732="","",IF($O732=3,"Cravada",IF(AND($H732="Sim",$L732=$M732,$I732=$J732,$O732=2),"Empate cravado",IF($O732=1,"Resultado certo",IF($O732=-2,"Invertida",IF($P732=1,"Acertou quem passa","Erro"))))))</x:f>
      </x:c>
      <x:c r="S732" s="59" t="str">
        <x:f>IF($O732="","",--(OR($O732=3,AND($H732="Sim",$L732=$M732,$I732=$J732,$O732=2))))</x:f>
      </x:c>
      <x:c r="T732" s="59" t="str">
        <x:f>IF($O732="","",--($O732=-2))</x:f>
      </x:c>
      <x:c r="U732" s="59" t="str">
        <x:f>IF($O732="","",--($O732=1))</x:f>
      </x:c>
      <x:c r="V732" s="59" t="n">
        <x:f>--(AND($I732&lt;&gt;"",$J732&lt;&gt;""))</x:f>
        <x:v>0</x:v>
      </x:c>
    </x:row>
  </x:sheetData>
  <x:mergeCells>
    <x:mergeCell ref="A1:V1"/>
    <x:mergeCell ref="A2:J2"/>
  </x:mergeCells>
  <x:conditionalFormatting sqref="R5:R732">
    <x:cfRule type="containsText" dxfId="4" priority="1" operator="containsText" text="lançado"/>
    <x:cfRule type="containsText" dxfId="5" priority="2" operator="containsText" text="Falta"/>
    <x:cfRule type="containsText" dxfId="6" priority="3" operator="containsText" text="Invertida"/>
    <x:cfRule type="containsText" dxfId="7" priority="4" operator="containsText" text="Cravada"/>
  </x:conditionalFormatting>
  <x:dataValidations count="2">
    <x:dataValidation type="whole" operator="between" sqref="I5:J732">
      <x:formula1>0</x:formula1>
      <x:formula2>30</x:formula2>
    </x:dataValidation>
    <x:dataValidation type="list" sqref="K5:K732">
      <x:formula1>Config!$J$10:$J$57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da7216215842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.220000267028809" hidden="0" customWidth="1"/>
  </x:cols>
  <x:sheetData>
    <x:row r="1" ht="28.5" customHeight="1">
      <x:c r="A1" s="55" t="str">
        <x:v>Pódio</x:v>
      </x:c>
      <x:c r="B1" s="55" t="str">
        <x:v>Pódio</x:v>
      </x:c>
      <x:c r="C1" s="55" t="str">
        <x:v>Pódio</x:v>
      </x:c>
      <x:c r="D1" s="55" t="str">
        <x:v>Pódio</x:v>
      </x:c>
      <x:c r="E1" s="55" t="str">
        <x:v>Pódio</x:v>
      </x:c>
      <x:c r="F1" s="55" t="str">
        <x:v>Pódio</x:v>
      </x:c>
      <x:c r="G1" s="55" t="str">
        <x:v>Pódio</x:v>
      </x:c>
      <x:c r="H1" s="55" t="str">
        <x:v>Pódio</x:v>
      </x:c>
      <x:c r="I1" s="55" t="str">
        <x:v>Pódio</x:v>
      </x:c>
      <x:c r="J1" s="55" t="str">
        <x:v>Pódio</x:v>
      </x:c>
    </x:row>
    <x:row r="2" ht="22.5" customHeight="1">
      <x:c r="A2" s="57" t="str">
        <x:v>Preencha o pódio oficial na linha 3 e os palpites de cada participante nas linhas abaixo.</x:v>
      </x:c>
      <x:c r="B2" s="13" t="str">
        <x:v>Campeão</x:v>
      </x:c>
      <x:c r="C2" s="13" t="str">
        <x:v>Vice-campeão</x:v>
      </x:c>
      <x:c r="D2" s="13" t="str">
        <x:v>3º lugar</x:v>
      </x:c>
      <x:c r="E2" s="13" t="str">
        <x:v>4º lugar</x:v>
      </x:c>
      <x:c r="F2" s="58"/>
      <x:c r="G2" s="58"/>
      <x:c r="H2" s="58"/>
      <x:c r="I2" s="58"/>
      <x:c r="J2" s="58"/>
    </x:row>
    <x:row r="3">
      <x:c r="A3" s="21" t="str">
        <x:v>Resultado oficial</x:v>
      </x:c>
      <x:c r="B3" s="23"/>
      <x:c r="C3" s="23"/>
      <x:c r="D3" s="23"/>
      <x:c r="E3" s="23"/>
      <x:c r="F3" s="58"/>
      <x:c r="G3" s="58"/>
      <x:c r="H3" s="58"/>
      <x:c r="I3" s="58"/>
      <x:c r="J3" s="58"/>
    </x:row>
    <x:row r="4">
      <x:c r="A4" s="13" t="str">
        <x:v>Participante</x:v>
      </x:c>
      <x:c r="B4" s="13" t="str">
        <x:v>Campeão</x:v>
      </x:c>
      <x:c r="C4" s="13" t="str">
        <x:v>Vice-campeão</x:v>
      </x:c>
      <x:c r="D4" s="13" t="str">
        <x:v>3º lugar</x:v>
      </x:c>
      <x:c r="E4" s="13" t="str">
        <x:v>4º lugar</x:v>
      </x:c>
      <x:c r="F4" s="13" t="str">
        <x:v>Pts campeão</x:v>
      </x:c>
      <x:c r="G4" s="13" t="str">
        <x:v>Pts vice</x:v>
      </x:c>
      <x:c r="H4" s="13" t="str">
        <x:v>Pts 3º</x:v>
      </x:c>
      <x:c r="I4" s="13" t="str">
        <x:v>Pts 4º</x:v>
      </x:c>
      <x:c r="J4" s="13" t="str">
        <x:v>Pontos pódio</x:v>
      </x:c>
    </x:row>
    <x:row r="5">
      <x:c r="A5" s="21" t="str">
        <x:f>Config!$B$10</x:f>
        <x:v>Leo B.</x:v>
      </x:c>
      <x:c r="B5" s="23"/>
      <x:c r="C5" s="23"/>
      <x:c r="D5" s="23"/>
      <x:c r="E5" s="23"/>
      <x:c r="F5" s="21" t="n">
        <x:f>IF(AND($B$3&lt;&gt;"",B5=$B$3),20,0)</x:f>
        <x:v>0</x:v>
      </x:c>
      <x:c r="G5" s="21" t="n">
        <x:f>IF(AND($C$3&lt;&gt;"",C5=$C$3),10,0)</x:f>
        <x:v>0</x:v>
      </x:c>
      <x:c r="H5" s="21" t="n">
        <x:f>IF(AND($D$3&lt;&gt;"",D5=$D$3),5,0)</x:f>
        <x:v>0</x:v>
      </x:c>
      <x:c r="I5" s="21" t="n">
        <x:f>IF(AND($E$3&lt;&gt;"",E5=$E$3),3,0)</x:f>
        <x:v>0</x:v>
      </x:c>
      <x:c r="J5" s="21" t="n">
        <x:f>SUM(F5:I5)</x:f>
        <x:v>0</x:v>
      </x:c>
    </x:row>
    <x:row r="6">
      <x:c r="A6" s="21" t="str">
        <x:f>Config!$B$11</x:f>
        <x:v>Leo C.</x:v>
      </x:c>
      <x:c r="B6" s="23"/>
      <x:c r="C6" s="23"/>
      <x:c r="D6" s="23"/>
      <x:c r="E6" s="23"/>
      <x:c r="F6" s="21" t="n">
        <x:f>IF(AND($B$3&lt;&gt;"",B6=$B$3),20,0)</x:f>
        <x:v>0</x:v>
      </x:c>
      <x:c r="G6" s="21" t="n">
        <x:f>IF(AND($C$3&lt;&gt;"",C6=$C$3),10,0)</x:f>
        <x:v>0</x:v>
      </x:c>
      <x:c r="H6" s="21" t="n">
        <x:f>IF(AND($D$3&lt;&gt;"",D6=$D$3),5,0)</x:f>
        <x:v>0</x:v>
      </x:c>
      <x:c r="I6" s="21" t="n">
        <x:f>IF(AND($E$3&lt;&gt;"",E6=$E$3),3,0)</x:f>
        <x:v>0</x:v>
      </x:c>
      <x:c r="J6" s="21" t="n">
        <x:f>SUM(F6:I6)</x:f>
        <x:v>0</x:v>
      </x:c>
    </x:row>
    <x:row r="7">
      <x:c r="A7" s="21" t="str">
        <x:f>Config!$B$12</x:f>
        <x:v>Gabriel</x:v>
      </x:c>
      <x:c r="B7" s="23"/>
      <x:c r="C7" s="23"/>
      <x:c r="D7" s="23"/>
      <x:c r="E7" s="23"/>
      <x:c r="F7" s="21" t="n">
        <x:f>IF(AND($B$3&lt;&gt;"",B7=$B$3),20,0)</x:f>
        <x:v>0</x:v>
      </x:c>
      <x:c r="G7" s="21" t="n">
        <x:f>IF(AND($C$3&lt;&gt;"",C7=$C$3),10,0)</x:f>
        <x:v>0</x:v>
      </x:c>
      <x:c r="H7" s="21" t="n">
        <x:f>IF(AND($D$3&lt;&gt;"",D7=$D$3),5,0)</x:f>
        <x:v>0</x:v>
      </x:c>
      <x:c r="I7" s="21" t="n">
        <x:f>IF(AND($E$3&lt;&gt;"",E7=$E$3),3,0)</x:f>
        <x:v>0</x:v>
      </x:c>
      <x:c r="J7" s="21" t="n">
        <x:f>SUM(F7:I7)</x:f>
        <x:v>0</x:v>
      </x:c>
    </x:row>
    <x:row r="8">
      <x:c r="A8" s="21" t="str">
        <x:f>Config!$B$13</x:f>
        <x:v>Gustavo</x:v>
      </x:c>
      <x:c r="B8" s="23"/>
      <x:c r="C8" s="23"/>
      <x:c r="D8" s="23"/>
      <x:c r="E8" s="23"/>
      <x:c r="F8" s="21" t="n">
        <x:f>IF(AND($B$3&lt;&gt;"",B8=$B$3),20,0)</x:f>
        <x:v>0</x:v>
      </x:c>
      <x:c r="G8" s="21" t="n">
        <x:f>IF(AND($C$3&lt;&gt;"",C8=$C$3),10,0)</x:f>
        <x:v>0</x:v>
      </x:c>
      <x:c r="H8" s="21" t="n">
        <x:f>IF(AND($D$3&lt;&gt;"",D8=$D$3),5,0)</x:f>
        <x:v>0</x:v>
      </x:c>
      <x:c r="I8" s="21" t="n">
        <x:f>IF(AND($E$3&lt;&gt;"",E8=$E$3),3,0)</x:f>
        <x:v>0</x:v>
      </x:c>
      <x:c r="J8" s="21" t="n">
        <x:f>SUM(F8:I8)</x:f>
        <x:v>0</x:v>
      </x:c>
    </x:row>
    <x:row r="9">
      <x:c r="A9" s="21" t="str">
        <x:f>Config!$B$14</x:f>
        <x:v>Otávio</x:v>
      </x:c>
      <x:c r="B9" s="23"/>
      <x:c r="C9" s="23"/>
      <x:c r="D9" s="23"/>
      <x:c r="E9" s="23"/>
      <x:c r="F9" s="21" t="n">
        <x:f>IF(AND($B$3&lt;&gt;"",B9=$B$3),20,0)</x:f>
        <x:v>0</x:v>
      </x:c>
      <x:c r="G9" s="21" t="n">
        <x:f>IF(AND($C$3&lt;&gt;"",C9=$C$3),10,0)</x:f>
        <x:v>0</x:v>
      </x:c>
      <x:c r="H9" s="21" t="n">
        <x:f>IF(AND($D$3&lt;&gt;"",D9=$D$3),5,0)</x:f>
        <x:v>0</x:v>
      </x:c>
      <x:c r="I9" s="21" t="n">
        <x:f>IF(AND($E$3&lt;&gt;"",E9=$E$3),3,0)</x:f>
        <x:v>0</x:v>
      </x:c>
      <x:c r="J9" s="21" t="n">
        <x:f>SUM(F9:I9)</x:f>
        <x:v>0</x:v>
      </x:c>
    </x:row>
    <x:row r="10">
      <x:c r="A10" s="21" t="str">
        <x:f>Config!$B$15</x:f>
        <x:v>Vitão</x:v>
      </x:c>
      <x:c r="B10" s="23"/>
      <x:c r="C10" s="23"/>
      <x:c r="D10" s="23"/>
      <x:c r="E10" s="23"/>
      <x:c r="F10" s="21" t="n">
        <x:f>IF(AND($B$3&lt;&gt;"",B10=$B$3),20,0)</x:f>
        <x:v>0</x:v>
      </x:c>
      <x:c r="G10" s="21" t="n">
        <x:f>IF(AND($C$3&lt;&gt;"",C10=$C$3),10,0)</x:f>
        <x:v>0</x:v>
      </x:c>
      <x:c r="H10" s="21" t="n">
        <x:f>IF(AND($D$3&lt;&gt;"",D10=$D$3),5,0)</x:f>
        <x:v>0</x:v>
      </x:c>
      <x:c r="I10" s="21" t="n">
        <x:f>IF(AND($E$3&lt;&gt;"",E10=$E$3),3,0)</x:f>
        <x:v>0</x:v>
      </x:c>
      <x:c r="J10" s="21" t="n">
        <x:f>SUM(F10:I10)</x:f>
        <x:v>0</x:v>
      </x:c>
    </x:row>
    <x:row r="11">
      <x:c r="A11" s="21" t="str">
        <x:f>Config!$B$16</x:f>
        <x:v>Thyago</x:v>
      </x:c>
      <x:c r="B11" s="23"/>
      <x:c r="C11" s="23"/>
      <x:c r="D11" s="23"/>
      <x:c r="E11" s="23"/>
      <x:c r="F11" s="21" t="n">
        <x:f>IF(AND($B$3&lt;&gt;"",B11=$B$3),20,0)</x:f>
        <x:v>0</x:v>
      </x:c>
      <x:c r="G11" s="21" t="n">
        <x:f>IF(AND($C$3&lt;&gt;"",C11=$C$3),10,0)</x:f>
        <x:v>0</x:v>
      </x:c>
      <x:c r="H11" s="21" t="n">
        <x:f>IF(AND($D$3&lt;&gt;"",D11=$D$3),5,0)</x:f>
        <x:v>0</x:v>
      </x:c>
      <x:c r="I11" s="21" t="n">
        <x:f>IF(AND($E$3&lt;&gt;"",E11=$E$3),3,0)</x:f>
        <x:v>0</x:v>
      </x:c>
      <x:c r="J11" s="21" t="n">
        <x:f>SUM(F11:I11)</x:f>
        <x:v>0</x:v>
      </x:c>
    </x:row>
  </x:sheetData>
  <x:mergeCells>
    <x:mergeCell ref="A1:J1"/>
    <x:mergeCell ref="A2:J2"/>
  </x:mergeCells>
  <x:dataValidations count="1">
    <x:dataValidation type="list" sqref="B3:E11">
      <x:formula1>Config!$J$10:$J$57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17bee5ea9a47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5.5600004196167" hidden="0" customWidth="1"/>
    <x:col min="3" max="3" width="10.5600004196167" hidden="0" customWidth="1"/>
    <x:col min="4" max="4" width="10.5600004196167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  <x:col min="9" max="9" width="13.109999656677246" hidden="0" customWidth="1"/>
    <x:col min="10" max="10" width="14.220000267028809" hidden="0" customWidth="1"/>
    <x:col min="11" max="11" width="10" hidden="0" customWidth="1"/>
    <x:col min="12" max="12" width="2.2200000286102295" hidden="0" customWidth="1"/>
    <x:col min="13" max="13" width="15.5600004196167" hidden="0" customWidth="1"/>
    <x:col min="14" max="14" width="10.5600004196167" hidden="0" customWidth="1"/>
    <x:col min="15" max="15" width="8.890000343322754" hidden="0" customWidth="1"/>
    <x:col min="16" max="16" width="8.890000343322754" hidden="0" customWidth="1"/>
    <x:col min="17" max="17" width="8.890000343322754" hidden="0" customWidth="1"/>
    <x:col min="18" max="18" width="8.890000343322754" hidden="0" customWidth="1"/>
    <x:col min="19" max="19" width="8.890000343322754" hidden="0" customWidth="1"/>
    <x:col min="20" max="20" width="13.109999656677246" hidden="0" customWidth="1"/>
    <x:col min="21" max="21" width="14.220000267028809" hidden="0" customWidth="1"/>
    <x:col min="22" max="22" width="13.329999923706055" hidden="0" customWidth="1"/>
  </x:cols>
  <x:sheetData>
    <x:row r="1" ht="28.5" customHeight="1">
      <x:c r="A1" s="55" t="str">
        <x:v>Ranking automático</x:v>
      </x:c>
      <x:c r="B1" s="55" t="str">
        <x:v>Ranking automático</x:v>
      </x:c>
      <x:c r="C1" s="55" t="str">
        <x:v>Ranking automático</x:v>
      </x:c>
      <x:c r="D1" s="55" t="str">
        <x:v>Ranking automático</x:v>
      </x:c>
      <x:c r="E1" s="55" t="str">
        <x:v>Ranking automático</x:v>
      </x:c>
      <x:c r="F1" s="55" t="str">
        <x:v>Ranking automático</x:v>
      </x:c>
      <x:c r="G1" s="55" t="str">
        <x:v>Ranking automático</x:v>
      </x:c>
      <x:c r="H1" s="55" t="str">
        <x:v>Ranking automático</x:v>
      </x:c>
      <x:c r="I1" s="55" t="str">
        <x:v>Ranking automático</x:v>
      </x:c>
      <x:c r="J1" s="55" t="str">
        <x:v>Ranking automático</x:v>
      </x:c>
      <x:c r="K1" s="55" t="str">
        <x:v>Ranking automático</x:v>
      </x:c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</x:row>
    <x:row r="2" ht="22.5" customHeight="1">
      <x:c r="A2" s="57" t="str">
        <x:v>Ordena por pontos, cravadas, menos invertidas e ordem alfabética, seguindo o critério do app.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</x:row>
    <x:row r="4">
      <x:c r="A4" s="13" t="str">
        <x:v>Pos.</x:v>
      </x:c>
      <x:c r="B4" s="13" t="str">
        <x:v>Participante</x:v>
      </x:c>
      <x:c r="C4" s="13" t="str">
        <x:v>Pontos jogos</x:v>
      </x:c>
      <x:c r="D4" s="13" t="str">
        <x:v>Pontos pódio</x:v>
      </x:c>
      <x:c r="E4" s="13" t="str">
        <x:v>Total</x:v>
      </x:c>
      <x:c r="F4" s="13" t="str">
        <x:v>Cravadas</x:v>
      </x:c>
      <x:c r="G4" s="13" t="str">
        <x:v>Acertos</x:v>
      </x:c>
      <x:c r="H4" s="13" t="str">
        <x:v>Invertidas</x:v>
      </x:c>
      <x:c r="I4" s="13" t="str">
        <x:v>Jogos conferidos</x:v>
      </x:c>
      <x:c r="J4" s="13" t="str">
        <x:v>Palpites preenchidos</x:v>
      </x:c>
      <x:c r="K4" s="13" t="str">
        <x:v>Prêmio</x:v>
      </x:c>
      <x:c r="L4" s="58"/>
      <x:c r="M4" s="13" t="str">
        <x:v>Participante</x:v>
      </x:c>
      <x:c r="N4" s="13" t="str">
        <x:v>Pontos jogos</x:v>
      </x:c>
      <x:c r="O4" s="13" t="str">
        <x:v>Pódio</x:v>
      </x:c>
      <x:c r="P4" s="13" t="str">
        <x:v>Total</x:v>
      </x:c>
      <x:c r="Q4" s="13" t="str">
        <x:v>Cravadas</x:v>
      </x:c>
      <x:c r="R4" s="13" t="str">
        <x:v>Acertos</x:v>
      </x:c>
      <x:c r="S4" s="13" t="str">
        <x:v>Invertidas</x:v>
      </x:c>
      <x:c r="T4" s="13" t="str">
        <x:v>Jogos conferidos</x:v>
      </x:c>
      <x:c r="U4" s="13" t="str">
        <x:v>Palpites preenchidos</x:v>
      </x:c>
      <x:c r="V4" s="13" t="str">
        <x:v>Chave ordenação</x:v>
      </x:c>
    </x:row>
    <x:row r="5">
      <x:c r="A5" s="21" t="n">
        <x:v>1</x:v>
      </x:c>
      <x:c r="B5" s="21" t="str">
        <x:f>IFERROR(INDEX($M$5:$M$11,MATCH(SMALL($V$5:$V$11,$A5),$V$5:$V$11,0)),"")</x:f>
        <x:v>Gabriel</x:v>
      </x:c>
      <x:c r="C5" s="21" t="n">
        <x:f>IF($B5="","",INDEX($N$5:$N$11,MATCH($B5,$M$5:$M$11,0)))</x:f>
        <x:v>0</x:v>
      </x:c>
      <x:c r="D5" s="21" t="n">
        <x:f>IF($B5="","",INDEX($O$5:$O$11,MATCH($B5,$M$5:$M$11,0)))</x:f>
        <x:v>0</x:v>
      </x:c>
      <x:c r="E5" s="21" t="n">
        <x:f>IF($B5="","",INDEX($P$5:$P$11,MATCH($B5,$M$5:$M$11,0)))</x:f>
        <x:v>0</x:v>
      </x:c>
      <x:c r="F5" s="21" t="n">
        <x:f>IF($B5="","",INDEX($Q$5:$Q$11,MATCH($B5,$M$5:$M$11,0)))</x:f>
        <x:v>0</x:v>
      </x:c>
      <x:c r="G5" s="21" t="n">
        <x:f>IF($B5="","",INDEX($R$5:$R$11,MATCH($B5,$M$5:$M$11,0)))</x:f>
        <x:v>0</x:v>
      </x:c>
      <x:c r="H5" s="21" t="n">
        <x:f>IF($B5="","",INDEX($S$5:$S$11,MATCH($B5,$M$5:$M$11,0)))</x:f>
        <x:v>0</x:v>
      </x:c>
      <x:c r="I5" s="21" t="n">
        <x:f>IF($B5="","",INDEX($T$5:$T$11,MATCH($B5,$M$5:$M$11,0)))</x:f>
        <x:v>0</x:v>
      </x:c>
      <x:c r="J5" s="21" t="n">
        <x:f>IF($B5="","",INDEX($U$5:$U$11,MATCH($B5,$M$5:$M$11,0)))</x:f>
        <x:v>0</x:v>
      </x:c>
      <x:c r="K5" s="60" t="n">
        <x:f>IF($B5="","",IF($A5=1,Config!$B$7*Config!$B$4,IF($A5=2,Config!$B$7*Config!$B$5,IF($A5=3,Config!$B$7*Config!$B$6,0))))</x:f>
        <x:v>840</x:v>
      </x:c>
      <x:c r="L5" s="58"/>
      <x:c r="M5" s="21" t="str">
        <x:f>Config!$B$10</x:f>
        <x:v>Leo B.</x:v>
      </x:c>
      <x:c r="N5" s="21" t="n">
        <x:f>IF($M5="","",SUMIFS('Palpites'!$Q$5:$Q$732,'Palpites'!$A$5:$A$732,$M5))</x:f>
        <x:v>0</x:v>
      </x:c>
      <x:c r="O5" s="21" t="n">
        <x:f>IF($M5="","",INDEX('Pódio'!$J$5:$J$11,MATCH($M5,'Pódio'!$A$5:$A$11,0)))</x:f>
        <x:v>0</x:v>
      </x:c>
      <x:c r="P5" s="21" t="n">
        <x:f>IF($M5="","",$N5+$O5)</x:f>
        <x:v>0</x:v>
      </x:c>
      <x:c r="Q5" s="21" t="n">
        <x:f>IF($M5="","",SUMIFS('Palpites'!$S$5:$S$732,'Palpites'!$A$5:$A$732,$M5))</x:f>
        <x:v>0</x:v>
      </x:c>
      <x:c r="R5" s="21" t="n">
        <x:f>IF($M5="","",SUMIFS('Palpites'!$U$5:$U$732,'Palpites'!$A$5:$A$732,$M5))</x:f>
        <x:v>0</x:v>
      </x:c>
      <x:c r="S5" s="21" t="n">
        <x:f>IF($M5="","",SUMIFS('Palpites'!$T$5:$T$732,'Palpites'!$A$5:$A$732,$M5))</x:f>
        <x:v>0</x:v>
      </x:c>
      <x:c r="T5" s="21" t="n">
        <x:f>IF($M5="","",COUNTIFS('Palpites'!$A$5:$A$732,$M5,'Palpites'!$Q$5:$Q$732,"&gt;=-999"))</x:f>
        <x:v>0</x:v>
      </x:c>
      <x:c r="U5" s="21" t="n">
        <x:f>IF($M5="","",COUNTIFS('Palpites'!$A$5:$A$732,$M5,'Palpites'!$I$5:$I$732,"&lt;&gt;",'Palpites'!$J$5:$J$732,"&lt;&gt;"))</x:f>
        <x:v>0</x:v>
      </x:c>
      <x:c r="V5" s="21" t="n">
        <x:f>IF($M5="","",-$P5*1000000-$Q5*10000+$S5*100+COUNTIF($M$5:$M$11,"&lt;"&amp;$M5))</x:f>
        <x:v>2</x:v>
      </x:c>
    </x:row>
    <x:row r="6">
      <x:c r="A6" s="21" t="n">
        <x:v>2</x:v>
      </x:c>
      <x:c r="B6" s="21" t="str">
        <x:f>IFERROR(INDEX($M$5:$M$11,MATCH(SMALL($V$5:$V$11,$A6),$V$5:$V$11,0)),"")</x:f>
        <x:v>Gustavo</x:v>
      </x:c>
      <x:c r="C6" s="21" t="n">
        <x:f>IF($B6="","",INDEX($N$5:$N$11,MATCH($B6,$M$5:$M$11,0)))</x:f>
        <x:v>0</x:v>
      </x:c>
      <x:c r="D6" s="21" t="n">
        <x:f>IF($B6="","",INDEX($O$5:$O$11,MATCH($B6,$M$5:$M$11,0)))</x:f>
        <x:v>0</x:v>
      </x:c>
      <x:c r="E6" s="21" t="n">
        <x:f>IF($B6="","",INDEX($P$5:$P$11,MATCH($B6,$M$5:$M$11,0)))</x:f>
        <x:v>0</x:v>
      </x:c>
      <x:c r="F6" s="21" t="n">
        <x:f>IF($B6="","",INDEX($Q$5:$Q$11,MATCH($B6,$M$5:$M$11,0)))</x:f>
        <x:v>0</x:v>
      </x:c>
      <x:c r="G6" s="21" t="n">
        <x:f>IF($B6="","",INDEX($R$5:$R$11,MATCH($B6,$M$5:$M$11,0)))</x:f>
        <x:v>0</x:v>
      </x:c>
      <x:c r="H6" s="21" t="n">
        <x:f>IF($B6="","",INDEX($S$5:$S$11,MATCH($B6,$M$5:$M$11,0)))</x:f>
        <x:v>0</x:v>
      </x:c>
      <x:c r="I6" s="21" t="n">
        <x:f>IF($B6="","",INDEX($T$5:$T$11,MATCH($B6,$M$5:$M$11,0)))</x:f>
        <x:v>0</x:v>
      </x:c>
      <x:c r="J6" s="21" t="n">
        <x:f>IF($B6="","",INDEX($U$5:$U$11,MATCH($B6,$M$5:$M$11,0)))</x:f>
        <x:v>0</x:v>
      </x:c>
      <x:c r="K6" s="60" t="n">
        <x:f>IF($B6="","",IF($A6=1,Config!$B$7*Config!$B$4,IF($A6=2,Config!$B$7*Config!$B$5,IF($A6=3,Config!$B$7*Config!$B$6,0))))</x:f>
        <x:v>350</x:v>
      </x:c>
      <x:c r="L6" s="58"/>
      <x:c r="M6" s="21" t="str">
        <x:f>Config!$B$11</x:f>
        <x:v>Leo C.</x:v>
      </x:c>
      <x:c r="N6" s="21" t="n">
        <x:f>IF($M6="","",SUMIFS('Palpites'!$Q$5:$Q$732,'Palpites'!$A$5:$A$732,$M6))</x:f>
        <x:v>0</x:v>
      </x:c>
      <x:c r="O6" s="21" t="n">
        <x:f>IF($M6="","",INDEX('Pódio'!$J$5:$J$11,MATCH($M6,'Pódio'!$A$5:$A$11,0)))</x:f>
        <x:v>0</x:v>
      </x:c>
      <x:c r="P6" s="21" t="n">
        <x:f>IF($M6="","",$N6+$O6)</x:f>
        <x:v>0</x:v>
      </x:c>
      <x:c r="Q6" s="21" t="n">
        <x:f>IF($M6="","",SUMIFS('Palpites'!$S$5:$S$732,'Palpites'!$A$5:$A$732,$M6))</x:f>
        <x:v>0</x:v>
      </x:c>
      <x:c r="R6" s="21" t="n">
        <x:f>IF($M6="","",SUMIFS('Palpites'!$U$5:$U$732,'Palpites'!$A$5:$A$732,$M6))</x:f>
        <x:v>0</x:v>
      </x:c>
      <x:c r="S6" s="21" t="n">
        <x:f>IF($M6="","",SUMIFS('Palpites'!$T$5:$T$732,'Palpites'!$A$5:$A$732,$M6))</x:f>
        <x:v>0</x:v>
      </x:c>
      <x:c r="T6" s="21" t="n">
        <x:f>IF($M6="","",COUNTIFS('Palpites'!$A$5:$A$732,$M6,'Palpites'!$Q$5:$Q$732,"&gt;=-999"))</x:f>
        <x:v>0</x:v>
      </x:c>
      <x:c r="U6" s="21" t="n">
        <x:f>IF($M6="","",COUNTIFS('Palpites'!$A$5:$A$732,$M6,'Palpites'!$I$5:$I$732,"&lt;&gt;",'Palpites'!$J$5:$J$732,"&lt;&gt;"))</x:f>
        <x:v>0</x:v>
      </x:c>
      <x:c r="V6" s="21" t="n">
        <x:f>IF($M6="","",-$P6*1000000-$Q6*10000+$S6*100+COUNTIF($M$5:$M$11,"&lt;"&amp;$M6))</x:f>
        <x:v>3</x:v>
      </x:c>
    </x:row>
    <x:row r="7">
      <x:c r="A7" s="21" t="n">
        <x:v>3</x:v>
      </x:c>
      <x:c r="B7" s="21" t="str">
        <x:f>IFERROR(INDEX($M$5:$M$11,MATCH(SMALL($V$5:$V$11,$A7),$V$5:$V$11,0)),"")</x:f>
        <x:v>Leo B.</x:v>
      </x:c>
      <x:c r="C7" s="21" t="n">
        <x:f>IF($B7="","",INDEX($N$5:$N$11,MATCH($B7,$M$5:$M$11,0)))</x:f>
        <x:v>0</x:v>
      </x:c>
      <x:c r="D7" s="21" t="n">
        <x:f>IF($B7="","",INDEX($O$5:$O$11,MATCH($B7,$M$5:$M$11,0)))</x:f>
        <x:v>0</x:v>
      </x:c>
      <x:c r="E7" s="21" t="n">
        <x:f>IF($B7="","",INDEX($P$5:$P$11,MATCH($B7,$M$5:$M$11,0)))</x:f>
        <x:v>0</x:v>
      </x:c>
      <x:c r="F7" s="21" t="n">
        <x:f>IF($B7="","",INDEX($Q$5:$Q$11,MATCH($B7,$M$5:$M$11,0)))</x:f>
        <x:v>0</x:v>
      </x:c>
      <x:c r="G7" s="21" t="n">
        <x:f>IF($B7="","",INDEX($R$5:$R$11,MATCH($B7,$M$5:$M$11,0)))</x:f>
        <x:v>0</x:v>
      </x:c>
      <x:c r="H7" s="21" t="n">
        <x:f>IF($B7="","",INDEX($S$5:$S$11,MATCH($B7,$M$5:$M$11,0)))</x:f>
        <x:v>0</x:v>
      </x:c>
      <x:c r="I7" s="21" t="n">
        <x:f>IF($B7="","",INDEX($T$5:$T$11,MATCH($B7,$M$5:$M$11,0)))</x:f>
        <x:v>0</x:v>
      </x:c>
      <x:c r="J7" s="21" t="n">
        <x:f>IF($B7="","",INDEX($U$5:$U$11,MATCH($B7,$M$5:$M$11,0)))</x:f>
        <x:v>0</x:v>
      </x:c>
      <x:c r="K7" s="60" t="n">
        <x:f>IF($B7="","",IF($A7=1,Config!$B$7*Config!$B$4,IF($A7=2,Config!$B$7*Config!$B$5,IF($A7=3,Config!$B$7*Config!$B$6,0))))</x:f>
        <x:v>210</x:v>
      </x:c>
      <x:c r="L7" s="58"/>
      <x:c r="M7" s="21" t="str">
        <x:f>Config!$B$12</x:f>
        <x:v>Gabriel</x:v>
      </x:c>
      <x:c r="N7" s="21" t="n">
        <x:f>IF($M7="","",SUMIFS('Palpites'!$Q$5:$Q$732,'Palpites'!$A$5:$A$732,$M7))</x:f>
        <x:v>0</x:v>
      </x:c>
      <x:c r="O7" s="21" t="n">
        <x:f>IF($M7="","",INDEX('Pódio'!$J$5:$J$11,MATCH($M7,'Pódio'!$A$5:$A$11,0)))</x:f>
        <x:v>0</x:v>
      </x:c>
      <x:c r="P7" s="21" t="n">
        <x:f>IF($M7="","",$N7+$O7)</x:f>
        <x:v>0</x:v>
      </x:c>
      <x:c r="Q7" s="21" t="n">
        <x:f>IF($M7="","",SUMIFS('Palpites'!$S$5:$S$732,'Palpites'!$A$5:$A$732,$M7))</x:f>
        <x:v>0</x:v>
      </x:c>
      <x:c r="R7" s="21" t="n">
        <x:f>IF($M7="","",SUMIFS('Palpites'!$U$5:$U$732,'Palpites'!$A$5:$A$732,$M7))</x:f>
        <x:v>0</x:v>
      </x:c>
      <x:c r="S7" s="21" t="n">
        <x:f>IF($M7="","",SUMIFS('Palpites'!$T$5:$T$732,'Palpites'!$A$5:$A$732,$M7))</x:f>
        <x:v>0</x:v>
      </x:c>
      <x:c r="T7" s="21" t="n">
        <x:f>IF($M7="","",COUNTIFS('Palpites'!$A$5:$A$732,$M7,'Palpites'!$Q$5:$Q$732,"&gt;=-999"))</x:f>
        <x:v>0</x:v>
      </x:c>
      <x:c r="U7" s="21" t="n">
        <x:f>IF($M7="","",COUNTIFS('Palpites'!$A$5:$A$732,$M7,'Palpites'!$I$5:$I$732,"&lt;&gt;",'Palpites'!$J$5:$J$732,"&lt;&gt;"))</x:f>
        <x:v>0</x:v>
      </x:c>
      <x:c r="V7" s="21" t="n">
        <x:f>IF($M7="","",-$P7*1000000-$Q7*10000+$S7*100+COUNTIF($M$5:$M$11,"&lt;"&amp;$M7))</x:f>
        <x:v>0</x:v>
      </x:c>
    </x:row>
    <x:row r="8">
      <x:c r="A8" s="21" t="n">
        <x:v>4</x:v>
      </x:c>
      <x:c r="B8" s="21" t="str">
        <x:f>IFERROR(INDEX($M$5:$M$11,MATCH(SMALL($V$5:$V$11,$A8),$V$5:$V$11,0)),"")</x:f>
        <x:v>Leo C.</x:v>
      </x:c>
      <x:c r="C8" s="21" t="n">
        <x:f>IF($B8="","",INDEX($N$5:$N$11,MATCH($B8,$M$5:$M$11,0)))</x:f>
        <x:v>0</x:v>
      </x:c>
      <x:c r="D8" s="21" t="n">
        <x:f>IF($B8="","",INDEX($O$5:$O$11,MATCH($B8,$M$5:$M$11,0)))</x:f>
        <x:v>0</x:v>
      </x:c>
      <x:c r="E8" s="21" t="n">
        <x:f>IF($B8="","",INDEX($P$5:$P$11,MATCH($B8,$M$5:$M$11,0)))</x:f>
        <x:v>0</x:v>
      </x:c>
      <x:c r="F8" s="21" t="n">
        <x:f>IF($B8="","",INDEX($Q$5:$Q$11,MATCH($B8,$M$5:$M$11,0)))</x:f>
        <x:v>0</x:v>
      </x:c>
      <x:c r="G8" s="21" t="n">
        <x:f>IF($B8="","",INDEX($R$5:$R$11,MATCH($B8,$M$5:$M$11,0)))</x:f>
        <x:v>0</x:v>
      </x:c>
      <x:c r="H8" s="21" t="n">
        <x:f>IF($B8="","",INDEX($S$5:$S$11,MATCH($B8,$M$5:$M$11,0)))</x:f>
        <x:v>0</x:v>
      </x:c>
      <x:c r="I8" s="21" t="n">
        <x:f>IF($B8="","",INDEX($T$5:$T$11,MATCH($B8,$M$5:$M$11,0)))</x:f>
        <x:v>0</x:v>
      </x:c>
      <x:c r="J8" s="21" t="n">
        <x:f>IF($B8="","",INDEX($U$5:$U$11,MATCH($B8,$M$5:$M$11,0)))</x:f>
        <x:v>0</x:v>
      </x:c>
      <x:c r="K8" s="60" t="n">
        <x:f>IF($B8="","",IF($A8=1,Config!$B$7*Config!$B$4,IF($A8=2,Config!$B$7*Config!$B$5,IF($A8=3,Config!$B$7*Config!$B$6,0))))</x:f>
        <x:v>0</x:v>
      </x:c>
      <x:c r="L8" s="58"/>
      <x:c r="M8" s="21" t="str">
        <x:f>Config!$B$13</x:f>
        <x:v>Gustavo</x:v>
      </x:c>
      <x:c r="N8" s="21" t="n">
        <x:f>IF($M8="","",SUMIFS('Palpites'!$Q$5:$Q$732,'Palpites'!$A$5:$A$732,$M8))</x:f>
        <x:v>0</x:v>
      </x:c>
      <x:c r="O8" s="21" t="n">
        <x:f>IF($M8="","",INDEX('Pódio'!$J$5:$J$11,MATCH($M8,'Pódio'!$A$5:$A$11,0)))</x:f>
        <x:v>0</x:v>
      </x:c>
      <x:c r="P8" s="21" t="n">
        <x:f>IF($M8="","",$N8+$O8)</x:f>
        <x:v>0</x:v>
      </x:c>
      <x:c r="Q8" s="21" t="n">
        <x:f>IF($M8="","",SUMIFS('Palpites'!$S$5:$S$732,'Palpites'!$A$5:$A$732,$M8))</x:f>
        <x:v>0</x:v>
      </x:c>
      <x:c r="R8" s="21" t="n">
        <x:f>IF($M8="","",SUMIFS('Palpites'!$U$5:$U$732,'Palpites'!$A$5:$A$732,$M8))</x:f>
        <x:v>0</x:v>
      </x:c>
      <x:c r="S8" s="21" t="n">
        <x:f>IF($M8="","",SUMIFS('Palpites'!$T$5:$T$732,'Palpites'!$A$5:$A$732,$M8))</x:f>
        <x:v>0</x:v>
      </x:c>
      <x:c r="T8" s="21" t="n">
        <x:f>IF($M8="","",COUNTIFS('Palpites'!$A$5:$A$732,$M8,'Palpites'!$Q$5:$Q$732,"&gt;=-999"))</x:f>
        <x:v>0</x:v>
      </x:c>
      <x:c r="U8" s="21" t="n">
        <x:f>IF($M8="","",COUNTIFS('Palpites'!$A$5:$A$732,$M8,'Palpites'!$I$5:$I$732,"&lt;&gt;",'Palpites'!$J$5:$J$732,"&lt;&gt;"))</x:f>
        <x:v>0</x:v>
      </x:c>
      <x:c r="V8" s="21" t="n">
        <x:f>IF($M8="","",-$P8*1000000-$Q8*10000+$S8*100+COUNTIF($M$5:$M$11,"&lt;"&amp;$M8))</x:f>
        <x:v>1</x:v>
      </x:c>
    </x:row>
    <x:row r="9">
      <x:c r="A9" s="21" t="n">
        <x:v>5</x:v>
      </x:c>
      <x:c r="B9" s="21" t="str">
        <x:f>IFERROR(INDEX($M$5:$M$11,MATCH(SMALL($V$5:$V$11,$A9),$V$5:$V$11,0)),"")</x:f>
        <x:v>Otávio</x:v>
      </x:c>
      <x:c r="C9" s="21" t="n">
        <x:f>IF($B9="","",INDEX($N$5:$N$11,MATCH($B9,$M$5:$M$11,0)))</x:f>
        <x:v>0</x:v>
      </x:c>
      <x:c r="D9" s="21" t="n">
        <x:f>IF($B9="","",INDEX($O$5:$O$11,MATCH($B9,$M$5:$M$11,0)))</x:f>
        <x:v>0</x:v>
      </x:c>
      <x:c r="E9" s="21" t="n">
        <x:f>IF($B9="","",INDEX($P$5:$P$11,MATCH($B9,$M$5:$M$11,0)))</x:f>
        <x:v>0</x:v>
      </x:c>
      <x:c r="F9" s="21" t="n">
        <x:f>IF($B9="","",INDEX($Q$5:$Q$11,MATCH($B9,$M$5:$M$11,0)))</x:f>
        <x:v>0</x:v>
      </x:c>
      <x:c r="G9" s="21" t="n">
        <x:f>IF($B9="","",INDEX($R$5:$R$11,MATCH($B9,$M$5:$M$11,0)))</x:f>
        <x:v>0</x:v>
      </x:c>
      <x:c r="H9" s="21" t="n">
        <x:f>IF($B9="","",INDEX($S$5:$S$11,MATCH($B9,$M$5:$M$11,0)))</x:f>
        <x:v>0</x:v>
      </x:c>
      <x:c r="I9" s="21" t="n">
        <x:f>IF($B9="","",INDEX($T$5:$T$11,MATCH($B9,$M$5:$M$11,0)))</x:f>
        <x:v>0</x:v>
      </x:c>
      <x:c r="J9" s="21" t="n">
        <x:f>IF($B9="","",INDEX($U$5:$U$11,MATCH($B9,$M$5:$M$11,0)))</x:f>
        <x:v>0</x:v>
      </x:c>
      <x:c r="K9" s="60" t="n">
        <x:f>IF($B9="","",IF($A9=1,Config!$B$7*Config!$B$4,IF($A9=2,Config!$B$7*Config!$B$5,IF($A9=3,Config!$B$7*Config!$B$6,0))))</x:f>
        <x:v>0</x:v>
      </x:c>
      <x:c r="L9" s="58"/>
      <x:c r="M9" s="21" t="str">
        <x:f>Config!$B$14</x:f>
        <x:v>Otávio</x:v>
      </x:c>
      <x:c r="N9" s="21" t="n">
        <x:f>IF($M9="","",SUMIFS('Palpites'!$Q$5:$Q$732,'Palpites'!$A$5:$A$732,$M9))</x:f>
        <x:v>0</x:v>
      </x:c>
      <x:c r="O9" s="21" t="n">
        <x:f>IF($M9="","",INDEX('Pódio'!$J$5:$J$11,MATCH($M9,'Pódio'!$A$5:$A$11,0)))</x:f>
        <x:v>0</x:v>
      </x:c>
      <x:c r="P9" s="21" t="n">
        <x:f>IF($M9="","",$N9+$O9)</x:f>
        <x:v>0</x:v>
      </x:c>
      <x:c r="Q9" s="21" t="n">
        <x:f>IF($M9="","",SUMIFS('Palpites'!$S$5:$S$732,'Palpites'!$A$5:$A$732,$M9))</x:f>
        <x:v>0</x:v>
      </x:c>
      <x:c r="R9" s="21" t="n">
        <x:f>IF($M9="","",SUMIFS('Palpites'!$U$5:$U$732,'Palpites'!$A$5:$A$732,$M9))</x:f>
        <x:v>0</x:v>
      </x:c>
      <x:c r="S9" s="21" t="n">
        <x:f>IF($M9="","",SUMIFS('Palpites'!$T$5:$T$732,'Palpites'!$A$5:$A$732,$M9))</x:f>
        <x:v>0</x:v>
      </x:c>
      <x:c r="T9" s="21" t="n">
        <x:f>IF($M9="","",COUNTIFS('Palpites'!$A$5:$A$732,$M9,'Palpites'!$Q$5:$Q$732,"&gt;=-999"))</x:f>
        <x:v>0</x:v>
      </x:c>
      <x:c r="U9" s="21" t="n">
        <x:f>IF($M9="","",COUNTIFS('Palpites'!$A$5:$A$732,$M9,'Palpites'!$I$5:$I$732,"&lt;&gt;",'Palpites'!$J$5:$J$732,"&lt;&gt;"))</x:f>
        <x:v>0</x:v>
      </x:c>
      <x:c r="V9" s="21" t="n">
        <x:f>IF($M9="","",-$P9*1000000-$Q9*10000+$S9*100+COUNTIF($M$5:$M$11,"&lt;"&amp;$M9))</x:f>
        <x:v>4</x:v>
      </x:c>
    </x:row>
    <x:row r="10">
      <x:c r="A10" s="21" t="n">
        <x:v>6</x:v>
      </x:c>
      <x:c r="B10" s="21" t="str">
        <x:f>IFERROR(INDEX($M$5:$M$11,MATCH(SMALL($V$5:$V$11,$A10),$V$5:$V$11,0)),"")</x:f>
        <x:v>Thyago</x:v>
      </x:c>
      <x:c r="C10" s="21" t="n">
        <x:f>IF($B10="","",INDEX($N$5:$N$11,MATCH($B10,$M$5:$M$11,0)))</x:f>
        <x:v>0</x:v>
      </x:c>
      <x:c r="D10" s="21" t="n">
        <x:f>IF($B10="","",INDEX($O$5:$O$11,MATCH($B10,$M$5:$M$11,0)))</x:f>
        <x:v>0</x:v>
      </x:c>
      <x:c r="E10" s="21" t="n">
        <x:f>IF($B10="","",INDEX($P$5:$P$11,MATCH($B10,$M$5:$M$11,0)))</x:f>
        <x:v>0</x:v>
      </x:c>
      <x:c r="F10" s="21" t="n">
        <x:f>IF($B10="","",INDEX($Q$5:$Q$11,MATCH($B10,$M$5:$M$11,0)))</x:f>
        <x:v>0</x:v>
      </x:c>
      <x:c r="G10" s="21" t="n">
        <x:f>IF($B10="","",INDEX($R$5:$R$11,MATCH($B10,$M$5:$M$11,0)))</x:f>
        <x:v>0</x:v>
      </x:c>
      <x:c r="H10" s="21" t="n">
        <x:f>IF($B10="","",INDEX($S$5:$S$11,MATCH($B10,$M$5:$M$11,0)))</x:f>
        <x:v>0</x:v>
      </x:c>
      <x:c r="I10" s="21" t="n">
        <x:f>IF($B10="","",INDEX($T$5:$T$11,MATCH($B10,$M$5:$M$11,0)))</x:f>
        <x:v>0</x:v>
      </x:c>
      <x:c r="J10" s="21" t="n">
        <x:f>IF($B10="","",INDEX($U$5:$U$11,MATCH($B10,$M$5:$M$11,0)))</x:f>
        <x:v>0</x:v>
      </x:c>
      <x:c r="K10" s="60" t="n">
        <x:f>IF($B10="","",IF($A10=1,Config!$B$7*Config!$B$4,IF($A10=2,Config!$B$7*Config!$B$5,IF($A10=3,Config!$B$7*Config!$B$6,0))))</x:f>
        <x:v>0</x:v>
      </x:c>
      <x:c r="L10" s="58"/>
      <x:c r="M10" s="21" t="str">
        <x:f>Config!$B$15</x:f>
        <x:v>Vitão</x:v>
      </x:c>
      <x:c r="N10" s="21" t="n">
        <x:f>IF($M10="","",SUMIFS('Palpites'!$Q$5:$Q$732,'Palpites'!$A$5:$A$732,$M10))</x:f>
        <x:v>0</x:v>
      </x:c>
      <x:c r="O10" s="21" t="n">
        <x:f>IF($M10="","",INDEX('Pódio'!$J$5:$J$11,MATCH($M10,'Pódio'!$A$5:$A$11,0)))</x:f>
        <x:v>0</x:v>
      </x:c>
      <x:c r="P10" s="21" t="n">
        <x:f>IF($M10="","",$N10+$O10)</x:f>
        <x:v>0</x:v>
      </x:c>
      <x:c r="Q10" s="21" t="n">
        <x:f>IF($M10="","",SUMIFS('Palpites'!$S$5:$S$732,'Palpites'!$A$5:$A$732,$M10))</x:f>
        <x:v>0</x:v>
      </x:c>
      <x:c r="R10" s="21" t="n">
        <x:f>IF($M10="","",SUMIFS('Palpites'!$U$5:$U$732,'Palpites'!$A$5:$A$732,$M10))</x:f>
        <x:v>0</x:v>
      </x:c>
      <x:c r="S10" s="21" t="n">
        <x:f>IF($M10="","",SUMIFS('Palpites'!$T$5:$T$732,'Palpites'!$A$5:$A$732,$M10))</x:f>
        <x:v>0</x:v>
      </x:c>
      <x:c r="T10" s="21" t="n">
        <x:f>IF($M10="","",COUNTIFS('Palpites'!$A$5:$A$732,$M10,'Palpites'!$Q$5:$Q$732,"&gt;=-999"))</x:f>
        <x:v>0</x:v>
      </x:c>
      <x:c r="U10" s="21" t="n">
        <x:f>IF($M10="","",COUNTIFS('Palpites'!$A$5:$A$732,$M10,'Palpites'!$I$5:$I$732,"&lt;&gt;",'Palpites'!$J$5:$J$732,"&lt;&gt;"))</x:f>
        <x:v>0</x:v>
      </x:c>
      <x:c r="V10" s="21" t="n">
        <x:f>IF($M10="","",-$P10*1000000-$Q10*10000+$S10*100+COUNTIF($M$5:$M$11,"&lt;"&amp;$M10))</x:f>
        <x:v>6</x:v>
      </x:c>
    </x:row>
    <x:row r="11">
      <x:c r="A11" s="21" t="n">
        <x:v>7</x:v>
      </x:c>
      <x:c r="B11" s="21" t="str">
        <x:f>IFERROR(INDEX($M$5:$M$11,MATCH(SMALL($V$5:$V$11,$A11),$V$5:$V$11,0)),"")</x:f>
        <x:v>Vitão</x:v>
      </x:c>
      <x:c r="C11" s="21" t="n">
        <x:f>IF($B11="","",INDEX($N$5:$N$11,MATCH($B11,$M$5:$M$11,0)))</x:f>
        <x:v>0</x:v>
      </x:c>
      <x:c r="D11" s="21" t="n">
        <x:f>IF($B11="","",INDEX($O$5:$O$11,MATCH($B11,$M$5:$M$11,0)))</x:f>
        <x:v>0</x:v>
      </x:c>
      <x:c r="E11" s="21" t="n">
        <x:f>IF($B11="","",INDEX($P$5:$P$11,MATCH($B11,$M$5:$M$11,0)))</x:f>
        <x:v>0</x:v>
      </x:c>
      <x:c r="F11" s="21" t="n">
        <x:f>IF($B11="","",INDEX($Q$5:$Q$11,MATCH($B11,$M$5:$M$11,0)))</x:f>
        <x:v>0</x:v>
      </x:c>
      <x:c r="G11" s="21" t="n">
        <x:f>IF($B11="","",INDEX($R$5:$R$11,MATCH($B11,$M$5:$M$11,0)))</x:f>
        <x:v>0</x:v>
      </x:c>
      <x:c r="H11" s="21" t="n">
        <x:f>IF($B11="","",INDEX($S$5:$S$11,MATCH($B11,$M$5:$M$11,0)))</x:f>
        <x:v>0</x:v>
      </x:c>
      <x:c r="I11" s="21" t="n">
        <x:f>IF($B11="","",INDEX($T$5:$T$11,MATCH($B11,$M$5:$M$11,0)))</x:f>
        <x:v>0</x:v>
      </x:c>
      <x:c r="J11" s="21" t="n">
        <x:f>IF($B11="","",INDEX($U$5:$U$11,MATCH($B11,$M$5:$M$11,0)))</x:f>
        <x:v>0</x:v>
      </x:c>
      <x:c r="K11" s="60" t="n">
        <x:f>IF($B11="","",IF($A11=1,Config!$B$7*Config!$B$4,IF($A11=2,Config!$B$7*Config!$B$5,IF($A11=3,Config!$B$7*Config!$B$6,0))))</x:f>
        <x:v>0</x:v>
      </x:c>
      <x:c r="L11" s="58"/>
      <x:c r="M11" s="21" t="str">
        <x:f>Config!$B$16</x:f>
        <x:v>Thyago</x:v>
      </x:c>
      <x:c r="N11" s="21" t="n">
        <x:f>IF($M11="","",SUMIFS('Palpites'!$Q$5:$Q$732,'Palpites'!$A$5:$A$732,$M11))</x:f>
        <x:v>0</x:v>
      </x:c>
      <x:c r="O11" s="21" t="n">
        <x:f>IF($M11="","",INDEX('Pódio'!$J$5:$J$11,MATCH($M11,'Pódio'!$A$5:$A$11,0)))</x:f>
        <x:v>0</x:v>
      </x:c>
      <x:c r="P11" s="21" t="n">
        <x:f>IF($M11="","",$N11+$O11)</x:f>
        <x:v>0</x:v>
      </x:c>
      <x:c r="Q11" s="21" t="n">
        <x:f>IF($M11="","",SUMIFS('Palpites'!$S$5:$S$732,'Palpites'!$A$5:$A$732,$M11))</x:f>
        <x:v>0</x:v>
      </x:c>
      <x:c r="R11" s="21" t="n">
        <x:f>IF($M11="","",SUMIFS('Palpites'!$U$5:$U$732,'Palpites'!$A$5:$A$732,$M11))</x:f>
        <x:v>0</x:v>
      </x:c>
      <x:c r="S11" s="21" t="n">
        <x:f>IF($M11="","",SUMIFS('Palpites'!$T$5:$T$732,'Palpites'!$A$5:$A$732,$M11))</x:f>
        <x:v>0</x:v>
      </x:c>
      <x:c r="T11" s="21" t="n">
        <x:f>IF($M11="","",COUNTIFS('Palpites'!$A$5:$A$732,$M11,'Palpites'!$Q$5:$Q$732,"&gt;=-999"))</x:f>
        <x:v>0</x:v>
      </x:c>
      <x:c r="U11" s="21" t="n">
        <x:f>IF($M11="","",COUNTIFS('Palpites'!$A$5:$A$732,$M11,'Palpites'!$I$5:$I$732,"&lt;&gt;",'Palpites'!$J$5:$J$732,"&lt;&gt;"))</x:f>
        <x:v>0</x:v>
      </x:c>
      <x:c r="V11" s="21" t="n">
        <x:f>IF($M11="","",-$P11*1000000-$Q11*10000+$S11*100+COUNTIF($M$5:$M$11,"&lt;"&amp;$M11))</x:f>
        <x:v>5</x:v>
      </x:c>
    </x:row>
  </x:sheetData>
  <x:mergeCells>
    <x:mergeCell ref="A1:K1"/>
    <x:mergeCell ref="A2:J2"/>
  </x:mergeCells>
  <x:pageMargins left="0.7" right="0.7" top="0.75" bottom="0.75" header="0.3" footer="0.3"/>
  <x:tableParts count="1">
    <x:tablePart xmlns:r="http://schemas.openxmlformats.org/officeDocument/2006/relationships" r:id="R86388a7639eb4b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0" hidden="0" customWidth="1"/>
    <x:col min="3" max="3" width="2.6700000762939453" hidden="0" customWidth="1"/>
    <x:col min="4" max="4" width="2.6700000762939453" hidden="0" customWidth="1"/>
    <x:col min="5" max="5" width="2.6700000762939453" hidden="0" customWidth="1"/>
    <x:col min="6" max="6" width="2.6700000762939453" hidden="0" customWidth="1"/>
    <x:col min="7" max="7" width="2.6700000762939453" hidden="0" customWidth="1"/>
    <x:col min="8" max="8" width="2.6700000762939453" hidden="0" customWidth="1"/>
    <x:col min="9" max="9" width="3.3299999237060547" hidden="0" customWidth="1"/>
    <x:col min="10" max="10" width="21.110000610351562" hidden="0" customWidth="1"/>
  </x:cols>
  <x:sheetData>
    <x:row r="1" ht="28.5" customHeight="1">
      <x:c r="A1" s="4" t="str">
        <x:v>Configuração do bolão</x:v>
      </x:c>
      <x:c r="B1" s="4" t="str">
        <x:v>Configuração do bolão</x:v>
      </x:c>
      <x:c r="C1" s="4" t="str">
        <x:v>Configuração do bolão</x:v>
      </x:c>
      <x:c r="D1" s="4" t="str">
        <x:v>Configuração do bolão</x:v>
      </x:c>
      <x:c r="E1" s="4" t="str">
        <x:v>Configuração do bolão</x:v>
      </x:c>
      <x:c r="F1" s="4" t="str">
        <x:v>Configuração do bolão</x:v>
      </x:c>
      <x:c r="G1" s="4" t="str">
        <x:v>Configuração do bolão</x:v>
      </x:c>
      <x:c r="H1" s="4" t="str">
        <x:v>Configuração do bolão</x:v>
      </x:c>
    </x:row>
    <x:row r="2" ht="22.5" customHeight="1">
      <x:c r="A2" s="7" t="str">
        <x:v>Edite nomes e valores aqui; as demais abas usam estas células como referência.</x:v>
      </x:c>
    </x:row>
    <x:row r="3">
      <x:c r="A3" s="16" t="str">
        <x:v>Entrada por participante</x:v>
      </x:c>
      <x:c r="B3" s="18" t="n">
        <x:v>200</x:v>
      </x:c>
    </x:row>
    <x:row r="4">
      <x:c r="A4" s="16" t="str">
        <x:v>Percentual 1º lugar</x:v>
      </x:c>
      <x:c r="B4" s="17" t="n">
        <x:v>0.6</x:v>
      </x:c>
    </x:row>
    <x:row r="5">
      <x:c r="A5" s="16" t="str">
        <x:v>Percentual 2º lugar</x:v>
      </x:c>
      <x:c r="B5" s="17" t="n">
        <x:v>0.25</x:v>
      </x:c>
    </x:row>
    <x:row r="6">
      <x:c r="A6" s="16" t="str">
        <x:v>Percentual 3º lugar</x:v>
      </x:c>
      <x:c r="B6" s="17" t="n">
        <x:v>0.15</x:v>
      </x:c>
    </x:row>
    <x:row r="7">
      <x:c r="A7" s="16" t="str">
        <x:v>Total arrecadado</x:v>
      </x:c>
      <x:c r="B7" s="18" t="n">
        <x:f>B3*COUNTA(B10:B16)</x:f>
        <x:v>1400</x:v>
      </x:c>
    </x:row>
    <x:row r="9">
      <x:c r="A9" s="13" t="str">
        <x:v>#</x:v>
      </x:c>
      <x:c r="B9" s="13" t="str">
        <x:v>Participante</x:v>
      </x:c>
      <x:c r="J9" s="13" t="str">
        <x:v>Seleções</x:v>
      </x:c>
    </x:row>
    <x:row r="10">
      <x:c r="A10" s="16" t="n">
        <x:v>1</x:v>
      </x:c>
      <x:c r="B10" s="16" t="str">
        <x:v>Leo B.</x:v>
      </x:c>
      <x:c r="J10" s="16" t="str">
        <x:v>México</x:v>
      </x:c>
    </x:row>
    <x:row r="11">
      <x:c r="A11" s="16" t="n">
        <x:v>2</x:v>
      </x:c>
      <x:c r="B11" s="16" t="str">
        <x:v>Leo C.</x:v>
      </x:c>
      <x:c r="J11" s="16" t="str">
        <x:v>África do Sul</x:v>
      </x:c>
    </x:row>
    <x:row r="12">
      <x:c r="A12" s="16" t="n">
        <x:v>3</x:v>
      </x:c>
      <x:c r="B12" s="16" t="str">
        <x:v>Gabriel</x:v>
      </x:c>
      <x:c r="J12" s="16" t="str">
        <x:v>Coreia do Sul</x:v>
      </x:c>
    </x:row>
    <x:row r="13">
      <x:c r="A13" s="16" t="n">
        <x:v>4</x:v>
      </x:c>
      <x:c r="B13" s="16" t="str">
        <x:v>Gustavo</x:v>
      </x:c>
      <x:c r="J13" s="16" t="str">
        <x:v>Rep. Tcheca</x:v>
      </x:c>
    </x:row>
    <x:row r="14">
      <x:c r="A14" s="16" t="n">
        <x:v>5</x:v>
      </x:c>
      <x:c r="B14" s="16" t="str">
        <x:v>Otávio</x:v>
      </x:c>
      <x:c r="J14" s="16" t="str">
        <x:v>Canadá</x:v>
      </x:c>
    </x:row>
    <x:row r="15">
      <x:c r="A15" s="16" t="n">
        <x:v>6</x:v>
      </x:c>
      <x:c r="B15" s="16" t="str">
        <x:v>Vitão</x:v>
      </x:c>
      <x:c r="J15" s="16" t="str">
        <x:v>Bósnia-Herzegovina</x:v>
      </x:c>
    </x:row>
    <x:row r="16">
      <x:c r="A16" s="16" t="n">
        <x:v>7</x:v>
      </x:c>
      <x:c r="B16" s="16" t="str">
        <x:v>Thyago</x:v>
      </x:c>
      <x:c r="J16" s="16" t="str">
        <x:v>Catar</x:v>
      </x:c>
    </x:row>
    <x:row r="17">
      <x:c r="J17" s="16" t="str">
        <x:v>Suíça</x:v>
      </x:c>
    </x:row>
    <x:row r="18">
      <x:c r="J18" s="16" t="str">
        <x:v>Brasil</x:v>
      </x:c>
    </x:row>
    <x:row r="19">
      <x:c r="J19" s="16" t="str">
        <x:v>Marrocos</x:v>
      </x:c>
    </x:row>
    <x:row r="20">
      <x:c r="J20" s="16" t="str">
        <x:v>Haiti</x:v>
      </x:c>
    </x:row>
    <x:row r="21">
      <x:c r="J21" s="16" t="str">
        <x:v>Escócia</x:v>
      </x:c>
    </x:row>
    <x:row r="22">
      <x:c r="J22" s="16" t="str">
        <x:v>EUA</x:v>
      </x:c>
    </x:row>
    <x:row r="23">
      <x:c r="J23" s="16" t="str">
        <x:v>Paraguai</x:v>
      </x:c>
    </x:row>
    <x:row r="24">
      <x:c r="J24" s="16" t="str">
        <x:v>Austrália</x:v>
      </x:c>
    </x:row>
    <x:row r="25">
      <x:c r="J25" s="16" t="str">
        <x:v>Turquia</x:v>
      </x:c>
    </x:row>
    <x:row r="26">
      <x:c r="J26" s="16" t="str">
        <x:v>Alemanha</x:v>
      </x:c>
    </x:row>
    <x:row r="27">
      <x:c r="J27" s="16" t="str">
        <x:v>Curaçau</x:v>
      </x:c>
    </x:row>
    <x:row r="28">
      <x:c r="J28" s="16" t="str">
        <x:v>Costa do Marfim</x:v>
      </x:c>
    </x:row>
    <x:row r="29">
      <x:c r="J29" s="16" t="str">
        <x:v>Equador</x:v>
      </x:c>
    </x:row>
    <x:row r="30">
      <x:c r="J30" s="16" t="str">
        <x:v>Holanda</x:v>
      </x:c>
    </x:row>
    <x:row r="31">
      <x:c r="J31" s="16" t="str">
        <x:v>Japão</x:v>
      </x:c>
    </x:row>
    <x:row r="32">
      <x:c r="J32" s="16" t="str">
        <x:v>Suécia</x:v>
      </x:c>
    </x:row>
    <x:row r="33">
      <x:c r="J33" s="16" t="str">
        <x:v>Tunísia</x:v>
      </x:c>
    </x:row>
    <x:row r="34">
      <x:c r="J34" s="16" t="str">
        <x:v>Bélgica</x:v>
      </x:c>
    </x:row>
    <x:row r="35">
      <x:c r="J35" s="16" t="str">
        <x:v>Egito</x:v>
      </x:c>
    </x:row>
    <x:row r="36">
      <x:c r="J36" s="16" t="str">
        <x:v>Irã</x:v>
      </x:c>
    </x:row>
    <x:row r="37">
      <x:c r="J37" s="16" t="str">
        <x:v>Nova Zelândia</x:v>
      </x:c>
    </x:row>
    <x:row r="38">
      <x:c r="J38" s="16" t="str">
        <x:v>Espanha</x:v>
      </x:c>
    </x:row>
    <x:row r="39">
      <x:c r="J39" s="16" t="str">
        <x:v>Cabo Verde</x:v>
      </x:c>
    </x:row>
    <x:row r="40">
      <x:c r="J40" s="16" t="str">
        <x:v>Arábia Saudita</x:v>
      </x:c>
    </x:row>
    <x:row r="41">
      <x:c r="J41" s="16" t="str">
        <x:v>Uruguai</x:v>
      </x:c>
    </x:row>
    <x:row r="42">
      <x:c r="J42" s="16" t="str">
        <x:v>França</x:v>
      </x:c>
    </x:row>
    <x:row r="43">
      <x:c r="J43" s="16" t="str">
        <x:v>Senegal</x:v>
      </x:c>
    </x:row>
    <x:row r="44">
      <x:c r="J44" s="16" t="str">
        <x:v>Iraque</x:v>
      </x:c>
    </x:row>
    <x:row r="45">
      <x:c r="J45" s="16" t="str">
        <x:v>Noruega</x:v>
      </x:c>
    </x:row>
    <x:row r="46">
      <x:c r="J46" s="16" t="str">
        <x:v>Argentina</x:v>
      </x:c>
    </x:row>
    <x:row r="47">
      <x:c r="J47" s="16" t="str">
        <x:v>Argélia</x:v>
      </x:c>
    </x:row>
    <x:row r="48">
      <x:c r="J48" s="16" t="str">
        <x:v>Áustria</x:v>
      </x:c>
    </x:row>
    <x:row r="49">
      <x:c r="J49" s="16" t="str">
        <x:v>Jordânia</x:v>
      </x:c>
    </x:row>
    <x:row r="50">
      <x:c r="J50" s="16" t="str">
        <x:v>Portugal</x:v>
      </x:c>
    </x:row>
    <x:row r="51">
      <x:c r="J51" s="16" t="str">
        <x:v>Rep. D. do Congo</x:v>
      </x:c>
    </x:row>
    <x:row r="52">
      <x:c r="J52" s="16" t="str">
        <x:v>Uzbequistão</x:v>
      </x:c>
    </x:row>
    <x:row r="53">
      <x:c r="J53" s="16" t="str">
        <x:v>Colômbia</x:v>
      </x:c>
    </x:row>
    <x:row r="54">
      <x:c r="J54" s="16" t="str">
        <x:v>Inglaterra</x:v>
      </x:c>
    </x:row>
    <x:row r="55">
      <x:c r="J55" s="16" t="str">
        <x:v>Croácia</x:v>
      </x:c>
    </x:row>
    <x:row r="56">
      <x:c r="J56" s="16" t="str">
        <x:v>Gana</x:v>
      </x:c>
    </x:row>
    <x:row r="57">
      <x:c r="J57" s="16" t="str">
        <x:v>Panamá</x:v>
      </x:c>
    </x:row>
  </x:sheetData>
  <x:mergeCells>
    <x:mergeCell ref="A1:H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3.329999923706055" hidden="0" customWidth="1"/>
    <x:col min="3" max="3" width="18.889999389648438" hidden="0" customWidth="1"/>
    <x:col min="4" max="4" width="40" hidden="0" customWidth="1"/>
  </x:cols>
  <x:sheetData>
    <x:row r="1" ht="28.5" customHeight="1">
      <x:c r="A1" s="55" t="str">
        <x:v>Regras de pontuação</x:v>
      </x:c>
      <x:c r="B1" s="55" t="str">
        <x:v>Regras de pontuação</x:v>
      </x:c>
      <x:c r="C1" s="55" t="str">
        <x:v>Regras de pontuação</x:v>
      </x:c>
      <x:c r="D1" s="55" t="str">
        <x:v>Regras de pontuação</x:v>
      </x:c>
    </x:row>
    <x:row r="2" ht="22.5" customHeight="1">
      <x:c r="A2" s="57" t="str">
        <x:v>Espelho das regras do Bolão do Hexa 2026 usadas nas fórmulas da planilha.</x:v>
      </x:c>
      <x:c r="B2" s="58"/>
      <x:c r="C2" s="58"/>
      <x:c r="D2" s="58"/>
    </x:row>
    <x:row r="3">
      <x:c r="A3" s="58"/>
      <x:c r="B3" s="58"/>
      <x:c r="C3" s="58"/>
      <x:c r="D3" s="58"/>
    </x:row>
    <x:row r="4">
      <x:c r="A4" s="13" t="str">
        <x:v>Evento</x:v>
      </x:c>
      <x:c r="B4" s="13" t="str">
        <x:v>Pontos</x:v>
      </x:c>
      <x:c r="C4" s="13" t="str">
        <x:v>Onde entra</x:v>
      </x:c>
      <x:c r="D4" s="13" t="str">
        <x:v>Observação</x:v>
      </x:c>
    </x:row>
    <x:row r="5">
      <x:c r="A5" s="21" t="str">
        <x:v>Placar exato (cravada)</x:v>
      </x:c>
      <x:c r="B5" s="21" t="n">
        <x:v>3</x:v>
      </x:c>
      <x:c r="C5" s="21" t="str">
        <x:v>Palpites!Base</x:v>
      </x:c>
      <x:c r="D5" s="21" t="str">
        <x:v>No mata-mata empatado, cravada do empate vale 2 antes do bônus.</x:v>
      </x:c>
    </x:row>
    <x:row r="6">
      <x:c r="A6" s="21" t="str">
        <x:v>Resultado correto</x:v>
      </x:c>
      <x:c r="B6" s="21" t="n">
        <x:v>1</x:v>
      </x:c>
      <x:c r="C6" s="21" t="str">
        <x:v>Palpites!Base</x:v>
      </x:c>
      <x:c r="D6" s="21" t="str">
        <x:v>Vencedor ou empate correto sem placar exato.</x:v>
      </x:c>
    </x:row>
    <x:row r="7">
      <x:c r="A7" s="21" t="str">
        <x:v>Invertida</x:v>
      </x:c>
      <x:c r="B7" s="21" t="n">
        <x:v>-2</x:v>
      </x:c>
      <x:c r="C7" s="21" t="str">
        <x:v>Palpites!Base</x:v>
      </x:c>
      <x:c r="D7" s="21" t="str">
        <x:v>Palpite exatamente invertido em relação ao placar real.</x:v>
      </x:c>
    </x:row>
    <x:row r="8">
      <x:c r="A8" s="21" t="str">
        <x:v>Erro</x:v>
      </x:c>
      <x:c r="B8" s="21" t="n">
        <x:v>0</x:v>
      </x:c>
      <x:c r="C8" s="21" t="str">
        <x:v>Palpites!Base</x:v>
      </x:c>
      <x:c r="D8" s="21" t="str">
        <x:v>Resultado incorreto sem invertida.</x:v>
      </x:c>
    </x:row>
    <x:row r="9">
      <x:c r="A9" s="21" t="str">
        <x:v>Mata-mata: acertar quem passa</x:v>
      </x:c>
      <x:c r="B9" s="21" t="n">
        <x:v>1</x:v>
      </x:c>
      <x:c r="C9" s="21" t="str">
        <x:v>Palpites!Bônus passa</x:v>
      </x:c>
      <x:c r="D9" s="21" t="str">
        <x:v>Soma ao ponto de base; se o jogo empatar, informe quem passou.</x:v>
      </x:c>
    </x:row>
    <x:row r="10">
      <x:c r="A10" s="21" t="str">
        <x:v>Campeão</x:v>
      </x:c>
      <x:c r="B10" s="21" t="n">
        <x:v>20</x:v>
      </x:c>
      <x:c r="C10" s="21" t="str">
        <x:v>Pódio</x:v>
      </x:c>
      <x:c r="D10" s="21" t="str">
        <x:v>Bônus final.</x:v>
      </x:c>
    </x:row>
    <x:row r="11">
      <x:c r="A11" s="21" t="str">
        <x:v>Vice-campeão</x:v>
      </x:c>
      <x:c r="B11" s="21" t="n">
        <x:v>10</x:v>
      </x:c>
      <x:c r="C11" s="21" t="str">
        <x:v>Pódio</x:v>
      </x:c>
      <x:c r="D11" s="21" t="str">
        <x:v>Bônus final.</x:v>
      </x:c>
    </x:row>
    <x:row r="12">
      <x:c r="A12" s="21" t="str">
        <x:v>3º colocado</x:v>
      </x:c>
      <x:c r="B12" s="21" t="n">
        <x:v>5</x:v>
      </x:c>
      <x:c r="C12" s="21" t="str">
        <x:v>Pódio</x:v>
      </x:c>
      <x:c r="D12" s="21" t="str">
        <x:v>Bônus final.</x:v>
      </x:c>
    </x:row>
    <x:row r="13">
      <x:c r="A13" s="21" t="str">
        <x:v>4º colocado</x:v>
      </x:c>
      <x:c r="B13" s="21" t="n">
        <x:v>3</x:v>
      </x:c>
      <x:c r="C13" s="21" t="str">
        <x:v>Pódio</x:v>
      </x:c>
      <x:c r="D13" s="21" t="str">
        <x:v>Bônus final.</x:v>
      </x:c>
    </x:row>
    <x:row r="14">
      <x:c r="A14" s="58"/>
      <x:c r="B14" s="58"/>
      <x:c r="C14" s="58"/>
      <x:c r="D14" s="58"/>
    </x:row>
    <x:row r="15">
      <x:c r="A15" s="61" t="str">
        <x:v>Desempate</x:v>
      </x:c>
      <x:c r="B15" s="61" t="str">
        <x:v>1º: total de pontos</x:v>
      </x:c>
      <x:c r="C15" s="61" t="str">
        <x:v>2º: cravadas</x:v>
      </x:c>
      <x:c r="D15" s="61" t="str">
        <x:v>3º: menos invertidas; depois ordem alfabética</x:v>
      </x:c>
    </x:row>
    <x:row r="16">
      <x:c r="A16" s="61" t="str">
        <x:v>Mata-mata empatado</x:v>
      </x:c>
      <x:c r="B16" s="61" t="str">
        <x:v>Quem palpitou vitória faz 0 no placar</x:v>
      </x:c>
      <x:c r="C16" s="61" t="str">
        <x:v>Quem palpitou empate pode ganhar 1 ou 2 de base + bônus de classificado</x:v>
      </x:c>
      <x:c r="D16" s="61"/>
    </x:row>
    <x:row r="17">
      <x:c r="A17" s="61" t="str">
        <x:v>Campos manuais</x:v>
      </x:c>
      <x:c r="B17" s="61" t="str">
        <x:v>Amarelo</x:v>
      </x:c>
      <x:c r="C17" s="61" t="str">
        <x:v>Resultados, palpites e pódio oficial/palpites</x:v>
      </x:c>
      <x:c r="D17" s="61" t="str"/>
    </x:row>
  </x:sheetData>
  <x:mergeCells>
    <x:mergeCell ref="A1:D1"/>
    <x:mergeCell ref="A2:J2"/>
  </x:mergeCells>
  <x:pageMargins left="0.7" right="0.7" top="0.75" bottom="0.75" header="0.3" footer="0.3"/>
</x:worksheet>
</file>